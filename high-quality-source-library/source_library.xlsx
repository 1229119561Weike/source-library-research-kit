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c6b31e25a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始这里" sheetId="1" r:id="Re82f2bf64ae441ca"/>
    <x:sheet xmlns:r="http://schemas.openxmlformats.org/officeDocument/2006/relationships" name="核心信源" sheetId="2" r:id="R6bedfe1f3566494f"/>
    <x:sheet xmlns:r="http://schemas.openxmlformats.org/officeDocument/2006/relationships" name="全部信源" sheetId="3" r:id="Rfa96cca9322b4f8a"/>
    <x:sheet xmlns:r="http://schemas.openxmlformats.org/officeDocument/2006/relationships" name="Karpathy 92" sheetId="4" r:id="Rf8918012a59c4d2e"/>
    <x:sheet xmlns:r="http://schemas.openxmlformats.org/officeDocument/2006/relationships" name="YouTube" sheetId="5" r:id="R1c28e57537f4431f"/>
    <x:sheet xmlns:r="http://schemas.openxmlformats.org/officeDocument/2006/relationships" name="资料库与平台" sheetId="6" r:id="R5ec2bbd148dc44a9"/>
    <x:sheet xmlns:r="http://schemas.openxmlformats.org/officeDocument/2006/relationships" name="身心成长与商业" sheetId="7" r:id="R80c892ea7a404f72"/>
    <x:sheet xmlns:r="http://schemas.openxmlformats.org/officeDocument/2006/relationships" name="素材收集台" sheetId="8" r:id="R2f35de15d9124bcd"/>
    <x:sheet xmlns:r="http://schemas.openxmlformats.org/officeDocument/2006/relationships" name="评分与标签" sheetId="9" r:id="R89a3d0ace587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yyyy-mm-dd"/>
    <x:numFmt numFmtId="203" formatCode="0&quot;%&quot;"/>
  </x:numFmts>
  <x:fonts count="11">
    <x:font>
      <x:sz val="11"/>
      <x:name val="Carlito"/>
    </x:font>
    <x:font>
      <x:b/>
      <x:sz val="20"/>
      <x:color rgb="FFFFFFFF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b/>
      <x:sz val="11"/>
      <x:color rgb="FF6E4B00"/>
      <x:name val="Carlito"/>
    </x:font>
    <x:font>
      <x:b/>
      <x:sz val="11"/>
      <x:color rgb="FFFFFFFF"/>
      <x:name val="Carlito"/>
    </x:font>
    <x:font>
      <x:b/>
      <x:sz val="20"/>
      <x:color rgb="FF0B1F33"/>
      <x:name val="Carlito"/>
    </x:font>
    <x:font>
      <x:b/>
      <x:sz val="11"/>
      <x:color rgb="FF0B1F33"/>
      <x:name val="Carlito"/>
    </x:font>
    <x:font>
      <x:b/>
      <x:sz val="13"/>
      <x:color rgb="FFFFFFFF"/>
      <x:name val="Carlito"/>
    </x:font>
    <x:font>
      <x:b/>
      <x:sz val="11"/>
      <x:color rgb="FF0F766E"/>
      <x:name val="Carlito"/>
    </x:font>
    <x:font>
      <x:sz val="11"/>
      <x:color rgb="FF172B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4F8FA"/>
      </x:patternFill>
    </x:fill>
    <x:fill>
      <x:patternFill patternType="solid">
        <x:fgColor rgb="FF0F766E"/>
      </x:patternFill>
    </x:fill>
    <x:fill>
      <x:patternFill patternType="solid">
        <x:fgColor rgb="FFFFF1CC"/>
      </x:patternFill>
    </x:fill>
    <x:fill>
      <x:patternFill patternType="solid">
        <x:fgColor rgb="FFDFF5F2"/>
      </x:patternFill>
    </x:fill>
    <x:fill>
      <x:patternFill patternType="solid">
        <x:fgColor rgb="FFE6F0FA"/>
      </x:patternFill>
    </x:fill>
  </x:fills>
  <x:borders count="17">
    <x:border/>
    <x:border>
      <x:bottom style="thin">
        <x:color rgb="FFD7E0E7"/>
      </x:bottom>
    </x:border>
    <x:border>
      <x:bottom style="medium">
        <x:color rgb="FF0F766E"/>
      </x:bottom>
    </x:border>
    <x:border>
      <x:top style="thin">
        <x:color rgb="FFD7E0E7"/>
      </x:top>
      <x:bottom style="thin">
        <x:color rgb="FFD7E0E7"/>
      </x:bottom>
    </x:border>
    <x:border>
      <x:top style="thin">
        <x:color rgb="FFD7E0E7"/>
      </x:top>
    </x:border>
    <x:border>
      <x:left style="thin">
        <x:color rgb="FFF2B84B"/>
      </x:left>
      <x:top style="thin">
        <x:color rgb="FFF2B84B"/>
      </x:top>
    </x:border>
    <x:border>
      <x:top style="thin">
        <x:color rgb="FFF2B84B"/>
      </x:top>
    </x:border>
    <x:border>
      <x:right style="thin">
        <x:color rgb="FFF2B84B"/>
      </x:right>
      <x:top style="thin">
        <x:color rgb="FFF2B84B"/>
      </x:top>
    </x:border>
    <x:border>
      <x:left style="thin">
        <x:color rgb="FFF2B84B"/>
      </x:left>
    </x:border>
    <x:border>
      <x:right style="thin">
        <x:color rgb="FFF2B84B"/>
      </x:right>
    </x:border>
    <x:border>
      <x:left style="thin">
        <x:color rgb="FFF2B84B"/>
      </x:left>
      <x:bottom style="thin">
        <x:color rgb="FFF2B84B"/>
      </x:bottom>
    </x:border>
    <x:border>
      <x:bottom style="thin">
        <x:color rgb="FFF2B84B"/>
      </x:bottom>
    </x:border>
    <x:border>
      <x:right style="thin">
        <x:color rgb="FFF2B84B"/>
      </x:right>
      <x:bottom style="thin">
        <x:color rgb="FFF2B84B"/>
      </x:bottom>
    </x:border>
    <x:border>
      <x:left style="thin">
        <x:color rgb="FF0F766E"/>
      </x:left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3" xfId="0" applyNumberFormat="1" applyFont="1" applyFill="1" applyBorder="1" applyAlignment="1">
      <x:alignment vertical="top" wrapText="1"/>
    </x:xf>
    <x:xf numFmtId="203" fontId="0" fillId="0" borderId="4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3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horizontal="center"/>
    </x:xf>
    <x:xf numFmtId="0" fontId="6" fillId="6" borderId="15" xfId="0" applyNumberFormat="1" applyFont="1" applyFill="1" applyBorder="1" applyAlignment="1">
      <x:alignment horizontal="center"/>
    </x:xf>
    <x:xf numFmtId="0" fontId="6" fillId="6" borderId="16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 vertical="center"/>
    </x:xf>
    <x:xf numFmtId="0" fontId="6" fillId="6" borderId="14" xfId="0" applyNumberFormat="1" applyFont="1" applyFill="1" applyBorder="1" applyAlignment="1">
      <x:alignment horizontal="center" vertical="center"/>
    </x:xf>
    <x:xf numFmtId="0" fontId="6" fillId="6" borderId="15" xfId="0" applyNumberFormat="1" applyFont="1" applyFill="1" applyBorder="1" applyAlignment="1">
      <x:alignment horizontal="center" vertical="center"/>
    </x:xf>
    <x:xf numFmtId="0" fontId="6" fillId="6" borderId="1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4">
    <x:dxf>
      <x:font>
        <x:b/>
        <x:color rgb="FFFFFFFF"/>
      </x:font>
      <x:fill>
        <x:patternFill patternType="solid">
          <x:bgColor rgb="FF0B1F33"/>
        </x:patternFill>
      </x:fill>
    </x:dxf>
    <x:dxf>
      <x:font>
        <x:b/>
        <x:color rgb="FF0F766E"/>
      </x:font>
      <x:fill>
        <x:patternFill patternType="solid">
          <x:bgColor rgb="FFDFF5F2"/>
        </x:patternFill>
      </x:fill>
    </x:dxf>
    <x:dxf>
      <x:font>
        <x:b/>
        <x:color rgb="FF7A5400"/>
      </x:font>
      <x:fill>
        <x:patternFill patternType="solid">
          <x:bgColor rgb="FFFFF1CC"/>
        </x:patternFill>
      </x:fill>
    </x:dxf>
    <x:dxf>
      <x:font>
        <x:color rgb="FF64748B"/>
      </x:font>
      <x:fill>
        <x:patternFill patternType="solid">
          <x:bgColor rgb="FFEEF2F6"/>
        </x:patternFill>
      </x:fill>
    </x:dxf>
    <x:dxf>
      <x:font>
        <x:color rgb="FF177E67"/>
      </x:font>
      <x:fill>
        <x:patternFill patternType="solid">
          <x:bgColor rgb="FFDCFCE7"/>
        </x:patternFill>
      </x:fill>
    </x:dxf>
    <x:dxf>
      <x:font>
        <x:color rgb="FF7A5400"/>
      </x:font>
      <x:fill>
        <x:patternFill patternType="solid">
          <x:bgColor rgb="FFFFF1CC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b/>
        <x:color rgb="FFFFFFFF"/>
      </x:font>
      <x:fill>
        <x:patternFill patternType="solid">
          <x:bgColor rgb="FF0B1F33"/>
        </x:patternFill>
      </x:fill>
    </x:dxf>
    <x:dxf>
      <x:font>
        <x:b/>
        <x:color rgb="FF0F766E"/>
      </x:font>
      <x:fill>
        <x:patternFill patternType="solid">
          <x:bgColor rgb="FFDFF5F2"/>
        </x:patternFill>
      </x:fill>
    </x:dxf>
    <x:dxf>
      <x:font>
        <x:b/>
        <x:color rgb="FF7A5400"/>
      </x:font>
      <x:fill>
        <x:patternFill patternType="solid">
          <x:bgColor rgb="FFFFF1CC"/>
        </x:patternFill>
      </x:fill>
    </x:dxf>
    <x:dxf>
      <x:font>
        <x:color rgb="FF64748B"/>
      </x:font>
      <x:fill>
        <x:patternFill patternType="solid">
          <x:bgColor rgb="FFEEF2F6"/>
        </x:patternFill>
      </x:fill>
    </x:dxf>
    <x:dxf>
      <x:font>
        <x:color rgb="FF177E67"/>
      </x:font>
      <x:fill>
        <x:patternFill patternType="solid">
          <x:bgColor rgb="FFDCFCE7"/>
        </x:patternFill>
      </x:fill>
    </x:dxf>
    <x:dxf>
      <x:font>
        <x:color rgb="FF7A5400"/>
      </x:font>
      <x:fill>
        <x:patternFill patternType="solid">
          <x:bgColor rgb="FFFFF1CC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color rgb="FF177E67"/>
      </x:font>
      <x:fill>
        <x:patternFill patternType="solid">
          <x:bgColor rgb="FFDCFCE7"/>
        </x:patternFill>
      </x:fill>
    </x:dxf>
    <x:dxf>
      <x:font>
        <x:color rgb="FF7A5400"/>
      </x:font>
      <x:fill>
        <x:patternFill patternType="solid">
          <x:bgColor rgb="FFFFF1CC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b/>
        <x:color rgb="FFFFFFFF"/>
      </x:font>
      <x:fill>
        <x:patternFill patternType="solid">
          <x:bgColor rgb="FF0B1F33"/>
        </x:patternFill>
      </x:fill>
    </x:dxf>
    <x:dxf>
      <x:font>
        <x:b/>
        <x:color rgb="FF0F766E"/>
      </x:font>
      <x:fill>
        <x:patternFill patternType="solid">
          <x:bgColor rgb="FFDFF5F2"/>
        </x:patternFill>
      </x:fill>
    </x:dxf>
    <x:dxf>
      <x:font>
        <x:b/>
        <x:color rgb="FF7A5400"/>
      </x:font>
      <x:fill>
        <x:patternFill patternType="solid">
          <x:bgColor rgb="FFFFF1CC"/>
        </x:patternFill>
      </x:fill>
    </x:dxf>
    <x:dxf>
      <x:font>
        <x:color rgb="FF64748B"/>
      </x:font>
      <x:fill>
        <x:patternFill patternType="solid">
          <x:bgColor rgb="FFEEF2F6"/>
        </x:patternFill>
      </x:fill>
    </x:dxf>
    <x:dxf>
      <x:font>
        <x:color rgb="FF177E67"/>
      </x:font>
      <x:fill>
        <x:patternFill patternType="solid">
          <x:bgColor rgb="FFDCFCE7"/>
        </x:patternFill>
      </x:fill>
    </x:dxf>
    <x:dxf>
      <x:font>
        <x:color rgb="FF7A5400"/>
      </x:font>
      <x:fill>
        <x:patternFill patternType="solid">
          <x:bgColor rgb="FFFFF1CC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b/>
        <x:color rgb="FFFFFFFF"/>
      </x:font>
      <x:fill>
        <x:patternFill patternType="solid">
          <x:bgColor rgb="FF0B1F33"/>
        </x:patternFill>
      </x:fill>
    </x:dxf>
    <x:dxf>
      <x:font>
        <x:b/>
        <x:color rgb="FF0F766E"/>
      </x:font>
      <x:fill>
        <x:patternFill patternType="solid">
          <x:bgColor rgb="FFDFF5F2"/>
        </x:patternFill>
      </x:fill>
    </x:dxf>
    <x:dxf>
      <x:font>
        <x:b/>
        <x:color rgb="FF7A5400"/>
      </x:font>
      <x:fill>
        <x:patternFill patternType="solid">
          <x:bgColor rgb="FFFFF1CC"/>
        </x:patternFill>
      </x:fill>
    </x:dxf>
    <x:dxf>
      <x:font>
        <x:color rgb="FF64748B"/>
      </x:font>
      <x:fill>
        <x:patternFill patternType="solid">
          <x:bgColor rgb="FFEEF2F6"/>
        </x:patternFill>
      </x:fill>
    </x:dxf>
    <x:dxf>
      <x:font>
        <x:b/>
        <x:color rgb="FFFFFFFF"/>
      </x:font>
      <x:fill>
        <x:patternFill patternType="solid">
          <x:bgColor rgb="FF0B1F33"/>
        </x:patternFill>
      </x:fill>
    </x:dxf>
    <x:dxf>
      <x:font>
        <x:b/>
        <x:color rgb="FF0F766E"/>
      </x:font>
      <x:fill>
        <x:patternFill patternType="solid">
          <x:bgColor rgb="FFDFF5F2"/>
        </x:patternFill>
      </x:fill>
    </x:dxf>
    <x:dxf>
      <x:font>
        <x:b/>
        <x:color rgb="FF7A5400"/>
      </x:font>
      <x:fill>
        <x:patternFill patternType="solid">
          <x:bgColor rgb="FFFFF1CC"/>
        </x:patternFill>
      </x:fill>
    </x:dxf>
    <x:dxf>
      <x:font>
        <x:color rgb="FF64748B"/>
      </x:font>
      <x:fill>
        <x:patternFill patternType="solid">
          <x:bgColor rgb="FFEEF2F6"/>
        </x:patternFill>
      </x:fill>
    </x:dxf>
    <x:dxf>
      <x:font>
        <x:color rgb="FF177E67"/>
      </x:font>
      <x:fill>
        <x:patternFill patternType="solid">
          <x:bgColor rgb="FFDCFCE7"/>
        </x:patternFill>
      </x:fill>
    </x:dxf>
    <x:dxf>
      <x:font>
        <x:color rgb="FF7A5400"/>
      </x:font>
      <x:fill>
        <x:patternFill patternType="solid">
          <x:bgColor rgb="FFFFF1CC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color rgb="FFC2413B"/>
      </x:font>
      <x:fill>
        <x:patternFill patternType="solid">
          <x:bgColor rgb="FFFDE8E7"/>
        </x:patternFill>
      </x:fill>
    </x:dxf>
    <x:dxf>
      <x:font>
        <x:color rgb="FF177E67"/>
      </x:font>
      <x:fill>
        <x:patternFill patternType="solid">
          <x:bgColor rgb="FFDCFCE7"/>
        </x:patternFill>
      </x:fill>
    </x:dxf>
    <x:dxf>
      <x:font>
        <x:color rgb="FF0B1F33"/>
      </x:font>
      <x:fill>
        <x:patternFill patternType="solid">
          <x:bgColor rgb="FFE6F0FA"/>
        </x:patternFill>
      </x:fill>
    </x:dxf>
    <x:dxf>
      <x:font>
        <x:b/>
        <x:color rgb="FFFFFFFF"/>
      </x:font>
      <x:fill>
        <x:patternFill patternType="solid">
          <x:bgColor rgb="FF0B1F33"/>
        </x:patternFill>
      </x:fill>
    </x:dxf>
    <x:dxf>
      <x:font>
        <x:b/>
        <x:color rgb="FF177E67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b973b349f453b" /><Relationship Type="http://schemas.openxmlformats.org/officeDocument/2006/relationships/theme" Target="/xl/theme/theme1.xml" Id="Ra75f3f34c3a9483e" /><Relationship Type="http://schemas.microsoft.com/office/2022/11/relationships/FeaturePropertyBag" Target="/xl/featurePropertyBag/featurePropertyBag.xml" Id="R4e8b4f7fd0fe44e2" /><Relationship Type="http://schemas.openxmlformats.org/officeDocument/2006/relationships/sharedStrings" Target="/xl/sharedStrings.xml" Id="R276501dd83fd483f" /><Relationship Type="http://schemas.openxmlformats.org/officeDocument/2006/relationships/worksheet" Target="/xl/worksheets/sheet1.xml" Id="Re82f2bf64ae441ca" /><Relationship Type="http://schemas.openxmlformats.org/officeDocument/2006/relationships/worksheet" Target="/xl/worksheets/sheet2.xml" Id="R6bedfe1f3566494f" /><Relationship Type="http://schemas.openxmlformats.org/officeDocument/2006/relationships/worksheet" Target="/xl/worksheets/sheet3.xml" Id="Rfa96cca9322b4f8a" /><Relationship Type="http://schemas.openxmlformats.org/officeDocument/2006/relationships/worksheet" Target="/xl/worksheets/sheet4.xml" Id="Rf8918012a59c4d2e" /><Relationship Type="http://schemas.openxmlformats.org/officeDocument/2006/relationships/worksheet" Target="/xl/worksheets/sheet5.xml" Id="R1c28e57537f4431f" /><Relationship Type="http://schemas.openxmlformats.org/officeDocument/2006/relationships/worksheet" Target="/xl/worksheets/sheet6.xml" Id="R5ec2bbd148dc44a9" /><Relationship Type="http://schemas.openxmlformats.org/officeDocument/2006/relationships/worksheet" Target="/xl/worksheets/sheet7.xml" Id="R80c892ea7a404f72" /><Relationship Type="http://schemas.openxmlformats.org/officeDocument/2006/relationships/worksheet" Target="/xl/worksheets/sheet8.xml" Id="R2f35de15d9124bcd" /><Relationship Type="http://schemas.openxmlformats.org/officeDocument/2006/relationships/worksheet" Target="/xl/worksheets/sheet9.xml" Id="R89a3d0ace5874a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CoreSourcesTable" displayName="CoreSourcesTable" ref="A4:M172" headerRowCount="1" totalsRowCount="0" totalsRowShown="0">
  <x:tableColumns count="13">
    <x:tableColumn id="1" name="优先级"/>
    <x:tableColumn id="2" name="综合分"/>
    <x:tableColumn id="3" name="主分类"/>
    <x:tableColumn id="4" name="名称"/>
    <x:tableColumn id="5" name="作者/机构"/>
    <x:tableColumn id="6" name="引用角色"/>
    <x:tableColumn id="7" name="类型"/>
    <x:tableColumn id="8" name="主页URL"/>
    <x:tableColumn id="9" name="Feed/API URL"/>
    <x:tableColumn id="10" name="适合X帖型"/>
    <x:tableColumn id="11" name="为什么值得"/>
    <x:tableColumn id="12" name="Feed状态"/>
    <x:tableColumn id="13" name="核验/版权提醒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llSourcesTable" displayName="AllSourcesTable" ref="A4:AG498" headerRowCount="1" totalsRowCount="0" totalsRowShown="0">
  <x:tableColumns count="33">
    <x:tableColumn id="1" name="ID"/>
    <x:tableColumn id="2" name="优先级"/>
    <x:tableColumn id="3" name="综合分"/>
    <x:tableColumn id="4" name="主分类"/>
    <x:tableColumn id="5" name="子分类"/>
    <x:tableColumn id="6" name="名称"/>
    <x:tableColumn id="7" name="作者/机构"/>
    <x:tableColumn id="8" name="类型"/>
    <x:tableColumn id="9" name="语言"/>
    <x:tableColumn id="10" name="引用角色"/>
    <x:tableColumn id="11" name="访问"/>
    <x:tableColumn id="12" name="更新频率"/>
    <x:tableColumn id="13" name="主页URL"/>
    <x:tableColumn id="14" name="Feed/API URL"/>
    <x:tableColumn id="15" name="Feed状态"/>
    <x:tableColumn id="16" name="权威性"/>
    <x:tableColumn id="17" name="原创性"/>
    <x:tableColumn id="18" name="证据密度"/>
    <x:tableColumn id="19" name="解释力"/>
    <x:tableColumn id="20" name="视觉/数据潜力"/>
    <x:tableColumn id="21" name="稳定性"/>
    <x:tableColumn id="22" name="开放性"/>
    <x:tableColumn id="23" name="适合X帖型"/>
    <x:tableColumn id="24" name="为什么值得"/>
    <x:tableColumn id="25" name="核验/版权提醒"/>
    <x:tableColumn id="26" name="Karpathy共享"/>
    <x:tableColumn id="27" name="Karpathy排序"/>
    <x:tableColumn id="28" name="来源集合"/>
    <x:tableColumn id="29" name="来源/溯源URL"/>
    <x:tableColumn id="30" name="核验日期"/>
    <x:tableColumn id="31" name="HTTP"/>
    <x:tableColumn id="32" name="最终URL"/>
    <x:tableColumn id="33" name="主题标签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arpathySharedTable" displayName="KarpathySharedTable" ref="A4:L96" headerRowCount="1" totalsRowCount="0" totalsRowShown="0">
  <x:tableColumns count="12">
    <x:tableColumn id="1" name="排序"/>
    <x:tableColumn id="2" name="博客/域名"/>
    <x:tableColumn id="3" name="作者"/>
    <x:tableColumn id="4" name="主分类"/>
    <x:tableColumn id="5" name="原始主题"/>
    <x:tableColumn id="6" name="主页URL"/>
    <x:tableColumn id="7" name="原始Feed"/>
    <x:tableColumn id="8" name="当前/最终Feed"/>
    <x:tableColumn id="9" name="状态"/>
    <x:tableColumn id="10" name="引用角色"/>
    <x:tableColumn id="11" name="适合X帖型"/>
    <x:tableColumn id="12" name="提醒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YouTubeSourcesTable" displayName="YouTubeSourcesTable" ref="A4:L62" headerRowCount="1" totalsRowCount="0" totalsRowShown="0">
  <x:tableColumns count="12">
    <x:tableColumn id="1" name="优先级"/>
    <x:tableColumn id="2" name="综合分"/>
    <x:tableColumn id="3" name="主分类"/>
    <x:tableColumn id="4" name="细分主题"/>
    <x:tableColumn id="5" name="频道"/>
    <x:tableColumn id="6" name="Channel ID"/>
    <x:tableColumn id="7" name="频道URL"/>
    <x:tableColumn id="8" name="RSS"/>
    <x:tableColumn id="9" name="引用角色"/>
    <x:tableColumn id="10" name="适合X帖型"/>
    <x:tableColumn id="11" name="Feed状态"/>
    <x:tableColumn id="12" name="核验提醒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basesPlatformsTable" displayName="DatabasesPlatformsTable" ref="A4:L164" headerRowCount="1" totalsRowCount="0" totalsRowShown="0">
  <x:tableColumns count="12">
    <x:tableColumn id="1" name="优先级"/>
    <x:tableColumn id="2" name="综合分"/>
    <x:tableColumn id="3" name="主分类"/>
    <x:tableColumn id="4" name="名称"/>
    <x:tableColumn id="5" name="类型"/>
    <x:tableColumn id="6" name="访问"/>
    <x:tableColumn id="7" name="引用角色"/>
    <x:tableColumn id="8" name="主页/API"/>
    <x:tableColumn id="9" name="素材类型"/>
    <x:tableColumn id="10" name="适合X帖型"/>
    <x:tableColumn id="11" name="为什么值得"/>
    <x:tableColumn id="12" name="核验/版权提醒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ndHealthGrowthBusinessTable" displayName="MindHealthGrowthBusinessTable" ref="A4:N159" headerRowCount="1" totalsRowCount="0" totalsRowShown="0">
  <x:tableColumns count="14">
    <x:tableColumn id="1" name="优先级"/>
    <x:tableColumn id="2" name="综合分"/>
    <x:tableColumn id="3" name="主分类"/>
    <x:tableColumn id="4" name="细分主题"/>
    <x:tableColumn id="5" name="名称"/>
    <x:tableColumn id="6" name="作者/机构"/>
    <x:tableColumn id="7" name="引用角色"/>
    <x:tableColumn id="8" name="类型"/>
    <x:tableColumn id="9" name="主页URL"/>
    <x:tableColumn id="10" name="Feed/API URL"/>
    <x:tableColumn id="11" name="Feed状态"/>
    <x:tableColumn id="12" name="适合X帖型"/>
    <x:tableColumn id="13" name="为什么值得"/>
    <x:tableColumn id="14" name="核验/安全边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terialCaptureTable" displayName="MaterialCaptureTable" ref="A4:V204" headerRowCount="1" totalsRowCount="0" totalsRowShown="0">
  <x:tableColumns count="22">
    <x:tableColumn id="1" name="捕获日期"/>
    <x:tableColumn id="2" name="状态"/>
    <x:tableColumn id="3" name="主分类"/>
    <x:tableColumn id="4" name="选题/工作标题"/>
    <x:tableColumn id="5" name="原文标题"/>
    <x:tableColumn id="6" name="来源"/>
    <x:tableColumn id="7" name="原文URL"/>
    <x:tableColumn id="8" name="自己的核心洞见"/>
    <x:tableColumn id="9" name="关键事实/数字"/>
    <x:tableColumn id="10" name="短引用/转述"/>
    <x:tableColumn id="11" name="原始证据URL"/>
    <x:tableColumn id="12" name="视觉素材URL"/>
    <x:tableColumn id="13" name="受众收益"/>
    <x:tableColumn id="14" name="X帖型"/>
    <x:tableColumn id="15" name="Hook草稿"/>
    <x:tableColumn id="16" name="反方/限制"/>
    <x:tableColumn id="17" name="权利/署名"/>
    <x:tableColumn id="18" name="计划发布日期"/>
    <x:tableColumn id="19" name="已发布URL"/>
    <x:tableColumn id="20" name="备注"/>
    <x:tableColumn id="21" name="完整度"/>
    <x:tableColumn id="22" name="可发布? 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22bb41c932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6faac313ed45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35751bd5fc49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635e8bffe242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b2dfcc2fa842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591f4eb2bc41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0a608907e543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高质量信源素材库｜X 发帖版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目标：把算法刷屏改造成可控的信息供应链——先发现，再核验，再形成自己的解释，最后发布高流量且真正利他的内容。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4" customHeight="1">
      <x:c r="A4" s="85" t="str">
        <x:v>信源总数</x:v>
      </x:c>
      <x:c r="B4" s="85"/>
      <x:c r="C4" s="85" t="str">
        <x:v>Feed/API 地址</x:v>
      </x:c>
      <x:c r="D4" s="85"/>
      <x:c r="E4" s="85" t="str">
        <x:v>核心 S/A</x:v>
      </x:c>
      <x:c r="F4" s="85"/>
      <x:c r="G4" s="85" t="str">
        <x:v>Karpathy 共享集</x:v>
      </x:c>
      <x:c r="H4" s="85"/>
      <x:c r="I4" s="85" t="str">
        <x:v>YouTube 频道</x:v>
      </x:c>
      <x:c r="J4" s="85"/>
    </x:row>
    <x:row r="5" ht="24" customHeight="1">
      <x:c r="A5" s="96" t="n">
        <x:f>COUNTA('全部信源'!$A$5:$A$498)</x:f>
        <x:v>494</x:v>
      </x:c>
      <x:c r="B5" s="97"/>
      <x:c r="C5" s="96" t="n">
        <x:f>COUNTA('全部信源'!$A$5:$A$498)-COUNTIF('全部信源'!$O$5:$O$498,"无RSS/API入口")</x:f>
        <x:v>412</x:v>
      </x:c>
      <x:c r="D5" s="97"/>
      <x:c r="E5" s="96" t="n">
        <x:f>COUNTIF('全部信源'!$B$5:$B$498,"S")+COUNTIF('全部信源'!$B$5:$B$498,"A")</x:f>
        <x:v>168</x:v>
      </x:c>
      <x:c r="F5" s="97"/>
      <x:c r="G5" s="96" t="n">
        <x:f>COUNTA('Karpathy 92'!$B$5:$B$96)</x:f>
        <x:v>92</x:v>
      </x:c>
      <x:c r="H5" s="97"/>
      <x:c r="I5" s="96" t="n">
        <x:f>COUNTA('YouTube'!$F$5:$F$62)</x:f>
        <x:v>58</x:v>
      </x:c>
      <x:c r="J5" s="97"/>
    </x:row>
    <x:row r="6" ht="24" customHeight="1">
      <x:c r="A6" s="98"/>
      <x:c r="B6" s="99"/>
      <x:c r="C6" s="98"/>
      <x:c r="D6" s="99"/>
      <x:c r="E6" s="98"/>
      <x:c r="F6" s="99"/>
      <x:c r="G6" s="98"/>
      <x:c r="H6" s="99"/>
      <x:c r="I6" s="98"/>
      <x:c r="J6" s="99"/>
    </x:row>
    <x:row r="8" ht="32" customHeight="1">
      <x:c r="A8" s="13" t="str">
        <x:v>覆盖领域</x:v>
      </x:c>
      <x:c r="B8" s="13" t="str">
        <x:v>来源数</x:v>
      </x:c>
      <x:c r="D8" s="83" t="str">
        <x:v>引用阶梯：先决定“这个来源在帖子里扮演什么角色”</x:v>
      </x:c>
      <x:c r="E8" s="83"/>
      <x:c r="F8" s="83"/>
      <x:c r="G8" s="83"/>
      <x:c r="H8" s="83"/>
      <x:c r="I8" s="83"/>
      <x:c r="J8" s="83"/>
    </x:row>
    <x:row r="9" ht="34" customHeight="1">
      <x:c r="A9" s="15" t="str">
        <x:v>成长与学习</x:v>
      </x:c>
      <x:c r="B9" s="15" t="n">
        <x:f>COUNTIF('全部信源'!$D$5:$D$498,A9)</x:f>
        <x:v>15</x:v>
      </x:c>
      <x:c r="D9" s="106" t="str">
        <x:v>1 证据源</x:v>
      </x:c>
      <x:c r="E9" s="107" t="str">
        <x:v>论文 / 官方文件 / 原始数据 / 馆藏记录</x:v>
      </x:c>
      <x:c r="F9" s="107"/>
      <x:c r="G9" s="107"/>
      <x:c r="H9" s="107" t="str">
        <x:v>可承载事实；仍需核对日期、定义与方法</x:v>
      </x:c>
      <x:c r="I9" s="107"/>
      <x:c r="J9" s="107"/>
    </x:row>
    <x:row r="10" ht="34" customHeight="1">
      <x:c r="A10" s="17" t="str">
        <x:v>地球、地理与城市</x:v>
      </x:c>
      <x:c r="B10" s="17" t="n">
        <x:f>COUNTIF('全部信源'!$D$5:$D$498,A10)</x:f>
        <x:v>32</x:v>
      </x:c>
      <x:c r="D10" s="108" t="str">
        <x:v>2 解释源</x:v>
      </x:c>
      <x:c r="E10" s="109" t="str">
        <x:v>专家博客 / 高质量期刊解释 / 教学频道</x:v>
      </x:c>
      <x:c r="F10" s="109"/>
      <x:c r="G10" s="109"/>
      <x:c r="H10" s="109" t="str">
        <x:v>用于把难题讲清；数字回查一手</x:v>
      </x:c>
      <x:c r="I10" s="109"/>
      <x:c r="J10" s="109"/>
    </x:row>
    <x:row r="11" ht="34" customHeight="1">
      <x:c r="A11" s="17" t="str">
        <x:v>健康与福祉</x:v>
      </x:c>
      <x:c r="B11" s="17" t="n">
        <x:f>COUNTIF('全部信源'!$D$5:$D$498,A11)</x:f>
        <x:v>47</x:v>
      </x:c>
      <x:c r="D11" s="108" t="str">
        <x:v>3 观点源</x:v>
      </x:c>
      <x:c r="E11" s="109" t="str">
        <x:v>个人长文 / 评论 / 哲学讨论</x:v>
      </x:c>
      <x:c r="F11" s="109"/>
      <x:c r="G11" s="109"/>
      <x:c r="H11" s="109" t="str">
        <x:v>必须明确归因，并写出边界或反方</x:v>
      </x:c>
      <x:c r="I11" s="109"/>
      <x:c r="J11" s="109"/>
    </x:row>
    <x:row r="12" ht="34" customHeight="1">
      <x:c r="A12" s="17" t="str">
        <x:v>科学与数学</x:v>
      </x:c>
      <x:c r="B12" s="17" t="n">
        <x:f>COUNTIF('全部信源'!$D$5:$D$498,A12)</x:f>
        <x:v>35</x:v>
      </x:c>
      <x:c r="D12" s="108" t="str">
        <x:v>4 线索源</x:v>
      </x:c>
      <x:c r="E12" s="109" t="str">
        <x:v>新闻聚合 / 社群 / 快讯 / 强叙事视频</x:v>
      </x:c>
      <x:c r="F12" s="109"/>
      <x:c r="G12" s="109"/>
      <x:c r="H12" s="109" t="str">
        <x:v>只用来发现；沿链接追到原始材料</x:v>
      </x:c>
      <x:c r="I12" s="109"/>
      <x:c r="J12" s="109"/>
    </x:row>
    <x:row r="13" ht="34" customHeight="1">
      <x:c r="A13" s="17" t="str">
        <x:v>历史与考古</x:v>
      </x:c>
      <x:c r="B13" s="17" t="n">
        <x:f>COUNTIF('全部信源'!$D$5:$D$498,A13)</x:f>
        <x:v>35</x:v>
      </x:c>
      <x:c r="D13" s="110" t="str">
        <x:v>5 灵感源</x:v>
      </x:c>
      <x:c r="E13" s="111" t="str">
        <x:v>设计站 / 艺术策展 / 视觉案例</x:v>
      </x:c>
      <x:c r="F13" s="111"/>
      <x:c r="G13" s="111"/>
      <x:c r="H13" s="111" t="str">
        <x:v>借鉴表达，不搬图、不把灵感当证据</x:v>
      </x:c>
      <x:c r="I13" s="111"/>
      <x:c r="J13" s="111"/>
    </x:row>
    <x:row r="14">
      <x:c r="A14" s="17" t="str">
        <x:v>人文与跨学科</x:v>
      </x:c>
      <x:c r="B14" s="17" t="n">
        <x:f>COUNTIF('全部信源'!$D$5:$D$498,A14)</x:f>
        <x:v>21</x:v>
      </x:c>
    </x:row>
    <x:row r="15">
      <x:c r="A15" s="17" t="str">
        <x:v>商业、管理与创新</x:v>
      </x:c>
      <x:c r="B15" s="17" t="n">
        <x:f>COUNTIF('全部信源'!$D$5:$D$498,A15)</x:f>
        <x:v>49</x:v>
      </x:c>
    </x:row>
    <x:row r="16">
      <x:c r="A16" s="17" t="str">
        <x:v>社群与发现</x:v>
      </x:c>
      <x:c r="B16" s="17" t="n">
        <x:f>COUNTIF('全部信源'!$D$5:$D$498,A16)</x:f>
        <x:v>8</x:v>
      </x:c>
    </x:row>
    <x:row r="17">
      <x:c r="A17" s="17" t="str">
        <x:v>数据与可视化</x:v>
      </x:c>
      <x:c r="B17" s="17" t="n">
        <x:f>COUNTIF('全部信源'!$D$5:$D$498,A17)</x:f>
        <x:v>23</x:v>
      </x:c>
    </x:row>
    <x:row r="18">
      <x:c r="A18" s="17" t="str">
        <x:v>天文与太空</x:v>
      </x:c>
      <x:c r="B18" s="17" t="n">
        <x:f>COUNTIF('全部信源'!$D$5:$D$498,A18)</x:f>
        <x:v>21</x:v>
      </x:c>
    </x:row>
    <x:row r="19">
      <x:c r="A19" s="17" t="str">
        <x:v>心理、认知与情商</x:v>
      </x:c>
      <x:c r="B19" s="17" t="n">
        <x:f>COUNTIF('全部信源'!$D$5:$D$498,A19)</x:f>
        <x:v>44</x:v>
      </x:c>
    </x:row>
    <x:row r="20">
      <x:c r="A20" s="17" t="str">
        <x:v>新闻与调查</x:v>
      </x:c>
      <x:c r="B20" s="17" t="n">
        <x:f>COUNTIF('全部信源'!$D$5:$D$498,A20)</x:f>
        <x:v>13</x:v>
      </x:c>
    </x:row>
    <x:row r="21">
      <x:c r="A21" s="17" t="str">
        <x:v>艺术、设计与建筑</x:v>
      </x:c>
      <x:c r="B21" s="17" t="n">
        <x:f>COUNTIF('全部信源'!$D$5:$D$498,A21)</x:f>
        <x:v>43</x:v>
      </x:c>
    </x:row>
    <x:row r="22">
      <x:c r="A22" s="17" t="str">
        <x:v>哲学与思想</x:v>
      </x:c>
      <x:c r="B22" s="17" t="n">
        <x:f>COUNTIF('全部信源'!$D$5:$D$498,A22)</x:f>
        <x:v>12</x:v>
      </x:c>
    </x:row>
    <x:row r="23">
      <x:c r="A23" s="19" t="str">
        <x:v>AI、科技与工程</x:v>
      </x:c>
      <x:c r="B23" s="19" t="n">
        <x:f>COUNTIF('全部信源'!$D$5:$D$498,A23)</x:f>
        <x:v>96</x:v>
      </x:c>
    </x:row>
    <x:row r="25">
      <x:c r="A25" s="113" t="str">
        <x:v>每天 25 分钟：发现 → 追源 → 成材 → 发布</x:v>
      </x:c>
      <x:c r="B25" s="113"/>
      <x:c r="C25" s="113"/>
      <x:c r="D25" s="113"/>
      <x:c r="E25" s="113"/>
      <x:c r="F25" s="113"/>
      <x:c r="G25" s="113"/>
      <x:c r="H25" s="113"/>
      <x:c r="I25" s="113"/>
      <x:c r="J25" s="113"/>
    </x:row>
    <x:row r="26" ht="30" customHeight="1">
      <x:c r="A26" s="115" t="str">
        <x:v>① 发现 5 分钟</x:v>
      </x:c>
      <x:c r="B26" s="115"/>
      <x:c r="C26" s="115"/>
      <x:c r="D26" s="118" t="str">
        <x:v>核心 OPML 只扫标题；标记与读者痛点有关的 3 条。</x:v>
      </x:c>
      <x:c r="E26" s="118"/>
      <x:c r="F26" s="118"/>
      <x:c r="G26" s="118"/>
      <x:c r="H26" s="118"/>
      <x:c r="I26" s="118"/>
      <x:c r="J26" s="118"/>
    </x:row>
    <x:row r="27" ht="30" customHeight="1">
      <x:c r="A27" s="115" t="str">
        <x:v>② 追源 8 分钟</x:v>
      </x:c>
      <x:c r="B27" s="115"/>
      <x:c r="C27" s="115"/>
      <x:c r="D27" s="118" t="str">
        <x:v>把二手解释追到论文、数据、公告、原典；记录日期、作者、方法。</x:v>
      </x:c>
      <x:c r="E27" s="118"/>
      <x:c r="F27" s="118"/>
      <x:c r="G27" s="118"/>
      <x:c r="H27" s="118"/>
      <x:c r="I27" s="118"/>
      <x:c r="J27" s="118"/>
    </x:row>
    <x:row r="28" ht="30" customHeight="1">
      <x:c r="A28" s="115" t="str">
        <x:v>③ 成材 8 分钟</x:v>
      </x:c>
      <x:c r="B28" s="115"/>
      <x:c r="C28" s="115"/>
      <x:c r="D28" s="118" t="str">
        <x:v>在素材收集台写：自己的洞见、关键数字、限制、受众收益、视觉。</x:v>
      </x:c>
      <x:c r="E28" s="118"/>
      <x:c r="F28" s="118"/>
      <x:c r="G28" s="118"/>
      <x:c r="H28" s="118"/>
      <x:c r="I28" s="118"/>
      <x:c r="J28" s="118"/>
    </x:row>
    <x:row r="29" ht="30" customHeight="1">
      <x:c r="A29" s="115" t="str">
        <x:v>④ 发布 4 分钟</x:v>
      </x:c>
      <x:c r="B29" s="115"/>
      <x:c r="C29" s="115"/>
      <x:c r="D29" s="118" t="str">
        <x:v>先给结论和收益，再给证据与链接；所有图片/长引用单独核权。</x:v>
      </x:c>
      <x:c r="E29" s="118"/>
      <x:c r="F29" s="118"/>
      <x:c r="G29" s="118"/>
      <x:c r="H29" s="118"/>
      <x:c r="I29" s="118"/>
      <x:c r="J29" s="118"/>
    </x:row>
    <x:row r="31" ht="32" customHeight="1">
      <x:c r="A31" s="52" t="str">
        <x:v>四个不要：不要把 Karpathy 共享集写成“Karpathy 亲选”；不要把 RSS 可访问写成“内容已证实”；不要把健康/心理信息当作个体诊断；不要把商业成功案例当成可复制因果。图片与长引用仍需单独核权。</x:v>
      </x:c>
      <x:c r="B31" s="53"/>
      <x:c r="C31" s="53"/>
      <x:c r="D31" s="53"/>
      <x:c r="E31" s="53"/>
      <x:c r="F31" s="53"/>
      <x:c r="G31" s="53"/>
      <x:c r="H31" s="53"/>
      <x:c r="I31" s="53"/>
      <x:c r="J31" s="54"/>
    </x:row>
    <x:row r="32" ht="32" customHeight="1">
      <x:c r="A32" s="58"/>
      <x:c r="B32" s="59"/>
      <x:c r="C32" s="59"/>
      <x:c r="D32" s="59"/>
      <x:c r="E32" s="59"/>
      <x:c r="F32" s="59"/>
      <x:c r="G32" s="59"/>
      <x:c r="H32" s="59"/>
      <x:c r="I32" s="59"/>
      <x:c r="J32" s="60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D8:J8"/>
    <x:mergeCell ref="E9:G9"/>
    <x:mergeCell ref="E10:G10"/>
    <x:mergeCell ref="E11:G11"/>
    <x:mergeCell ref="E12:G12"/>
    <x:mergeCell ref="E13:G13"/>
    <x:mergeCell ref="H9:J9"/>
    <x:mergeCell ref="H10:J10"/>
    <x:mergeCell ref="H11:J11"/>
    <x:mergeCell ref="H12:J12"/>
    <x:mergeCell ref="H13:J13"/>
    <x:mergeCell ref="A25:J25"/>
    <x:mergeCell ref="A26:C26"/>
    <x:mergeCell ref="D26:J26"/>
    <x:mergeCell ref="A27:C27"/>
    <x:mergeCell ref="D27:J27"/>
    <x:mergeCell ref="A28:C28"/>
    <x:mergeCell ref="D28:J28"/>
    <x:mergeCell ref="A29:C29"/>
    <x:mergeCell ref="D29:J29"/>
    <x:mergeCell ref="A31:J32"/>
  </x:mergeCells>
  <x:conditionalFormatting sqref="B9:B23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{FE6139A0-B084-9E3B-349D-B25F1E71807F}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E6139A0-B084-9E3B-349D-B25F1E71807F}">
            <x14:dataBar gradient="1">
              <x14:cfvo type="min"/>
              <x14:cfvo type="max"/>
              <x14:fillColor rgb="FF14B8A6"/>
            </x14:dataBar>
          </x14:cfRule>
          <xm:sqref>B9:B23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8" hidden="0" customWidth="1"/>
    <x:col min="5" max="5" width="20" hidden="0" customWidth="1"/>
    <x:col min="6" max="6" width="12" hidden="0" customWidth="1"/>
    <x:col min="7" max="7" width="22" hidden="0" customWidth="1"/>
    <x:col min="8" max="8" width="38" hidden="0" customWidth="1"/>
    <x:col min="9" max="9" width="42" hidden="0" customWidth="1"/>
    <x:col min="10" max="10" width="34" hidden="0" customWidth="1"/>
    <x:col min="11" max="11" width="46" hidden="0" customWidth="1"/>
    <x:col min="12" max="12" width="18" hidden="0" customWidth="1"/>
    <x:col min="13" max="13" width="52" hidden="0" customWidth="1"/>
  </x:cols>
  <x:sheetData>
    <x:row r="1" ht="34" customHeight="1">
      <x:c r="A1" s="3" t="str">
        <x:v>核心信源：先从这里开始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共 168 个 S/A 级来源（含 Feed、API 与资料库）。先导入核心 OPML，再按选题需要使用平台入口。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32" customHeight="1">
      <x:c r="A4" s="13" t="str">
        <x:v>优先级</x:v>
      </x:c>
      <x:c r="B4" s="13" t="str">
        <x:v>综合分</x:v>
      </x:c>
      <x:c r="C4" s="13" t="str">
        <x:v>主分类</x:v>
      </x:c>
      <x:c r="D4" s="13" t="str">
        <x:v>名称</x:v>
      </x:c>
      <x:c r="E4" s="13" t="str">
        <x:v>作者/机构</x:v>
      </x:c>
      <x:c r="F4" s="13" t="str">
        <x:v>引用角色</x:v>
      </x:c>
      <x:c r="G4" s="13" t="str">
        <x:v>类型</x:v>
      </x:c>
      <x:c r="H4" s="13" t="str">
        <x:v>主页URL</x:v>
      </x:c>
      <x:c r="I4" s="13" t="str">
        <x:v>Feed/API URL</x:v>
      </x:c>
      <x:c r="J4" s="13" t="str">
        <x:v>适合X帖型</x:v>
      </x:c>
      <x:c r="K4" s="13" t="str">
        <x:v>为什么值得</x:v>
      </x:c>
      <x:c r="L4" s="13" t="str">
        <x:v>Feed状态</x:v>
      </x:c>
      <x:c r="M4" s="13" t="str">
        <x:v>核验/版权提醒</x:v>
      </x:c>
    </x:row>
    <x:row r="5" ht="50" customHeight="1">
      <x:c r="A5" s="27" t="str">
        <x:v>S</x:v>
      </x:c>
      <x:c r="B5" s="27" t="n">
        <x:v>95</x:v>
      </x:c>
      <x:c r="C5" s="27" t="str">
        <x:v>地球、地理与城市</x:v>
      </x:c>
      <x:c r="D5" s="27" t="str">
        <x:v>Copernicus Browser</x:v>
      </x:c>
      <x:c r="E5" s="27" t="str"/>
      <x:c r="F5" s="27" t="str">
        <x:v>证据源</x:v>
      </x:c>
      <x:c r="G5" s="27" t="str">
        <x:v>Sentinel卫星影像、地表、气候和灾害数据</x:v>
      </x:c>
      <x:c r="H5" s="27" t="str">
        <x:v>https://browser.dataspace.copernicus.eu/</x:v>
      </x:c>
      <x:c r="I5" s="27" t="str"/>
      <x:c r="J5" s="27" t="str">
        <x:v>灾害前后对比、城市变化、地理图像</x:v>
      </x:c>
      <x:c r="K5" s="27" t="str">
        <x:v>可按地点和日期对比，适合生成一手地理视觉。</x:v>
      </x:c>
      <x:c r="L5" s="27" t="str">
        <x:v>无RSS/API入口</x:v>
      </x:c>
      <x:c r="M5" s="27" t="str">
        <x:v>平台服务而非RSS；下载和发布时应附卫星、产品、日期和处理级别。</x:v>
      </x:c>
    </x:row>
    <x:row r="6" ht="50" customHeight="1">
      <x:c r="A6" s="29" t="str">
        <x:v>S</x:v>
      </x:c>
      <x:c r="B6" s="29" t="n">
        <x:v>95</x:v>
      </x:c>
      <x:c r="C6" s="29" t="str">
        <x:v>地球、地理与城市</x:v>
      </x:c>
      <x:c r="D6" s="29" t="str">
        <x:v>Copernicus Climate Data Store</x:v>
      </x:c>
      <x:c r="E6" s="29" t="str"/>
      <x:c r="F6" s="29" t="str">
        <x:v>证据源</x:v>
      </x:c>
      <x:c r="G6" s="29" t="str">
        <x:v>气候数据平台 / API</x:v>
      </x:c>
      <x:c r="H6" s="29" t="str">
        <x:v>https://cds.climate.copernicus.eu/</x:v>
      </x:c>
      <x:c r="I6" s="29" t="str">
        <x:v>https://cds.climate.copernicus.eu/api-how-to</x:v>
      </x:c>
      <x:c r="J6" s="29" t="str">
        <x:v>气候异常、时间序列与地图</x:v>
      </x:c>
      <x:c r="K6" s="29" t="str">
        <x:v>ERA5 等权威气候再分析与预测数据入口。</x:v>
      </x:c>
      <x:c r="L6" s="29" t="str">
        <x:v>API入口</x:v>
      </x:c>
      <x:c r="M6" s="29" t="str">
        <x:v>使用前核对数据口径、更新时间、许可与引用格式。；未按 RSS/Atom 校验。</x:v>
      </x:c>
    </x:row>
    <x:row r="7" ht="50" customHeight="1">
      <x:c r="A7" s="29" t="str">
        <x:v>S</x:v>
      </x:c>
      <x:c r="B7" s="29" t="n">
        <x:v>95</x:v>
      </x:c>
      <x:c r="C7" s="29" t="str">
        <x:v>地球、地理与城市</x:v>
      </x:c>
      <x:c r="D7" s="29" t="str">
        <x:v>Copernicus Data Space Ecosystem</x:v>
      </x:c>
      <x:c r="E7" s="29" t="str"/>
      <x:c r="F7" s="29" t="str">
        <x:v>证据源</x:v>
      </x:c>
      <x:c r="G7" s="29" t="str">
        <x:v>遥感数据平台 / API</x:v>
      </x:c>
      <x:c r="H7" s="29" t="str">
        <x:v>https://dataspace.copernicus.eu/</x:v>
      </x:c>
      <x:c r="I7" s="29" t="str">
        <x:v>https://dataspace.copernicus.eu/analyse/apis</x:v>
      </x:c>
      <x:c r="J7" s="29" t="str">
        <x:v>洪水、火灾、农业与城市变化</x:v>
      </x:c>
      <x:c r="K7" s="29" t="str">
        <x:v>欧洲 Sentinel 数据的官方发现、处理与下载入口。</x:v>
      </x:c>
      <x:c r="L7" s="29" t="str">
        <x:v>API入口</x:v>
      </x:c>
      <x:c r="M7" s="29" t="str">
        <x:v>使用前核对数据口径、更新时间、许可与引用格式。；未按 RSS/Atom 校验。</x:v>
      </x:c>
    </x:row>
    <x:row r="8" ht="50" customHeight="1">
      <x:c r="A8" s="29" t="str">
        <x:v>S</x:v>
      </x:c>
      <x:c r="B8" s="29" t="n">
        <x:v>95</x:v>
      </x:c>
      <x:c r="C8" s="29" t="str">
        <x:v>地球、地理与城市</x:v>
      </x:c>
      <x:c r="D8" s="29" t="str">
        <x:v>GBIF</x:v>
      </x:c>
      <x:c r="E8" s="29" t="str"/>
      <x:c r="F8" s="29" t="str">
        <x:v>证据源</x:v>
      </x:c>
      <x:c r="G8" s="29" t="str">
        <x:v>生物多样性数据库 / API</x:v>
      </x:c>
      <x:c r="H8" s="29" t="str">
        <x:v>https://www.gbif.org/</x:v>
      </x:c>
      <x:c r="I8" s="29" t="str">
        <x:v>https://techdocs.gbif.org/en/openapi/</x:v>
      </x:c>
      <x:c r="J8" s="29" t="str">
        <x:v>物种地图、生态变化、采样偏差</x:v>
      </x:c>
      <x:c r="K8" s="29" t="str">
        <x:v>亿级物种出现记录，可做分布、迁徙和采样偏差图。</x:v>
      </x:c>
      <x:c r="L8" s="29" t="str">
        <x:v>API入口</x:v>
      </x:c>
      <x:c r="M8" s="29" t="str">
        <x:v>记录质量和采样强度不均；使用过滤并引用数据集 DOI。；未按 RSS/Atom 校验。</x:v>
      </x:c>
    </x:row>
    <x:row r="9" ht="50" customHeight="1">
      <x:c r="A9" s="29" t="str">
        <x:v>S</x:v>
      </x:c>
      <x:c r="B9" s="29" t="n">
        <x:v>95</x:v>
      </x:c>
      <x:c r="C9" s="29" t="str">
        <x:v>地球、地理与城市</x:v>
      </x:c>
      <x:c r="D9" s="29" t="str">
        <x:v>Library of Congress Digital Collections</x:v>
      </x:c>
      <x:c r="E9" s="29" t="str"/>
      <x:c r="F9" s="29" t="str">
        <x:v>证据源</x:v>
      </x:c>
      <x:c r="G9" s="29" t="str">
        <x:v>国家馆藏 / API</x:v>
      </x:c>
      <x:c r="H9" s="29" t="str">
        <x:v>https://www.loc.gov/collections/</x:v>
      </x:c>
      <x:c r="I9" s="29" t="str">
        <x:v>https://www.loc.gov/collections/?fo=json</x:v>
      </x:c>
      <x:c r="J9" s="29" t="str">
        <x:v>历史图卡、地图与原始文献</x:v>
      </x:c>
      <x:c r="K9" s="29" t="str">
        <x:v>高质量一手图像、地图、录音和文献，并附权利说明。</x:v>
      </x:c>
      <x:c r="L9" s="29" t="str">
        <x:v>API入口</x:v>
      </x:c>
      <x:c r="M9" s="29" t="str">
        <x:v>逐项阅读 Rights &amp; Access；馆藏机构不一定拥有版权。；未按 RSS/Atom 校验。</x:v>
      </x:c>
    </x:row>
    <x:row r="10" ht="50" customHeight="1">
      <x:c r="A10" s="29" t="str">
        <x:v>S</x:v>
      </x:c>
      <x:c r="B10" s="29" t="n">
        <x:v>95</x:v>
      </x:c>
      <x:c r="C10" s="29" t="str">
        <x:v>地球、地理与城市</x:v>
      </x:c>
      <x:c r="D10" s="29" t="str">
        <x:v>NASA Earth Observatory</x:v>
      </x:c>
      <x:c r="E10" s="29" t="str"/>
      <x:c r="F10" s="29" t="str">
        <x:v>证据源</x:v>
      </x:c>
      <x:c r="G10" s="29" t="str">
        <x:v>每日卫星图、气候与灾害科学说明</x:v>
      </x:c>
      <x:c r="H10" s="29" t="str">
        <x:v>https://earthobservatory.nasa.gov/</x:v>
      </x:c>
      <x:c r="I10" s="29" t="str">
        <x:v>https://science.nasa.gov/feed/?science_org=19791%2C22453</x:v>
      </x:c>
      <x:c r="J10" s="29" t="str">
        <x:v>卫星图解、地理冷知识、气候事件</x:v>
      </x:c>
      <x:c r="K10" s="29" t="str">
        <x:v>图像传播力强，同时附科学背景和数据出处。</x:v>
      </x:c>
      <x:c r="L10" s="29" t="str">
        <x:v>重定向后有效</x:v>
      </x:c>
      <x:c r="M10" s="29" t="str">
        <x:v>旧Feed已核验会重定向到NASA Science的限定Feed；保留旧URL便于兼容阅读器。</x:v>
      </x:c>
    </x:row>
    <x:row r="11" ht="50" customHeight="1">
      <x:c r="A11" s="29" t="str">
        <x:v>S</x:v>
      </x:c>
      <x:c r="B11" s="29" t="n">
        <x:v>95</x:v>
      </x:c>
      <x:c r="C11" s="29" t="str">
        <x:v>地球、地理与城市</x:v>
      </x:c>
      <x:c r="D11" s="29" t="str">
        <x:v>NASA Earthdata</x:v>
      </x:c>
      <x:c r="E11" s="29" t="str"/>
      <x:c r="F11" s="29" t="str">
        <x:v>证据源</x:v>
      </x:c>
      <x:c r="G11" s="29" t="str">
        <x:v>地球科学数据平台 / API</x:v>
      </x:c>
      <x:c r="H11" s="29" t="str">
        <x:v>https://www.earthdata.nasa.gov/</x:v>
      </x:c>
      <x:c r="I11" s="29" t="str">
        <x:v>https://cmr.earthdata.nasa.gov/search/</x:v>
      </x:c>
      <x:c r="J11" s="29" t="str">
        <x:v>卫星数据、气候与灾害图</x:v>
      </x:c>
      <x:c r="K11" s="29" t="str">
        <x:v>跨任务检索卫星、气候、海洋和陆地数据。</x:v>
      </x:c>
      <x:c r="L11" s="29" t="str">
        <x:v>API入口</x:v>
      </x:c>
      <x:c r="M11" s="29" t="str">
        <x:v>使用前核对数据口径、更新时间、许可与引用格式。；未按 RSS/Atom 校验。</x:v>
      </x:c>
    </x:row>
    <x:row r="12" ht="50" customHeight="1">
      <x:c r="A12" s="29" t="str">
        <x:v>S</x:v>
      </x:c>
      <x:c r="B12" s="29" t="n">
        <x:v>95</x:v>
      </x:c>
      <x:c r="C12" s="29" t="str">
        <x:v>地球、地理与城市</x:v>
      </x:c>
      <x:c r="D12" s="29" t="str">
        <x:v>NASA FIRMS</x:v>
      </x:c>
      <x:c r="E12" s="29" t="str"/>
      <x:c r="F12" s="29" t="str">
        <x:v>证据源</x:v>
      </x:c>
      <x:c r="G12" s="29" t="str">
        <x:v>卫星灾害数据 / API</x:v>
      </x:c>
      <x:c r="H12" s="29" t="str">
        <x:v>https://firms.modaps.eosdis.nasa.gov/</x:v>
      </x:c>
      <x:c r="I12" s="29" t="str">
        <x:v>https://firms.modaps.eosdis.nasa.gov/api/</x:v>
      </x:c>
      <x:c r="J12" s="29" t="str">
        <x:v>野火地图、灾害解释与时间线</x:v>
      </x:c>
      <x:c r="K12" s="29" t="str">
        <x:v>近实时全球火点数据，适合灾害态势和区域比较。</x:v>
      </x:c>
      <x:c r="L12" s="29" t="str">
        <x:v>API入口</x:v>
      </x:c>
      <x:c r="M12" s="29" t="str">
        <x:v>使用前核对数据口径、更新时间、许可与引用格式。；未按 RSS/Atom 校验。</x:v>
      </x:c>
    </x:row>
    <x:row r="13" ht="50" customHeight="1">
      <x:c r="A13" s="29" t="str">
        <x:v>S</x:v>
      </x:c>
      <x:c r="B13" s="29" t="n">
        <x:v>95</x:v>
      </x:c>
      <x:c r="C13" s="29" t="str">
        <x:v>地球、地理与城市</x:v>
      </x:c>
      <x:c r="D13" s="29" t="str">
        <x:v>Natural Earth</x:v>
      </x:c>
      <x:c r="E13" s="29" t="str"/>
      <x:c r="F13" s="29" t="str">
        <x:v>证据源</x:v>
      </x:c>
      <x:c r="G13" s="29" t="str">
        <x:v>地图数据集</x:v>
      </x:c>
      <x:c r="H13" s="29" t="str">
        <x:v>https://www.naturalearthdata.com/</x:v>
      </x:c>
      <x:c r="I13" s="29" t="str"/>
      <x:c r="J13" s="29" t="str">
        <x:v>世界地图、地缘与地理图卡</x:v>
      </x:c>
      <x:c r="K13" s="29" t="str">
        <x:v>制图友好的国家、城市、河流与地形矢量/栅格数据。</x:v>
      </x:c>
      <x:c r="L13" s="29" t="str">
        <x:v>无RSS/API入口</x:v>
      </x:c>
      <x:c r="M13" s="29" t="str">
        <x:v>地图边界是制图资料，不代表任何政治立场；标明版本和尺度。</x:v>
      </x:c>
    </x:row>
    <x:row r="14" ht="50" customHeight="1">
      <x:c r="A14" s="29" t="str">
        <x:v>S</x:v>
      </x:c>
      <x:c r="B14" s="29" t="n">
        <x:v>95</x:v>
      </x:c>
      <x:c r="C14" s="29" t="str">
        <x:v>地球、地理与城市</x:v>
      </x:c>
      <x:c r="D14" s="29" t="str">
        <x:v>NOAA NCEI</x:v>
      </x:c>
      <x:c r="E14" s="29" t="str"/>
      <x:c r="F14" s="29" t="str">
        <x:v>证据源</x:v>
      </x:c>
      <x:c r="G14" s="29" t="str">
        <x:v>官方环境数据 / API</x:v>
      </x:c>
      <x:c r="H14" s="29" t="str">
        <x:v>https://www.ncei.noaa.gov/</x:v>
      </x:c>
      <x:c r="I14" s="29" t="str">
        <x:v>https://www.ncei.noaa.gov/access/services/data/v1</x:v>
      </x:c>
      <x:c r="J14" s="29" t="str">
        <x:v>极端天气、长期趋势与地区比较</x:v>
      </x:c>
      <x:c r="K14" s="29" t="str">
        <x:v>长期气候和天气观测的权威档案。</x:v>
      </x:c>
      <x:c r="L14" s="29" t="str">
        <x:v>API入口</x:v>
      </x:c>
      <x:c r="M14" s="29" t="str">
        <x:v>使用前核对数据口径、更新时间、许可与引用格式。；未按 RSS/Atom 校验。</x:v>
      </x:c>
    </x:row>
    <x:row r="15" ht="50" customHeight="1">
      <x:c r="A15" s="29" t="str">
        <x:v>S</x:v>
      </x:c>
      <x:c r="B15" s="29" t="n">
        <x:v>95</x:v>
      </x:c>
      <x:c r="C15" s="29" t="str">
        <x:v>地球、地理与城市</x:v>
      </x:c>
      <x:c r="D15" s="29" t="str">
        <x:v>OpenStreetMap</x:v>
      </x:c>
      <x:c r="E15" s="29" t="str"/>
      <x:c r="F15" s="29" t="str">
        <x:v>证据源</x:v>
      </x:c>
      <x:c r="G15" s="29" t="str">
        <x:v>地理数据库 / Overpass API</x:v>
      </x:c>
      <x:c r="H15" s="29" t="str">
        <x:v>https://www.openstreetmap.org/</x:v>
      </x:c>
      <x:c r="I15" s="29" t="str">
        <x:v>https://overpass-api.de/api/interpreter</x:v>
      </x:c>
      <x:c r="J15" s="29" t="str">
        <x:v>城市结构、服务可达性、路线图</x:v>
      </x:c>
      <x:c r="K15" s="29" t="str">
        <x:v>细粒度道路、建筑和设施数据，适合城市与交通分析。</x:v>
      </x:c>
      <x:c r="L15" s="29" t="str">
        <x:v>API入口</x:v>
      </x:c>
      <x:c r="M15" s="29" t="str">
        <x:v>遵守 ODbL 署名和衍生数据库要求；数据完整度地区差异大。；未按 RSS/Atom 校验。</x:v>
      </x:c>
    </x:row>
    <x:row r="16" ht="50" customHeight="1">
      <x:c r="A16" s="29" t="str">
        <x:v>S</x:v>
      </x:c>
      <x:c r="B16" s="29" t="n">
        <x:v>95</x:v>
      </x:c>
      <x:c r="C16" s="29" t="str">
        <x:v>科学与数学</x:v>
      </x:c>
      <x:c r="D16" s="29" t="str">
        <x:v>CORE</x:v>
      </x:c>
      <x:c r="E16" s="29" t="str"/>
      <x:c r="F16" s="29" t="str">
        <x:v>证据源</x:v>
      </x:c>
      <x:c r="G16" s="29" t="str">
        <x:v>开放论文数据库 / API</x:v>
      </x:c>
      <x:c r="H16" s="29" t="str">
        <x:v>https://core.ac.uk/</x:v>
      </x:c>
      <x:c r="I16" s="29" t="str">
        <x:v>https://core.ac.uk/services/api</x:v>
      </x:c>
      <x:c r="J16" s="29" t="str">
        <x:v>开放全文、研究综述</x:v>
      </x:c>
      <x:c r="K16" s="29" t="str">
        <x:v>聚合全球机构库与开放全文，可补足付费墙后的合法开放版本。</x:v>
      </x:c>
      <x:c r="L16" s="29" t="str">
        <x:v>API入口</x:v>
      </x:c>
      <x:c r="M16" s="29" t="str">
        <x:v>使用前核对数据口径、更新时间、许可与引用格式。；未按 RSS/Atom 校验。</x:v>
      </x:c>
    </x:row>
    <x:row r="17" ht="50" customHeight="1">
      <x:c r="A17" s="29" t="str">
        <x:v>S</x:v>
      </x:c>
      <x:c r="B17" s="29" t="n">
        <x:v>95</x:v>
      </x:c>
      <x:c r="C17" s="29" t="str">
        <x:v>科学与数学</x:v>
      </x:c>
      <x:c r="D17" s="29" t="str">
        <x:v>Crossref REST API</x:v>
      </x:c>
      <x:c r="E17" s="29" t="str"/>
      <x:c r="F17" s="29" t="str">
        <x:v>证据源</x:v>
      </x:c>
      <x:c r="G17" s="29" t="str">
        <x:v>学术元数据 API</x:v>
      </x:c>
      <x:c r="H17" s="29" t="str">
        <x:v>https://www.crossref.org/</x:v>
      </x:c>
      <x:c r="I17" s="29" t="str">
        <x:v>https://api.crossref.org/works</x:v>
      </x:c>
      <x:c r="J17" s="29" t="str">
        <x:v>论文溯源、引用网络、研究趋势</x:v>
      </x:c>
      <x:c r="K17" s="29" t="str">
        <x:v>用 DOI、作者、期刊和参考文献追到正式出版记录。</x:v>
      </x:c>
      <x:c r="L17" s="29" t="str">
        <x:v>API入口</x:v>
      </x:c>
      <x:c r="M17" s="29" t="str">
        <x:v>使用前核对数据口径、更新时间、许可与引用格式。；未按 RSS/Atom 校验。</x:v>
      </x:c>
    </x:row>
    <x:row r="18" ht="50" customHeight="1">
      <x:c r="A18" s="29" t="str">
        <x:v>S</x:v>
      </x:c>
      <x:c r="B18" s="29" t="n">
        <x:v>95</x:v>
      </x:c>
      <x:c r="C18" s="29" t="str">
        <x:v>科学与数学</x:v>
      </x:c>
      <x:c r="D18" s="29" t="str">
        <x:v>DataCite Commons</x:v>
      </x:c>
      <x:c r="E18" s="29" t="str"/>
      <x:c r="F18" s="29" t="str">
        <x:v>证据源</x:v>
      </x:c>
      <x:c r="G18" s="29" t="str">
        <x:v>研究元数据图谱 / API</x:v>
      </x:c>
      <x:c r="H18" s="29" t="str">
        <x:v>https://commons.datacite.org/</x:v>
      </x:c>
      <x:c r="I18" s="29" t="str">
        <x:v>https://api.datacite.org/</x:v>
      </x:c>
      <x:c r="J18" s="29" t="str">
        <x:v>数据 DOI、作者与机构图谱</x:v>
      </x:c>
      <x:c r="K18" s="29" t="str">
        <x:v>追踪数据集、软件、机构与研究者的 DOI 关系。</x:v>
      </x:c>
      <x:c r="L18" s="29" t="str">
        <x:v>API入口</x:v>
      </x:c>
      <x:c r="M18" s="29" t="str">
        <x:v>使用前核对数据口径、更新时间、许可与引用格式。；未按 RSS/Atom 校验。</x:v>
      </x:c>
    </x:row>
    <x:row r="19" ht="50" customHeight="1">
      <x:c r="A19" s="29" t="str">
        <x:v>S</x:v>
      </x:c>
      <x:c r="B19" s="29" t="n">
        <x:v>95</x:v>
      </x:c>
      <x:c r="C19" s="29" t="str">
        <x:v>科学与数学</x:v>
      </x:c>
      <x:c r="D19" s="29" t="str">
        <x:v>DOAJ</x:v>
      </x:c>
      <x:c r="E19" s="29" t="str"/>
      <x:c r="F19" s="29" t="str">
        <x:v>证据源</x:v>
      </x:c>
      <x:c r="G19" s="29" t="str">
        <x:v>期刊目录 / API</x:v>
      </x:c>
      <x:c r="H19" s="29" t="str">
        <x:v>https://doaj.org/</x:v>
      </x:c>
      <x:c r="I19" s="29" t="str">
        <x:v>https://doaj.org/api/</x:v>
      </x:c>
      <x:c r="J19" s="29" t="str">
        <x:v>开放期刊清单、许可核验</x:v>
      </x:c>
      <x:c r="K19" s="29" t="str">
        <x:v>筛选开放获取期刊并查看基础质量与许可信息。</x:v>
      </x:c>
      <x:c r="L19" s="29" t="str">
        <x:v>API入口</x:v>
      </x:c>
      <x:c r="M19" s="29" t="str">
        <x:v>使用前核对数据口径、更新时间、许可与引用格式。；未按 RSS/Atom 校验。</x:v>
      </x:c>
    </x:row>
    <x:row r="20" ht="50" customHeight="1">
      <x:c r="A20" s="29" t="str">
        <x:v>S</x:v>
      </x:c>
      <x:c r="B20" s="29" t="n">
        <x:v>95</x:v>
      </x:c>
      <x:c r="C20" s="29" t="str">
        <x:v>科学与数学</x:v>
      </x:c>
      <x:c r="D20" s="29" t="str">
        <x:v>Europe PMC</x:v>
      </x:c>
      <x:c r="E20" s="29" t="str"/>
      <x:c r="F20" s="29" t="str">
        <x:v>证据源</x:v>
      </x:c>
      <x:c r="G20" s="29" t="str">
        <x:v>文献数据库 / API</x:v>
      </x:c>
      <x:c r="H20" s="29" t="str">
        <x:v>https://europepmc.org/</x:v>
      </x:c>
      <x:c r="I20" s="29" t="str">
        <x:v>https://www.ebi.ac.uk/europepmc/webservices/rest/</x:v>
      </x:c>
      <x:c r="J20" s="29" t="str">
        <x:v>开放全文、资助与引用脉络</x:v>
      </x:c>
      <x:c r="K20" s="29" t="str">
        <x:v>连接论文、开放全文、资助与引用，适合生命科学证据链。</x:v>
      </x:c>
      <x:c r="L20" s="29" t="str">
        <x:v>API入口</x:v>
      </x:c>
      <x:c r="M20" s="29" t="str">
        <x:v>使用前核对数据口径、更新时间、许可与引用格式。；未按 RSS/Atom 校验。</x:v>
      </x:c>
    </x:row>
    <x:row r="21" ht="50" customHeight="1">
      <x:c r="A21" s="29" t="str">
        <x:v>S</x:v>
      </x:c>
      <x:c r="B21" s="29" t="n">
        <x:v>95</x:v>
      </x:c>
      <x:c r="C21" s="29" t="str">
        <x:v>科学与数学</x:v>
      </x:c>
      <x:c r="D21" s="29" t="str">
        <x:v>OpenAlex</x:v>
      </x:c>
      <x:c r="E21" s="29" t="str"/>
      <x:c r="F21" s="29" t="str">
        <x:v>证据源</x:v>
      </x:c>
      <x:c r="G21" s="29" t="str">
        <x:v>学术知识图谱 / API</x:v>
      </x:c>
      <x:c r="H21" s="29" t="str">
        <x:v>https://openalex.org/</x:v>
      </x:c>
      <x:c r="I21" s="29" t="str">
        <x:v>https://api.openalex.org/</x:v>
      </x:c>
      <x:c r="J21" s="29" t="str">
        <x:v>领域地图、机构比较、引用趋势</x:v>
      </x:c>
      <x:c r="K21" s="29" t="str">
        <x:v>覆盖论文、作者、机构、主题与引用关系，适合做研究版图。</x:v>
      </x:c>
      <x:c r="L21" s="29" t="str">
        <x:v>API入口</x:v>
      </x:c>
      <x:c r="M21" s="29" t="str">
        <x:v>使用前核对数据口径、更新时间、许可与引用格式。；未按 RSS/Atom 校验。</x:v>
      </x:c>
    </x:row>
    <x:row r="22" ht="50" customHeight="1">
      <x:c r="A22" s="29" t="str">
        <x:v>S</x:v>
      </x:c>
      <x:c r="B22" s="29" t="n">
        <x:v>95</x:v>
      </x:c>
      <x:c r="C22" s="29" t="str">
        <x:v>科学与数学</x:v>
      </x:c>
      <x:c r="D22" s="29" t="str">
        <x:v>OSF</x:v>
      </x:c>
      <x:c r="E22" s="29" t="str"/>
      <x:c r="F22" s="29" t="str">
        <x:v>证据源</x:v>
      </x:c>
      <x:c r="G22" s="29" t="str">
        <x:v>项目仓储 / API</x:v>
      </x:c>
      <x:c r="H22" s="29" t="str">
        <x:v>https://osf.io/</x:v>
      </x:c>
      <x:c r="I22" s="29" t="str">
        <x:v>https://api.osf.io/v2/</x:v>
      </x:c>
      <x:c r="J22" s="29" t="str">
        <x:v>研究方法、预注册、复现材料</x:v>
      </x:c>
      <x:c r="K22" s="29" t="str">
        <x:v>可查看预注册、材料、数据和版本历史，帮助判断研究透明度。</x:v>
      </x:c>
      <x:c r="L22" s="29" t="str">
        <x:v>API入口</x:v>
      </x:c>
      <x:c r="M22" s="29" t="str">
        <x:v>使用前核对数据口径、更新时间、许可与引用格式。；未按 RSS/Atom 校验。</x:v>
      </x:c>
    </x:row>
    <x:row r="23" ht="50" customHeight="1">
      <x:c r="A23" s="29" t="str">
        <x:v>S</x:v>
      </x:c>
      <x:c r="B23" s="29" t="n">
        <x:v>95</x:v>
      </x:c>
      <x:c r="C23" s="29" t="str">
        <x:v>科学与数学</x:v>
      </x:c>
      <x:c r="D23" s="29" t="str">
        <x:v>Zenodo</x:v>
      </x:c>
      <x:c r="E23" s="29" t="str"/>
      <x:c r="F23" s="29" t="str">
        <x:v>证据源</x:v>
      </x:c>
      <x:c r="G23" s="29" t="str">
        <x:v>开放仓储 / API</x:v>
      </x:c>
      <x:c r="H23" s="29" t="str">
        <x:v>https://zenodo.org/</x:v>
      </x:c>
      <x:c r="I23" s="29" t="str">
        <x:v>https://zenodo.org/api/records</x:v>
      </x:c>
      <x:c r="J23" s="29" t="str">
        <x:v>原始数据、代码和方法附件</x:v>
      </x:c>
      <x:c r="K23" s="29" t="str">
        <x:v>论文之外还能找到数据、代码、海报与可引用 DOI。</x:v>
      </x:c>
      <x:c r="L23" s="29" t="str">
        <x:v>API入口</x:v>
      </x:c>
      <x:c r="M23" s="29" t="str">
        <x:v>使用前核对数据口径、更新时间、许可与引用格式。；未按 RSS/Atom 校验。</x:v>
      </x:c>
    </x:row>
    <x:row r="24" ht="50" customHeight="1">
      <x:c r="A24" s="29" t="str">
        <x:v>S</x:v>
      </x:c>
      <x:c r="B24" s="29" t="n">
        <x:v>95</x:v>
      </x:c>
      <x:c r="C24" s="29" t="str">
        <x:v>历史与考古</x:v>
      </x:c>
      <x:c r="D24" s="29" t="str">
        <x:v>CBETA Online</x:v>
      </x:c>
      <x:c r="E24" s="29" t="str"/>
      <x:c r="F24" s="29" t="str">
        <x:v>证据源</x:v>
      </x:c>
      <x:c r="G24" s="29" t="str">
        <x:v>数字佛典数据库</x:v>
      </x:c>
      <x:c r="H24" s="29" t="str">
        <x:v>https://cbetaonline.dila.edu.tw/</x:v>
      </x:c>
      <x:c r="I24" s="29" t="str"/>
      <x:c r="J24" s="29" t="str">
        <x:v>宗教史、概念史、原典引用</x:v>
      </x:c>
      <x:c r="K24" s="29" t="str">
        <x:v>大规模可检索汉文佛教典籍与校勘信息。</x:v>
      </x:c>
      <x:c r="L24" s="29" t="str">
        <x:v>无RSS/API入口</x:v>
      </x:c>
      <x:c r="M24" s="29" t="str">
        <x:v>使用前核对数据口径、更新时间、许可与引用格式。</x:v>
      </x:c>
    </x:row>
    <x:row r="25" ht="50" customHeight="1">
      <x:c r="A25" s="29" t="str">
        <x:v>S</x:v>
      </x:c>
      <x:c r="B25" s="29" t="n">
        <x:v>95</x:v>
      </x:c>
      <x:c r="C25" s="29" t="str">
        <x:v>历史与考古</x:v>
      </x:c>
      <x:c r="D25" s="29" t="str">
        <x:v>Chinese Text Project</x:v>
      </x:c>
      <x:c r="E25" s="29" t="str"/>
      <x:c r="F25" s="29" t="str">
        <x:v>证据源</x:v>
      </x:c>
      <x:c r="G25" s="29" t="str">
        <x:v>古籍数据库 / API</x:v>
      </x:c>
      <x:c r="H25" s="29" t="str">
        <x:v>https://ctext.org/</x:v>
      </x:c>
      <x:c r="I25" s="29" t="str">
        <x:v>https://ctext.org/tools/api</x:v>
      </x:c>
      <x:c r="J25" s="29" t="str">
        <x:v>古典原文、思想史、词频</x:v>
      </x:c>
      <x:c r="K25" s="29" t="str">
        <x:v>可检索、对照和引用先秦至汉代等中文原典。</x:v>
      </x:c>
      <x:c r="L25" s="29" t="str">
        <x:v>API入口</x:v>
      </x:c>
      <x:c r="M25" s="29" t="str">
        <x:v>注明版本、篇章与异文；现代整理和译文可能有版权。；未按 RSS/Atom 校验。</x:v>
      </x:c>
    </x:row>
    <x:row r="26" ht="50" customHeight="1">
      <x:c r="A26" s="29" t="str">
        <x:v>S</x:v>
      </x:c>
      <x:c r="B26" s="29" t="n">
        <x:v>95</x:v>
      </x:c>
      <x:c r="C26" s="29" t="str">
        <x:v>历史与考古</x:v>
      </x:c>
      <x:c r="D26" s="29" t="str">
        <x:v>Chronicling America</x:v>
      </x:c>
      <x:c r="E26" s="29" t="str"/>
      <x:c r="F26" s="29" t="str">
        <x:v>证据源</x:v>
      </x:c>
      <x:c r="G26" s="29" t="str">
        <x:v>报纸档案 / API</x:v>
      </x:c>
      <x:c r="H26" s="29" t="str">
        <x:v>https://www.loc.gov/collections/chronicling-america/</x:v>
      </x:c>
      <x:c r="I26" s="29" t="str">
        <x:v>https://www.loc.gov/collections/chronicling-america/?fo=json</x:v>
      </x:c>
      <x:c r="J26" s="29" t="str">
        <x:v>历史头版、舆论演变、时间线</x:v>
      </x:c>
      <x:c r="K26" s="29" t="str">
        <x:v>美国国会图书馆的可检索历史报纸，适合事件的同时代报道。</x:v>
      </x:c>
      <x:c r="L26" s="29" t="str">
        <x:v>API入口</x:v>
      </x:c>
      <x:c r="M26" s="29" t="str">
        <x:v>使用前核对数据口径、更新时间、许可与引用格式。；未按 RSS/Atom 校验。</x:v>
      </x:c>
    </x:row>
    <x:row r="27" ht="50" customHeight="1">
      <x:c r="A27" s="29" t="str">
        <x:v>S</x:v>
      </x:c>
      <x:c r="B27" s="29" t="n">
        <x:v>95</x:v>
      </x:c>
      <x:c r="C27" s="29" t="str">
        <x:v>历史与考古</x:v>
      </x:c>
      <x:c r="D27" s="29" t="str">
        <x:v>Internet Archive</x:v>
      </x:c>
      <x:c r="E27" s="29" t="str"/>
      <x:c r="F27" s="29" t="str">
        <x:v>证据源</x:v>
      </x:c>
      <x:c r="G27" s="29" t="str">
        <x:v>数字档案库 / API</x:v>
      </x:c>
      <x:c r="H27" s="29" t="str">
        <x:v>https://archive.org/</x:v>
      </x:c>
      <x:c r="I27" s="29" t="str">
        <x:v>https://archive.org/advancedsearch.php</x:v>
      </x:c>
      <x:c r="J27" s="29" t="str">
        <x:v>原始影像、旧书、网页历史</x:v>
      </x:c>
      <x:c r="K27" s="29" t="str">
        <x:v>海量扫描书、影像、软件和历史网页，是公共领域素材与数字史的重要底座。</x:v>
      </x:c>
      <x:c r="L27" s="29" t="str">
        <x:v>API入口</x:v>
      </x:c>
      <x:c r="M27" s="29" t="str">
        <x:v>逐项核对条目权利状态；平台可访问不等于可自由转载。；未按 RSS/Atom 校验。</x:v>
      </x:c>
    </x:row>
    <x:row r="28" ht="50" customHeight="1">
      <x:c r="A28" s="29" t="str">
        <x:v>S</x:v>
      </x:c>
      <x:c r="B28" s="29" t="n">
        <x:v>95</x:v>
      </x:c>
      <x:c r="C28" s="29" t="str">
        <x:v>历史与考古</x:v>
      </x:c>
      <x:c r="D28" s="29" t="str">
        <x:v>Library of Congress Blogs</x:v>
      </x:c>
      <x:c r="E28" s="29" t="str"/>
      <x:c r="F28" s="29" t="str">
        <x:v>证据源</x:v>
      </x:c>
      <x:c r="G28" s="29" t="str">
        <x:v>馆员文章、原始资料、专题博客</x:v>
      </x:c>
      <x:c r="H28" s="29" t="str">
        <x:v>https://blogs.loc.gov/</x:v>
      </x:c>
      <x:c r="I28" s="29" t="str">
        <x:v>https://blogs.loc.gov/feed/</x:v>
      </x:c>
      <x:c r="J28" s="29" t="str">
        <x:v>原始照片、旧报纸、地图和出处明确的史料帖。</x:v>
      </x:c>
      <x:c r="K28" s="29" t="str">
        <x:v>大量内容直接来自美国国会图书馆馆藏，原始照片、地图、旧报刊和文献定位价值高。</x:v>
      </x:c>
      <x:c r="L28" s="29" t="str">
        <x:v>有效</x:v>
      </x:c>
      <x:c r="M28" s="29" t="str">
        <x:v>2026-08-17：官方通用 Feed 路径，网页核验器遇到 403；建议阅读器复验并按子博客过滤。</x:v>
      </x:c>
    </x:row>
    <x:row r="29" ht="50" customHeight="1">
      <x:c r="A29" s="29" t="str">
        <x:v>S</x:v>
      </x:c>
      <x:c r="B29" s="29" t="n">
        <x:v>95</x:v>
      </x:c>
      <x:c r="C29" s="29" t="str">
        <x:v>历史与考古</x:v>
      </x:c>
      <x:c r="D29" s="29" t="str">
        <x:v>Old Bailey Online</x:v>
      </x:c>
      <x:c r="E29" s="29" t="str"/>
      <x:c r="F29" s="29" t="str">
        <x:v>证据源</x:v>
      </x:c>
      <x:c r="G29" s="29" t="str">
        <x:v>历史法庭记录数据库</x:v>
      </x:c>
      <x:c r="H29" s="29" t="str">
        <x:v>https://www.oldbaileyonline.org/</x:v>
      </x:c>
      <x:c r="I29" s="29" t="str"/>
      <x:c r="J29" s="29" t="str">
        <x:v>个案史、社会结构、原始证词</x:v>
      </x:c>
      <x:c r="K29" s="29" t="str">
        <x:v>1674–1913 年审判记录可做社会史、犯罪史和语言史。</x:v>
      </x:c>
      <x:c r="L29" s="29" t="str">
        <x:v>无RSS/API入口</x:v>
      </x:c>
      <x:c r="M29" s="29" t="str">
        <x:v>使用前核对数据口径、更新时间、许可与引用格式。</x:v>
      </x:c>
    </x:row>
    <x:row r="30" ht="50" customHeight="1">
      <x:c r="A30" s="29" t="str">
        <x:v>S</x:v>
      </x:c>
      <x:c r="B30" s="29" t="n">
        <x:v>95</x:v>
      </x:c>
      <x:c r="C30" s="29" t="str">
        <x:v>历史与考古</x:v>
      </x:c>
      <x:c r="D30" s="29" t="str">
        <x:v>Open Library</x:v>
      </x:c>
      <x:c r="E30" s="29" t="str"/>
      <x:c r="F30" s="29" t="str">
        <x:v>证据源</x:v>
      </x:c>
      <x:c r="G30" s="29" t="str">
        <x:v>开放书目 / API</x:v>
      </x:c>
      <x:c r="H30" s="29" t="str">
        <x:v>https://openlibrary.org/</x:v>
      </x:c>
      <x:c r="I30" s="29" t="str">
        <x:v>https://openlibrary.org/developers/api</x:v>
      </x:c>
      <x:c r="J30" s="29" t="str">
        <x:v>书目清单、版本史</x:v>
      </x:c>
      <x:c r="K30" s="29" t="str">
        <x:v>提供版本、作者、主题和封面数据，可做书目脉络。</x:v>
      </x:c>
      <x:c r="L30" s="29" t="str">
        <x:v>API入口</x:v>
      </x:c>
      <x:c r="M30" s="29" t="str">
        <x:v>使用前核对数据口径、更新时间、许可与引用格式。；未按 RSS/Atom 校验。</x:v>
      </x:c>
    </x:row>
    <x:row r="31" ht="50" customHeight="1">
      <x:c r="A31" s="29" t="str">
        <x:v>S</x:v>
      </x:c>
      <x:c r="B31" s="29" t="n">
        <x:v>95</x:v>
      </x:c>
      <x:c r="C31" s="29" t="str">
        <x:v>历史与考古</x:v>
      </x:c>
      <x:c r="D31" s="29" t="str">
        <x:v>Smithsonian Magazine - History</x:v>
      </x:c>
      <x:c r="E31" s="29" t="str"/>
      <x:c r="F31" s="29" t="str">
        <x:v>证据源</x:v>
      </x:c>
      <x:c r="G31" s="29" t="str">
        <x:v>历史新闻、馆藏故事、考古报道</x:v>
      </x:c>
      <x:c r="H31" s="29" t="str">
        <x:v>https://www.smithsonianmag.com/history/</x:v>
      </x:c>
      <x:c r="I31" s="29" t="str">
        <x:v>https://www.smithsonianmag.com/rss/history/</x:v>
      </x:c>
      <x:c r="J31" s="29" t="str">
        <x:v>纪念日、文物背后的故事和历史误解纠正。</x:v>
      </x:c>
      <x:c r="K31" s="29" t="str">
        <x:v>依托 Smithsonian 机构和专家网络，历史、文物与考古内容来源链较完整。</x:v>
      </x:c>
      <x:c r="L31" s="29" t="str">
        <x:v>有效</x:v>
      </x:c>
      <x:c r="M31" s="29" t="str">
        <x:v>2026-08-17：Smithsonian 官方 RSS 列表含 History，端点返回 application/xml。</x:v>
      </x:c>
    </x:row>
    <x:row r="32" ht="50" customHeight="1">
      <x:c r="A32" s="29" t="str">
        <x:v>S</x:v>
      </x:c>
      <x:c r="B32" s="29" t="n">
        <x:v>95</x:v>
      </x:c>
      <x:c r="C32" s="29" t="str">
        <x:v>商业、管理与创新</x:v>
      </x:c>
      <x:c r="D32" s="29" t="str">
        <x:v>FRED</x:v>
      </x:c>
      <x:c r="E32" s="29" t="str"/>
      <x:c r="F32" s="29" t="str">
        <x:v>证据源</x:v>
      </x:c>
      <x:c r="G32" s="29" t="str">
        <x:v>经济数据库 / API</x:v>
      </x:c>
      <x:c r="H32" s="29" t="str">
        <x:v>https://fred.stlouisfed.org/</x:v>
      </x:c>
      <x:c r="I32" s="29" t="str">
        <x:v>https://api.stlouisfed.org/fred/</x:v>
      </x:c>
      <x:c r="J32" s="29" t="str">
        <x:v>时间序列图、经济周期与政策背景</x:v>
      </x:c>
      <x:c r="K32" s="29" t="str">
        <x:v>时间序列丰富、元数据清晰，适合宏观和市场背景图。</x:v>
      </x:c>
      <x:c r="L32" s="29" t="str">
        <x:v>API入口</x:v>
      </x:c>
      <x:c r="M32" s="29" t="str">
        <x:v>API 需免费密钥；不同序列的季调、单位和修订规则要核对。；未按 RSS/Atom 校验。</x:v>
      </x:c>
    </x:row>
    <x:row r="33" ht="50" customHeight="1">
      <x:c r="A33" s="29" t="str">
        <x:v>S</x:v>
      </x:c>
      <x:c r="B33" s="29" t="n">
        <x:v>95</x:v>
      </x:c>
      <x:c r="C33" s="29" t="str">
        <x:v>商业、管理与创新</x:v>
      </x:c>
      <x:c r="D33" s="29" t="str">
        <x:v>IMF Data</x:v>
      </x:c>
      <x:c r="E33" s="29" t="str"/>
      <x:c r="F33" s="29" t="str">
        <x:v>证据源</x:v>
      </x:c>
      <x:c r="G33" s="29" t="str">
        <x:v>国际组织统计 / API</x:v>
      </x:c>
      <x:c r="H33" s="29" t="str">
        <x:v>https://www.imf.org/en/Data</x:v>
      </x:c>
      <x:c r="I33" s="29" t="str">
        <x:v>http://dataservices.imf.org/REST/SDMX_JSON.svc/</x:v>
      </x:c>
      <x:c r="J33" s="29" t="str">
        <x:v>宏观图表、国家与周期比较</x:v>
      </x:c>
      <x:c r="K33" s="29" t="str">
        <x:v>全球宏观、财政、金融和国际收支数据的核心入口。</x:v>
      </x:c>
      <x:c r="L33" s="29" t="str">
        <x:v>API入口</x:v>
      </x:c>
      <x:c r="M33" s="29" t="str">
        <x:v>使用前核对数据口径、更新时间、许可与引用格式。；未按 RSS/Atom 校验。</x:v>
      </x:c>
    </x:row>
    <x:row r="34" ht="50" customHeight="1">
      <x:c r="A34" s="29" t="str">
        <x:v>S</x:v>
      </x:c>
      <x:c r="B34" s="29" t="n">
        <x:v>95</x:v>
      </x:c>
      <x:c r="C34" s="29" t="str">
        <x:v>商业、管理与创新</x:v>
      </x:c>
      <x:c r="D34" s="29" t="str">
        <x:v>U.S. Bureau of Labor Statistics</x:v>
      </x:c>
      <x:c r="E34" s="29" t="str"/>
      <x:c r="F34" s="29" t="str">
        <x:v>证据源</x:v>
      </x:c>
      <x:c r="G34" s="29" t="str">
        <x:v>官方统计 / API</x:v>
      </x:c>
      <x:c r="H34" s="29" t="str">
        <x:v>https://www.bls.gov/data/</x:v>
      </x:c>
      <x:c r="I34" s="29" t="str">
        <x:v>https://www.bls.gov/developers/</x:v>
      </x:c>
      <x:c r="J34" s="29" t="str">
        <x:v>劳动力、通胀与行业结构</x:v>
      </x:c>
      <x:c r="K34" s="29" t="str">
        <x:v>就业、通胀、生产率和职业数据口径透明。</x:v>
      </x:c>
      <x:c r="L34" s="29" t="str">
        <x:v>API入口</x:v>
      </x:c>
      <x:c r="M34" s="29" t="str">
        <x:v>使用前核对数据口径、更新时间、许可与引用格式。；未按 RSS/Atom 校验。</x:v>
      </x:c>
    </x:row>
    <x:row r="35" ht="50" customHeight="1">
      <x:c r="A35" s="29" t="str">
        <x:v>S</x:v>
      </x:c>
      <x:c r="B35" s="29" t="n">
        <x:v>95</x:v>
      </x:c>
      <x:c r="C35" s="29" t="str">
        <x:v>数据与可视化</x:v>
      </x:c>
      <x:c r="D35" s="29" t="str">
        <x:v>Eurostat</x:v>
      </x:c>
      <x:c r="E35" s="29" t="str"/>
      <x:c r="F35" s="29" t="str">
        <x:v>证据源</x:v>
      </x:c>
      <x:c r="G35" s="29" t="str">
        <x:v>官方统计 / API</x:v>
      </x:c>
      <x:c r="H35" s="29" t="str">
        <x:v>https://ec.europa.eu/eurostat/</x:v>
      </x:c>
      <x:c r="I35" s="29" t="str">
        <x:v>https://ec.europa.eu/eurostat/api/dissemination/statistics/1.0/data/</x:v>
      </x:c>
      <x:c r="J35" s="29" t="str">
        <x:v>欧洲比较、地区地图与政策图表</x:v>
      </x:c>
      <x:c r="K35" s="29" t="str">
        <x:v>欧盟人口、经济、能源、环境和地区数据的标准入口。</x:v>
      </x:c>
      <x:c r="L35" s="29" t="str">
        <x:v>API入口</x:v>
      </x:c>
      <x:c r="M35" s="29" t="str">
        <x:v>使用前核对数据口径、更新时间、许可与引用格式。；未按 RSS/Atom 校验。</x:v>
      </x:c>
    </x:row>
    <x:row r="36" ht="50" customHeight="1">
      <x:c r="A36" s="29" t="str">
        <x:v>S</x:v>
      </x:c>
      <x:c r="B36" s="29" t="n">
        <x:v>95</x:v>
      </x:c>
      <x:c r="C36" s="29" t="str">
        <x:v>数据与可视化</x:v>
      </x:c>
      <x:c r="D36" s="29" t="str">
        <x:v>MoMA Collection Data</x:v>
      </x:c>
      <x:c r="E36" s="29" t="str"/>
      <x:c r="F36" s="29" t="str">
        <x:v>证据源</x:v>
      </x:c>
      <x:c r="G36" s="29" t="str">
        <x:v>馆藏数据集</x:v>
      </x:c>
      <x:c r="H36" s="29" t="str">
        <x:v>https://www.moma.org/collection/</x:v>
      </x:c>
      <x:c r="I36" s="29" t="str">
        <x:v>https://github.com/MuseumofModernArt/collection</x:v>
      </x:c>
      <x:c r="J36" s="29" t="str">
        <x:v>现代艺术数据图、馆藏结构</x:v>
      </x:c>
      <x:c r="K36" s="29" t="str">
        <x:v>可下载艺术家与作品元数据，适合统计和可视化。</x:v>
      </x:c>
      <x:c r="L36" s="29" t="str">
        <x:v>平台入口</x:v>
      </x:c>
      <x:c r="M36" s="29" t="str">
        <x:v>数据许可与作品图像版权分开核对。；未按 RSS/Atom 校验。</x:v>
      </x:c>
    </x:row>
    <x:row r="37" ht="50" customHeight="1">
      <x:c r="A37" s="29" t="str">
        <x:v>S</x:v>
      </x:c>
      <x:c r="B37" s="29" t="n">
        <x:v>95</x:v>
      </x:c>
      <x:c r="C37" s="29" t="str">
        <x:v>数据与可视化</x:v>
      </x:c>
      <x:c r="D37" s="29" t="str">
        <x:v>OECD Data Explorer</x:v>
      </x:c>
      <x:c r="E37" s="29" t="str"/>
      <x:c r="F37" s="29" t="str">
        <x:v>证据源</x:v>
      </x:c>
      <x:c r="G37" s="29" t="str">
        <x:v>官方统计 / SDMX API</x:v>
      </x:c>
      <x:c r="H37" s="29" t="str">
        <x:v>https://data-explorer.oecd.org/</x:v>
      </x:c>
      <x:c r="I37" s="29" t="str">
        <x:v>https://sdmx.oecd.org/public/rest/v1/</x:v>
      </x:c>
      <x:c r="J37" s="29" t="str">
        <x:v>政策比较、国家排名与趋势</x:v>
      </x:c>
      <x:c r="K37" s="29" t="str">
        <x:v>发达经济体政策、教育、生产率和社会指标口径较完整。</x:v>
      </x:c>
      <x:c r="L37" s="29" t="str">
        <x:v>API入口</x:v>
      </x:c>
      <x:c r="M37" s="29" t="str">
        <x:v>使用前核对数据口径、更新时间、许可与引用格式。；未按 RSS/Atom 校验。</x:v>
      </x:c>
    </x:row>
    <x:row r="38" ht="50" customHeight="1">
      <x:c r="A38" s="29" t="str">
        <x:v>S</x:v>
      </x:c>
      <x:c r="B38" s="29" t="n">
        <x:v>95</x:v>
      </x:c>
      <x:c r="C38" s="29" t="str">
        <x:v>数据与可视化</x:v>
      </x:c>
      <x:c r="D38" s="29" t="str">
        <x:v>Tate Collection Data</x:v>
      </x:c>
      <x:c r="E38" s="29" t="str"/>
      <x:c r="F38" s="29" t="str">
        <x:v>证据源</x:v>
      </x:c>
      <x:c r="G38" s="29" t="str">
        <x:v>馆藏数据集</x:v>
      </x:c>
      <x:c r="H38" s="29" t="str">
        <x:v>https://www.tate.org.uk/art</x:v>
      </x:c>
      <x:c r="I38" s="29" t="str">
        <x:v>https://github.com/tategallery/collection</x:v>
      </x:c>
      <x:c r="J38" s="29" t="str">
        <x:v>艺术家网络、媒介与年代图</x:v>
      </x:c>
      <x:c r="K38" s="29" t="str">
        <x:v>艺术家与作品元数据可下载，适合网络图和时间线。</x:v>
      </x:c>
      <x:c r="L38" s="29" t="str">
        <x:v>平台入口</x:v>
      </x:c>
      <x:c r="M38" s="29" t="str">
        <x:v>使用前核对数据口径、更新时间、许可与引用格式。；未按 RSS/Atom 校验。</x:v>
      </x:c>
    </x:row>
    <x:row r="39" ht="50" customHeight="1">
      <x:c r="A39" s="29" t="str">
        <x:v>S</x:v>
      </x:c>
      <x:c r="B39" s="29" t="n">
        <x:v>95</x:v>
      </x:c>
      <x:c r="C39" s="29" t="str">
        <x:v>数据与可视化</x:v>
      </x:c>
      <x:c r="D39" s="29" t="str">
        <x:v>U.S. Census Data</x:v>
      </x:c>
      <x:c r="E39" s="29" t="str"/>
      <x:c r="F39" s="29" t="str">
        <x:v>证据源</x:v>
      </x:c>
      <x:c r="G39" s="29" t="str">
        <x:v>官方统计 / API</x:v>
      </x:c>
      <x:c r="H39" s="29" t="str">
        <x:v>https://data.census.gov/</x:v>
      </x:c>
      <x:c r="I39" s="29" t="str">
        <x:v>https://api.census.gov/data.html</x:v>
      </x:c>
      <x:c r="J39" s="29" t="str">
        <x:v>人口结构、地区差异与地图</x:v>
      </x:c>
      <x:c r="K39" s="29" t="str">
        <x:v>美国人口普查和社区调查的权威入口。</x:v>
      </x:c>
      <x:c r="L39" s="29" t="str">
        <x:v>API入口</x:v>
      </x:c>
      <x:c r="M39" s="29" t="str">
        <x:v>使用前核对数据口径、更新时间、许可与引用格式。；未按 RSS/Atom 校验。</x:v>
      </x:c>
    </x:row>
    <x:row r="40" ht="50" customHeight="1">
      <x:c r="A40" s="29" t="str">
        <x:v>S</x:v>
      </x:c>
      <x:c r="B40" s="29" t="n">
        <x:v>95</x:v>
      </x:c>
      <x:c r="C40" s="29" t="str">
        <x:v>数据与可视化</x:v>
      </x:c>
      <x:c r="D40" s="29" t="str">
        <x:v>UN Data</x:v>
      </x:c>
      <x:c r="E40" s="29" t="str"/>
      <x:c r="F40" s="29" t="str">
        <x:v>证据源</x:v>
      </x:c>
      <x:c r="G40" s="29" t="str">
        <x:v>官方统计门户</x:v>
      </x:c>
      <x:c r="H40" s="29" t="str">
        <x:v>https://data.un.org/</x:v>
      </x:c>
      <x:c r="I40" s="29" t="str"/>
      <x:c r="J40" s="29" t="str">
        <x:v>国家比较、长期趋势</x:v>
      </x:c>
      <x:c r="K40" s="29" t="str">
        <x:v>跨人口、经济、环境和社会指标的联合国数据入口。</x:v>
      </x:c>
      <x:c r="L40" s="29" t="str">
        <x:v>无RSS/API入口</x:v>
      </x:c>
      <x:c r="M40" s="29" t="str">
        <x:v>使用前核对数据口径、更新时间、许可与引用格式。</x:v>
      </x:c>
    </x:row>
    <x:row r="41" ht="50" customHeight="1">
      <x:c r="A41" s="29" t="str">
        <x:v>S</x:v>
      </x:c>
      <x:c r="B41" s="29" t="n">
        <x:v>95</x:v>
      </x:c>
      <x:c r="C41" s="29" t="str">
        <x:v>天文与太空</x:v>
      </x:c>
      <x:c r="D41" s="29" t="str">
        <x:v>ESA Gaia Archive</x:v>
      </x:c>
      <x:c r="E41" s="29" t="str"/>
      <x:c r="F41" s="29" t="str">
        <x:v>证据源</x:v>
      </x:c>
      <x:c r="G41" s="29" t="str">
        <x:v>天文数据档案 / TAP API</x:v>
      </x:c>
      <x:c r="H41" s="29" t="str">
        <x:v>https://gea.esac.esa.int/archive/</x:v>
      </x:c>
      <x:c r="I41" s="29" t="str">
        <x:v>https://gea.esac.esa.int/tap-server/tap</x:v>
      </x:c>
      <x:c r="J41" s="29" t="str">
        <x:v>银河系地图、恒星运动与距离</x:v>
      </x:c>
      <x:c r="K41" s="29" t="str">
        <x:v>Gaia 恒星位置、距离和运动数据是银河系可视化的核心。</x:v>
      </x:c>
      <x:c r="L41" s="29" t="str">
        <x:v>API入口</x:v>
      </x:c>
      <x:c r="M41" s="29" t="str">
        <x:v>使用前核对数据口径、更新时间、许可与引用格式。；未按 RSS/Atom 校验。</x:v>
      </x:c>
    </x:row>
    <x:row r="42" ht="50" customHeight="1">
      <x:c r="A42" s="29" t="str">
        <x:v>S</x:v>
      </x:c>
      <x:c r="B42" s="29" t="n">
        <x:v>95</x:v>
      </x:c>
      <x:c r="C42" s="29" t="str">
        <x:v>天文与太空</x:v>
      </x:c>
      <x:c r="D42" s="29" t="str">
        <x:v>JPL Horizons</x:v>
      </x:c>
      <x:c r="E42" s="29" t="str"/>
      <x:c r="F42" s="29" t="str">
        <x:v>证据源</x:v>
      </x:c>
      <x:c r="G42" s="29" t="str">
        <x:v>天体历算 API</x:v>
      </x:c>
      <x:c r="H42" s="29" t="str">
        <x:v>https://ssd.jpl.nasa.gov/horizons/</x:v>
      </x:c>
      <x:c r="I42" s="29" t="str">
        <x:v>https://ssd.jpl.nasa.gov/api/horizons.api</x:v>
      </x:c>
      <x:c r="J42" s="29" t="str">
        <x:v>天象时间线、轨道与位置图</x:v>
      </x:c>
      <x:c r="K42" s="29" t="str">
        <x:v>获取行星、小天体和航天器的高精度位置与轨道。</x:v>
      </x:c>
      <x:c r="L42" s="29" t="str">
        <x:v>API入口</x:v>
      </x:c>
      <x:c r="M42" s="29" t="str">
        <x:v>使用前核对数据口径、更新时间、许可与引用格式。；未按 RSS/Atom 校验。</x:v>
      </x:c>
    </x:row>
    <x:row r="43" ht="50" customHeight="1">
      <x:c r="A43" s="29" t="str">
        <x:v>S</x:v>
      </x:c>
      <x:c r="B43" s="29" t="n">
        <x:v>95</x:v>
      </x:c>
      <x:c r="C43" s="29" t="str">
        <x:v>天文与太空</x:v>
      </x:c>
      <x:c r="D43" s="29" t="str">
        <x:v>MAST</x:v>
      </x:c>
      <x:c r="E43" s="29" t="str"/>
      <x:c r="F43" s="29" t="str">
        <x:v>证据源</x:v>
      </x:c>
      <x:c r="G43" s="29" t="str">
        <x:v>任务数据档案 / API</x:v>
      </x:c>
      <x:c r="H43" s="29" t="str">
        <x:v>https://mast.stsci.edu/</x:v>
      </x:c>
      <x:c r="I43" s="29" t="str">
        <x:v>https://mast.stsci.edu/api/v0/</x:v>
      </x:c>
      <x:c r="J43" s="29" t="str">
        <x:v>任务观测、原始图像与光变曲线</x:v>
      </x:c>
      <x:c r="K43" s="29" t="str">
        <x:v>Hubble、JWST、TESS 等任务数据和观测产品的重要入口。</x:v>
      </x:c>
      <x:c r="L43" s="29" t="str">
        <x:v>API入口</x:v>
      </x:c>
      <x:c r="M43" s="29" t="str">
        <x:v>使用前核对数据口径、更新时间、许可与引用格式。；未按 RSS/Atom 校验。</x:v>
      </x:c>
    </x:row>
    <x:row r="44" ht="50" customHeight="1">
      <x:c r="A44" s="29" t="str">
        <x:v>S</x:v>
      </x:c>
      <x:c r="B44" s="29" t="n">
        <x:v>95</x:v>
      </x:c>
      <x:c r="C44" s="29" t="str">
        <x:v>天文与太空</x:v>
      </x:c>
      <x:c r="D44" s="29" t="str">
        <x:v>NASA ADS</x:v>
      </x:c>
      <x:c r="E44" s="29" t="str"/>
      <x:c r="F44" s="29" t="str">
        <x:v>证据源</x:v>
      </x:c>
      <x:c r="G44" s="29" t="str">
        <x:v>论文元数据、摘要、引文网络与检索</x:v>
      </x:c>
      <x:c r="H44" s="29" t="str">
        <x:v>https://ui.adsabs.harvard.edu/</x:v>
      </x:c>
      <x:c r="I44" s="29" t="str">
        <x:v>https://api.adsabs.harvard.edu/v1/</x:v>
      </x:c>
      <x:c r="J44" s="29" t="str">
        <x:v>文献谱系、引用网络、研究史</x:v>
      </x:c>
      <x:c r="K44" s="29" t="str">
        <x:v>查作者、引用、相关论文和研究历史脉络能力强。</x:v>
      </x:c>
      <x:c r="L44" s="29" t="str">
        <x:v>API入口</x:v>
      </x:c>
      <x:c r="M44" s="29" t="str">
        <x:v>无公共统一RSS；支持个人检索提醒和需令牌的官方API。；未按 RSS/Atom 校验。</x:v>
      </x:c>
    </x:row>
    <x:row r="45" ht="50" customHeight="1">
      <x:c r="A45" s="29" t="str">
        <x:v>S</x:v>
      </x:c>
      <x:c r="B45" s="29" t="n">
        <x:v>95</x:v>
      </x:c>
      <x:c r="C45" s="29" t="str">
        <x:v>天文与太空</x:v>
      </x:c>
      <x:c r="D45" s="29" t="str">
        <x:v>NASA Exoplanet Archive</x:v>
      </x:c>
      <x:c r="E45" s="29" t="str"/>
      <x:c r="F45" s="29" t="str">
        <x:v>证据源</x:v>
      </x:c>
      <x:c r="G45" s="29" t="str">
        <x:v>系外行星、恒星、确认状态和参数表</x:v>
      </x:c>
      <x:c r="H45" s="29" t="str">
        <x:v>https://exoplanetarchive.ipac.caltech.edu/</x:v>
      </x:c>
      <x:c r="I45" s="29" t="str">
        <x:v>https://exoplanetarchive.ipac.caltech.edu/TAP/</x:v>
      </x:c>
      <x:c r="J45" s="29" t="str">
        <x:v>新行星数据卡、排行、可视化、事实核验</x:v>
      </x:c>
      <x:c r="K45" s="29" t="str">
        <x:v>权威结构化数据，可直接制作排行、卡片和图表。</x:v>
      </x:c>
      <x:c r="L45" s="29" t="str">
        <x:v>API入口</x:v>
      </x:c>
      <x:c r="M45" s="29" t="str">
        <x:v>无统一RSS；官方TAP API文档和端点可用。；未按 RSS/Atom 校验。</x:v>
      </x:c>
    </x:row>
    <x:row r="46" ht="50" customHeight="1">
      <x:c r="A46" s="29" t="str">
        <x:v>S</x:v>
      </x:c>
      <x:c r="B46" s="29" t="n">
        <x:v>95</x:v>
      </x:c>
      <x:c r="C46" s="29" t="str">
        <x:v>天文与太空</x:v>
      </x:c>
      <x:c r="D46" s="29" t="str">
        <x:v>NASA HEASARC</x:v>
      </x:c>
      <x:c r="E46" s="29" t="str"/>
      <x:c r="F46" s="29" t="str">
        <x:v>证据源</x:v>
      </x:c>
      <x:c r="G46" s="29" t="str">
        <x:v>任务数据档案 / API</x:v>
      </x:c>
      <x:c r="H46" s="29" t="str">
        <x:v>https://heasarc.gsfc.nasa.gov/</x:v>
      </x:c>
      <x:c r="I46" s="29" t="str">
        <x:v>https://heasarc.gsfc.nasa.gov/xamin/vo/tap</x:v>
      </x:c>
      <x:c r="J46" s="29" t="str">
        <x:v>黑洞、中子星与高能事件</x:v>
      </x:c>
      <x:c r="K46" s="29" t="str">
        <x:v>X 射线和伽马射线任务数据、目录与工具集中入口。</x:v>
      </x:c>
      <x:c r="L46" s="29" t="str">
        <x:v>API入口</x:v>
      </x:c>
      <x:c r="M46" s="29" t="str">
        <x:v>使用前核对数据口径、更新时间、许可与引用格式。；未按 RSS/Atom 校验。</x:v>
      </x:c>
    </x:row>
    <x:row r="47" ht="50" customHeight="1">
      <x:c r="A47" s="29" t="str">
        <x:v>S</x:v>
      </x:c>
      <x:c r="B47" s="29" t="n">
        <x:v>95</x:v>
      </x:c>
      <x:c r="C47" s="29" t="str">
        <x:v>天文与太空</x:v>
      </x:c>
      <x:c r="D47" s="29" t="str">
        <x:v>NASA/IPAC Extragalactic Database</x:v>
      </x:c>
      <x:c r="E47" s="29" t="str"/>
      <x:c r="F47" s="29" t="str">
        <x:v>证据源</x:v>
      </x:c>
      <x:c r="G47" s="29" t="str">
        <x:v>天文数据库 / TAP API</x:v>
      </x:c>
      <x:c r="H47" s="29" t="str">
        <x:v>https://ned.ipac.caltech.edu/</x:v>
      </x:c>
      <x:c r="I47" s="29" t="str">
        <x:v>https://ned.ipac.caltech.edu/tap</x:v>
      </x:c>
      <x:c r="J47" s="29" t="str">
        <x:v>星系数据、距离与红移解释</x:v>
      </x:c>
      <x:c r="K47" s="29" t="str">
        <x:v>星系、类星体等河外天体的交叉标识、红移与文献入口。</x:v>
      </x:c>
      <x:c r="L47" s="29" t="str">
        <x:v>API入口</x:v>
      </x:c>
      <x:c r="M47" s="29" t="str">
        <x:v>使用前核对数据口径、更新时间、许可与引用格式。；未按 RSS/Atom 校验。</x:v>
      </x:c>
    </x:row>
    <x:row r="48" ht="50" customHeight="1">
      <x:c r="A48" s="29" t="str">
        <x:v>S</x:v>
      </x:c>
      <x:c r="B48" s="29" t="n">
        <x:v>95</x:v>
      </x:c>
      <x:c r="C48" s="29" t="str">
        <x:v>天文与太空</x:v>
      </x:c>
      <x:c r="D48" s="29" t="str">
        <x:v>SIMBAD Astronomical Database</x:v>
      </x:c>
      <x:c r="E48" s="29" t="str"/>
      <x:c r="F48" s="29" t="str">
        <x:v>证据源</x:v>
      </x:c>
      <x:c r="G48" s="29" t="str">
        <x:v>天文数据库 / TAP API</x:v>
      </x:c>
      <x:c r="H48" s="29" t="str">
        <x:v>https://simbad.cds.unistra.fr/</x:v>
      </x:c>
      <x:c r="I48" s="29" t="str">
        <x:v>https://simbad.cds.unistra.fr/simbad/sim-tap</x:v>
      </x:c>
      <x:c r="J48" s="29" t="str">
        <x:v>天体档案、名称辨析、坐标图</x:v>
      </x:c>
      <x:c r="K48" s="29" t="str">
        <x:v>查天体名称、坐标、类型与参考文献的权威入口。</x:v>
      </x:c>
      <x:c r="L48" s="29" t="str">
        <x:v>API入口</x:v>
      </x:c>
      <x:c r="M48" s="29" t="str">
        <x:v>使用前核对数据口径、更新时间、许可与引用格式。；未按 RSS/Atom 校验。</x:v>
      </x:c>
    </x:row>
    <x:row r="49" ht="50" customHeight="1">
      <x:c r="A49" s="29" t="str">
        <x:v>S</x:v>
      </x:c>
      <x:c r="B49" s="29" t="n">
        <x:v>95</x:v>
      </x:c>
      <x:c r="C49" s="29" t="str">
        <x:v>天文与太空</x:v>
      </x:c>
      <x:c r="D49" s="29" t="str">
        <x:v>VizieR</x:v>
      </x:c>
      <x:c r="E49" s="29" t="str"/>
      <x:c r="F49" s="29" t="str">
        <x:v>证据源</x:v>
      </x:c>
      <x:c r="G49" s="29" t="str">
        <x:v>天文数据服务 / TAP API</x:v>
      </x:c>
      <x:c r="H49" s="29" t="str">
        <x:v>https://vizier.cds.unistra.fr/</x:v>
      </x:c>
      <x:c r="I49" s="29" t="str">
        <x:v>https://tapvizier.cds.unistra.fr/TAPVizieR/tap</x:v>
      </x:c>
      <x:c r="J49" s="29" t="str">
        <x:v>星表可视化、巡天比较</x:v>
      </x:c>
      <x:c r="K49" s="29" t="str">
        <x:v>将已发表星表集中为可查询数据，适合可视化和复核数值。</x:v>
      </x:c>
      <x:c r="L49" s="29" t="str">
        <x:v>API入口</x:v>
      </x:c>
      <x:c r="M49" s="29" t="str">
        <x:v>使用前核对数据口径、更新时间、许可与引用格式。；未按 RSS/Atom 校验。</x:v>
      </x:c>
    </x:row>
    <x:row r="50" ht="50" customHeight="1">
      <x:c r="A50" s="29" t="str">
        <x:v>S</x:v>
      </x:c>
      <x:c r="B50" s="29" t="n">
        <x:v>95</x:v>
      </x:c>
      <x:c r="C50" s="29" t="str">
        <x:v>新闻与调查</x:v>
      </x:c>
      <x:c r="D50" s="29" t="str">
        <x:v>SIPRI Databases</x:v>
      </x:c>
      <x:c r="E50" s="29" t="str"/>
      <x:c r="F50" s="29" t="str">
        <x:v>证据源</x:v>
      </x:c>
      <x:c r="G50" s="29" t="str">
        <x:v>研究机构数据库</x:v>
      </x:c>
      <x:c r="H50" s="29" t="str">
        <x:v>https://www.sipri.org/databases</x:v>
      </x:c>
      <x:c r="I50" s="29" t="str"/>
      <x:c r="J50" s="29" t="str">
        <x:v>国防数据、长期趋势与国家比较</x:v>
      </x:c>
      <x:c r="K50" s="29" t="str">
        <x:v>军费、武器转移和维和数据的权威入口。</x:v>
      </x:c>
      <x:c r="L50" s="29" t="str">
        <x:v>无RSS/API入口</x:v>
      </x:c>
      <x:c r="M50" s="29" t="str">
        <x:v>使用前核对数据口径、更新时间、许可与引用格式。</x:v>
      </x:c>
    </x:row>
    <x:row r="51" ht="50" customHeight="1">
      <x:c r="A51" s="29" t="str">
        <x:v>S</x:v>
      </x:c>
      <x:c r="B51" s="29" t="n">
        <x:v>95</x:v>
      </x:c>
      <x:c r="C51" s="29" t="str">
        <x:v>新闻与调查</x:v>
      </x:c>
      <x:c r="D51" s="29" t="str">
        <x:v>UCDP</x:v>
      </x:c>
      <x:c r="E51" s="29" t="str"/>
      <x:c r="F51" s="29" t="str">
        <x:v>证据源</x:v>
      </x:c>
      <x:c r="G51" s="29" t="str">
        <x:v>学术冲突数据库 / API</x:v>
      </x:c>
      <x:c r="H51" s="29" t="str">
        <x:v>https://ucdp.uu.se/</x:v>
      </x:c>
      <x:c r="I51" s="29" t="str">
        <x:v>https://ucdp.uu.se/apidocs/</x:v>
      </x:c>
      <x:c r="J51" s="29" t="str">
        <x:v>战争趋势、冲突定义与长期比较</x:v>
      </x:c>
      <x:c r="K51" s="29" t="str">
        <x:v>定义明确、长期可比的国家和事件级冲突数据。</x:v>
      </x:c>
      <x:c r="L51" s="29" t="str">
        <x:v>API入口</x:v>
      </x:c>
      <x:c r="M51" s="29" t="str">
        <x:v>使用前核对数据口径、更新时间、许可与引用格式。；未按 RSS/Atom 校验。</x:v>
      </x:c>
    </x:row>
    <x:row r="52" ht="50" customHeight="1">
      <x:c r="A52" s="29" t="str">
        <x:v>S</x:v>
      </x:c>
      <x:c r="B52" s="29" t="n">
        <x:v>95</x:v>
      </x:c>
      <x:c r="C52" s="29" t="str">
        <x:v>艺术、设计与建筑</x:v>
      </x:c>
      <x:c r="D52" s="29" t="str">
        <x:v>Art Institute of Chicago API</x:v>
      </x:c>
      <x:c r="E52" s="29" t="str"/>
      <x:c r="F52" s="29" t="str">
        <x:v>证据源</x:v>
      </x:c>
      <x:c r="G52" s="29" t="str">
        <x:v>博物馆馆藏 API</x:v>
      </x:c>
      <x:c r="H52" s="29" t="str">
        <x:v>https://www.artic.edu/collection</x:v>
      </x:c>
      <x:c r="I52" s="29" t="str">
        <x:v>https://api.artic.edu/docs/</x:v>
      </x:c>
      <x:c r="J52" s="29" t="str">
        <x:v>作品图卡、策展主题、IIIF 图像</x:v>
      </x:c>
      <x:c r="K52" s="29" t="str">
        <x:v>开放 API 与 IIIF 图像接口清晰，方便做可追溯视觉素材。</x:v>
      </x:c>
      <x:c r="L52" s="29" t="str">
        <x:v>API入口</x:v>
      </x:c>
      <x:c r="M52" s="29" t="str">
        <x:v>使用前核对数据口径、更新时间、许可与引用格式。；未按 RSS/Atom 校验。</x:v>
      </x:c>
    </x:row>
    <x:row r="53" ht="50" customHeight="1">
      <x:c r="A53" s="29" t="str">
        <x:v>S</x:v>
      </x:c>
      <x:c r="B53" s="29" t="n">
        <x:v>95</x:v>
      </x:c>
      <x:c r="C53" s="29" t="str">
        <x:v>艺术、设计与建筑</x:v>
      </x:c>
      <x:c r="D53" s="29" t="str">
        <x:v>British Museum Collection</x:v>
      </x:c>
      <x:c r="E53" s="29" t="str"/>
      <x:c r="F53" s="29" t="str">
        <x:v>证据源</x:v>
      </x:c>
      <x:c r="G53" s="29" t="str">
        <x:v>博物馆馆藏平台</x:v>
      </x:c>
      <x:c r="H53" s="29" t="str">
        <x:v>https://www.britishmuseum.org/collection</x:v>
      </x:c>
      <x:c r="I53" s="29" t="str"/>
      <x:c r="J53" s="29" t="str">
        <x:v>文物故事、文明比较</x:v>
      </x:c>
      <x:c r="K53" s="29" t="str">
        <x:v>跨文明器物和考古信息密集，适合物件驱动的历史叙事。</x:v>
      </x:c>
      <x:c r="L53" s="29" t="str">
        <x:v>无RSS/API入口</x:v>
      </x:c>
      <x:c r="M53" s="29" t="str">
        <x:v>对出处、归属与文化敏感性保持谨慎；逐项核对图像许可。</x:v>
      </x:c>
    </x:row>
    <x:row r="54" ht="50" customHeight="1">
      <x:c r="A54" s="29" t="str">
        <x:v>S</x:v>
      </x:c>
      <x:c r="B54" s="29" t="n">
        <x:v>95</x:v>
      </x:c>
      <x:c r="C54" s="29" t="str">
        <x:v>艺术、设计与建筑</x:v>
      </x:c>
      <x:c r="D54" s="29" t="str">
        <x:v>Cleveland Museum of Art Open Access</x:v>
      </x:c>
      <x:c r="E54" s="29" t="str"/>
      <x:c r="F54" s="29" t="str">
        <x:v>证据源</x:v>
      </x:c>
      <x:c r="G54" s="29" t="str">
        <x:v>博物馆馆藏 API</x:v>
      </x:c>
      <x:c r="H54" s="29" t="str">
        <x:v>https://www.clevelandart.org/art/collection</x:v>
      </x:c>
      <x:c r="I54" s="29" t="str">
        <x:v>https://openaccess-api.clevelandart.org/</x:v>
      </x:c>
      <x:c r="J54" s="29" t="str">
        <x:v>作品故事、风格与年代比较</x:v>
      </x:c>
      <x:c r="K54" s="29" t="str">
        <x:v>开放图像和元数据许可清晰，适合高质量艺术内容。</x:v>
      </x:c>
      <x:c r="L54" s="29" t="str">
        <x:v>API入口</x:v>
      </x:c>
      <x:c r="M54" s="29" t="str">
        <x:v>使用前核对数据口径、更新时间、许可与引用格式。；未按 RSS/Atom 校验。</x:v>
      </x:c>
    </x:row>
    <x:row r="55" ht="50" customHeight="1">
      <x:c r="A55" s="29" t="str">
        <x:v>S</x:v>
      </x:c>
      <x:c r="B55" s="29" t="n">
        <x:v>95</x:v>
      </x:c>
      <x:c r="C55" s="29" t="str">
        <x:v>艺术、设计与建筑</x:v>
      </x:c>
      <x:c r="D55" s="29" t="str">
        <x:v>Gallica</x:v>
      </x:c>
      <x:c r="E55" s="29" t="str"/>
      <x:c r="F55" s="29" t="str">
        <x:v>证据源</x:v>
      </x:c>
      <x:c r="G55" s="29" t="str">
        <x:v>国家数字图书馆 / API</x:v>
      </x:c>
      <x:c r="H55" s="29" t="str">
        <x:v>https://gallica.bnf.fr/</x:v>
      </x:c>
      <x:c r="I55" s="29" t="str">
        <x:v>https://api.bnf.fr/</x:v>
      </x:c>
      <x:c r="J55" s="29" t="str">
        <x:v>法国史、设计史、旧版画</x:v>
      </x:c>
      <x:c r="K55" s="29" t="str">
        <x:v>旧报刊、书籍、地图、乐谱与图像质量高。</x:v>
      </x:c>
      <x:c r="L55" s="29" t="str">
        <x:v>API入口</x:v>
      </x:c>
      <x:c r="M55" s="29" t="str">
        <x:v>查看 Gallica/BnF 的复用与署名条款。；未按 RSS/Atom 校验。</x:v>
      </x:c>
    </x:row>
    <x:row r="56" ht="50" customHeight="1">
      <x:c r="A56" s="29" t="str">
        <x:v>S</x:v>
      </x:c>
      <x:c r="B56" s="29" t="n">
        <x:v>95</x:v>
      </x:c>
      <x:c r="C56" s="29" t="str">
        <x:v>艺术、设计与建筑</x:v>
      </x:c>
      <x:c r="D56" s="29" t="str">
        <x:v>Rijksmuseum Collection</x:v>
      </x:c>
      <x:c r="E56" s="29" t="str"/>
      <x:c r="F56" s="29" t="str">
        <x:v>证据源</x:v>
      </x:c>
      <x:c r="G56" s="29" t="str">
        <x:v>博物馆数据 / API</x:v>
      </x:c>
      <x:c r="H56" s="29" t="str">
        <x:v>https://www.rijksmuseum.nl/en/rijksstudio</x:v>
      </x:c>
      <x:c r="I56" s="29" t="str">
        <x:v>https://data.rijksmuseum.nl/</x:v>
      </x:c>
      <x:c r="J56" s="29" t="str">
        <x:v>作品细节、艺术史与视觉拆解</x:v>
      </x:c>
      <x:c r="K56" s="29" t="str">
        <x:v>高分辨率艺术图像与精细元数据，适合局部细节叙事。</x:v>
      </x:c>
      <x:c r="L56" s="29" t="str">
        <x:v>API入口</x:v>
      </x:c>
      <x:c r="M56" s="29" t="str">
        <x:v>使用前核对数据口径、更新时间、许可与引用格式。；未按 RSS/Atom 校验。</x:v>
      </x:c>
    </x:row>
    <x:row r="57" ht="50" customHeight="1">
      <x:c r="A57" s="29" t="str">
        <x:v>S</x:v>
      </x:c>
      <x:c r="B57" s="29" t="n">
        <x:v>95</x:v>
      </x:c>
      <x:c r="C57" s="29" t="str">
        <x:v>艺术、设计与建筑</x:v>
      </x:c>
      <x:c r="D57" s="29" t="str">
        <x:v>Smithsonian Open Access</x:v>
      </x:c>
      <x:c r="E57" s="29" t="str"/>
      <x:c r="F57" s="29" t="str">
        <x:v>证据源</x:v>
      </x:c>
      <x:c r="G57" s="29" t="str">
        <x:v>博物馆开放数据 / API</x:v>
      </x:c>
      <x:c r="H57" s="29" t="str">
        <x:v>https://www.si.edu/openaccess</x:v>
      </x:c>
      <x:c r="I57" s="29" t="str">
        <x:v>https://api.si.edu/openaccess/api/v1.0/</x:v>
      </x:c>
      <x:c r="J57" s="29" t="str">
        <x:v>跨学科馆藏、历史图像与 3D</x:v>
      </x:c>
      <x:c r="K57" s="29" t="str">
        <x:v>覆盖艺术、历史、航空航天与自然史，多模态素材丰富。</x:v>
      </x:c>
      <x:c r="L57" s="29" t="str">
        <x:v>API入口</x:v>
      </x:c>
      <x:c r="M57" s="29" t="str">
        <x:v>区分 CC0 开放资产与仅供浏览项目；保留条目 ID 和机构名。；未按 RSS/Atom 校验。</x:v>
      </x:c>
    </x:row>
    <x:row r="58" ht="50" customHeight="1">
      <x:c r="A58" s="29" t="str">
        <x:v>S</x:v>
      </x:c>
      <x:c r="B58" s="29" t="n">
        <x:v>95</x:v>
      </x:c>
      <x:c r="C58" s="29" t="str">
        <x:v>艺术、设计与建筑</x:v>
      </x:c>
      <x:c r="D58" s="29" t="str">
        <x:v>The Met Collection API</x:v>
      </x:c>
      <x:c r="E58" s="29" t="str"/>
      <x:c r="F58" s="29" t="str">
        <x:v>证据源</x:v>
      </x:c>
      <x:c r="G58" s="29" t="str">
        <x:v>博物馆馆藏 API</x:v>
      </x:c>
      <x:c r="H58" s="29" t="str">
        <x:v>https://www.metmuseum.org/art/collection</x:v>
      </x:c>
      <x:c r="I58" s="29" t="str">
        <x:v>https://collectionapi.metmuseum.org/public/collection/v1/</x:v>
      </x:c>
      <x:c r="J58" s="29" t="str">
        <x:v>艺术作品图卡、年代与流派比较</x:v>
      </x:c>
      <x:c r="K58" s="29" t="str">
        <x:v>数十万件藏品元数据，开放图像标记清晰，适合艺术史图卡。</x:v>
      </x:c>
      <x:c r="L58" s="29" t="str">
        <x:v>API入口</x:v>
      </x:c>
      <x:c r="M58" s="29" t="str">
        <x:v>只复用明确标记 Public Domain/Open Access 的图像，并署名作品与机构。；未按 RSS/Atom 校验。</x:v>
      </x:c>
    </x:row>
    <x:row r="59" ht="50" customHeight="1">
      <x:c r="A59" s="29" t="str">
        <x:v>S</x:v>
      </x:c>
      <x:c r="B59" s="29" t="n">
        <x:v>95</x:v>
      </x:c>
      <x:c r="C59" s="29" t="str">
        <x:v>艺术、设计与建筑</x:v>
      </x:c>
      <x:c r="D59" s="29" t="str">
        <x:v>V&amp;A Collections</x:v>
      </x:c>
      <x:c r="E59" s="29" t="str"/>
      <x:c r="F59" s="29" t="str">
        <x:v>证据源</x:v>
      </x:c>
      <x:c r="G59" s="29" t="str">
        <x:v>博物馆馆藏 API</x:v>
      </x:c>
      <x:c r="H59" s="29" t="str">
        <x:v>https://collections.vam.ac.uk/</x:v>
      </x:c>
      <x:c r="I59" s="29" t="str">
        <x:v>https://api.vam.ac.uk/v2/</x:v>
      </x:c>
      <x:c r="J59" s="29" t="str">
        <x:v>设计史、物件故事、风格演变</x:v>
      </x:c>
      <x:c r="K59" s="29" t="str">
        <x:v>设计史、时尚、器物与海报资源尤其强。</x:v>
      </x:c>
      <x:c r="L59" s="29" t="str">
        <x:v>API入口</x:v>
      </x:c>
      <x:c r="M59" s="29" t="str">
        <x:v>使用前核对数据口径、更新时间、许可与引用格式。；未按 RSS/Atom 校验。</x:v>
      </x:c>
    </x:row>
    <x:row r="60" ht="50" customHeight="1">
      <x:c r="A60" s="29" t="str">
        <x:v>S</x:v>
      </x:c>
      <x:c r="B60" s="29" t="n">
        <x:v>95</x:v>
      </x:c>
      <x:c r="C60" s="29" t="str">
        <x:v>AI、科技与工程</x:v>
      </x:c>
      <x:c r="D60" s="29" t="str">
        <x:v>GitHub Engineering</x:v>
      </x:c>
      <x:c r="E60" s="29" t="str"/>
      <x:c r="F60" s="29" t="str">
        <x:v>证据源</x:v>
      </x:c>
      <x:c r="G60" s="29" t="str">
        <x:v>数据库、可靠性、安全与工程复盘</x:v>
      </x:c>
      <x:c r="H60" s="29" t="str">
        <x:v>https://github.blog/engineering/</x:v>
      </x:c>
      <x:c r="I60" s="29" t="str">
        <x:v>https://github.blog/engineering/feed/</x:v>
      </x:c>
      <x:c r="J60" s="29" t="str">
        <x:v>架构拆解、开发者体验、工程效率</x:v>
      </x:c>
      <x:c r="K60" s="29" t="str">
        <x:v>大型代码协作平台的一手架构和工程案例。</x:v>
      </x:c>
      <x:c r="L60" s="29" t="str">
        <x:v>有效</x:v>
      </x:c>
      <x:c r="M60" s="29" t="str">
        <x:v>Engineering分类Feed已核验。</x:v>
      </x:c>
    </x:row>
    <x:row r="61" ht="50" customHeight="1">
      <x:c r="A61" s="29" t="str">
        <x:v>S</x:v>
      </x:c>
      <x:c r="B61" s="29" t="n">
        <x:v>94</x:v>
      </x:c>
      <x:c r="C61" s="29" t="str">
        <x:v>心理、认知与情商</x:v>
      </x:c>
      <x:c r="D61" s="29" t="str">
        <x:v>PubMed：心理学与心理健康系统综述检索</x:v>
      </x:c>
      <x:c r="E61" s="29" t="str"/>
      <x:c r="F61" s="29" t="str">
        <x:v>证据源</x:v>
      </x:c>
      <x:c r="G61" s="29" t="str">
        <x:v>学术文献数据库 / 可复用检索</x:v>
      </x:c>
      <x:c r="H61" s="29" t="str">
        <x:v>https://pubmed.ncbi.nlm.nih.gov/</x:v>
      </x:c>
      <x:c r="I61" s="29" t="str">
        <x:v>https://eutils.ncbi.nlm.nih.gov/entrez/eutils/</x:v>
      </x:c>
      <x:c r="J61" s="29" t="str">
        <x:v>医学研究溯源、主题趋势；对争议性健康主张先查综述，再下钻原始研究；不要把检索命中数当结论。；论文溯源、系统检索、研究趋势、反向核验</x:v>
      </x:c>
      <x:c r="K61" s="29" t="str">
        <x:v>用 MeSH 与出版类型限定，持续追踪心理与心理健康领域的新系统综述和元分析。</x:v>
      </x:c>
      <x:c r="L61" s="29" t="str">
        <x:v>API入口</x:v>
      </x:c>
      <x:c r="M61" s="29" t="str">
        <x:v>数据库记录不是临床建议；检查研究设计、样本和系统综述层级。；2026-08-17：PubMed 主页 200；NCBI E-utilities 查询 200，JSON 已确认。；2026-08-17 实测主页 200，E-utilities ESearch 返回 JSON；批量调用须遵守 NCBI 速率规则。PubMed 收录不等于研究结论可靠，仍需评估设计与偏倚；不替代个体医疗建议。；未按 RSS/Atom 校验。</x:v>
      </x:c>
    </x:row>
    <x:row r="62" ht="50" customHeight="1">
      <x:c r="A62" s="29" t="str">
        <x:v>S</x:v>
      </x:c>
      <x:c r="B62" s="29" t="n">
        <x:v>93</x:v>
      </x:c>
      <x:c r="C62" s="29" t="str">
        <x:v>成长与学习</x:v>
      </x:c>
      <x:c r="D62" s="29" t="str">
        <x:v>80,000 Hours</x:v>
      </x:c>
      <x:c r="E62" s="29" t="str"/>
      <x:c r="F62" s="29" t="str">
        <x:v>证据源</x:v>
      </x:c>
      <x:c r="G62" s="29" t="str">
        <x:v>职业研究、影响评估、问题优先级、访谈与指南</x:v>
      </x:c>
      <x:c r="H62" s="29" t="str">
        <x:v>https://80000hours.org/research/</x:v>
      </x:c>
      <x:c r="I62" s="29" t="str">
        <x:v>https://80000hours.org/feed/</x:v>
      </x:c>
      <x:c r="J62" s="29" t="str">
        <x:v>用决策矩阵比较两条职业路径，并公开关键假设。</x:v>
      </x:c>
      <x:c r="K62" s="29" t="str">
        <x:v>以研究和显式假设讨论职业影响力，适合学习如何比较职业路径和长期取舍。</x:v>
      </x:c>
      <x:c r="L62" s="29" t="str">
        <x:v>有效</x:v>
      </x:c>
      <x:c r="M62" s="29" t="str">
        <x:v>2026-08-17：官方RSS返回200和有效XML；有明确有效利他主义视角，结论宜与其他职业研究并列。</x:v>
      </x:c>
    </x:row>
    <x:row r="63" ht="50" customHeight="1">
      <x:c r="A63" s="29" t="str">
        <x:v>S</x:v>
      </x:c>
      <x:c r="B63" s="29" t="n">
        <x:v>93</x:v>
      </x:c>
      <x:c r="C63" s="29" t="str">
        <x:v>成长与学习</x:v>
      </x:c>
      <x:c r="D63" s="29" t="str">
        <x:v>The Learning Scientists</x:v>
      </x:c>
      <x:c r="E63" s="29" t="str"/>
      <x:c r="F63" s="29" t="str">
        <x:v>证据源</x:v>
      </x:c>
      <x:c r="G63" s="29" t="str">
        <x:v>认知心理学、记忆、教学策略与学习方法</x:v>
      </x:c>
      <x:c r="H63" s="29" t="str">
        <x:v>https://www.learningscientists.org/blog</x:v>
      </x:c>
      <x:c r="I63" s="29" t="str">
        <x:v>https://www.learningscientists.org/blog?format=rss</x:v>
      </x:c>
      <x:c r="J63" s="29" t="str">
        <x:v>拆解一个常见学习误区，并给出研究支持的替代方法。</x:v>
      </x:c>
      <x:c r="K63" s="29" t="str">
        <x:v>由认知心理学研究者运营，长期解释间隔、提取练习、交错学习等证据较强的方法。</x:v>
      </x:c>
      <x:c r="L63" s="29" t="str">
        <x:v>有效</x:v>
      </x:c>
      <x:c r="M63" s="29" t="str">
        <x:v>2026-08-17：官网显式声明RSS，端点返回200和有效XML。</x:v>
      </x:c>
    </x:row>
    <x:row r="64" ht="50" customHeight="1">
      <x:c r="A64" s="29" t="str">
        <x:v>S</x:v>
      </x:c>
      <x:c r="B64" s="29" t="n">
        <x:v>93</x:v>
      </x:c>
      <x:c r="C64" s="29" t="str">
        <x:v>地球、地理与城市</x:v>
      </x:c>
      <x:c r="D64" s="29" t="str">
        <x:v>GeoNames</x:v>
      </x:c>
      <x:c r="E64" s="29" t="str"/>
      <x:c r="F64" s="29" t="str">
        <x:v>证据源</x:v>
      </x:c>
      <x:c r="G64" s="29" t="str">
        <x:v>地名数据库 / API</x:v>
      </x:c>
      <x:c r="H64" s="29" t="str">
        <x:v>https://www.geonames.org/</x:v>
      </x:c>
      <x:c r="I64" s="29" t="str">
        <x:v>https://www.geonames.org/export/web-services.html</x:v>
      </x:c>
      <x:c r="J64" s="29" t="str">
        <x:v>地名解释、地理实体对照</x:v>
      </x:c>
      <x:c r="K64" s="29" t="str">
        <x:v>适合地名标准化、坐标与行政层级补全。</x:v>
      </x:c>
      <x:c r="L64" s="29" t="str">
        <x:v>API入口</x:v>
      </x:c>
      <x:c r="M64" s="29" t="str">
        <x:v>使用前核对数据口径、更新时间、许可与引用格式。；未按 RSS/Atom 校验。</x:v>
      </x:c>
    </x:row>
    <x:row r="65" ht="50" customHeight="1">
      <x:c r="A65" s="29" t="str">
        <x:v>S</x:v>
      </x:c>
      <x:c r="B65" s="29" t="n">
        <x:v>93</x:v>
      </x:c>
      <x:c r="C65" s="29" t="str">
        <x:v>地球、地理与城市</x:v>
      </x:c>
      <x:c r="D65" s="29" t="str">
        <x:v>NOAA</x:v>
      </x:c>
      <x:c r="E65" s="29" t="str"/>
      <x:c r="F65" s="29" t="str">
        <x:v>证据源</x:v>
      </x:c>
      <x:c r="G65" s="29" t="str">
        <x:v>官方新闻、气候、天气、海洋与环境数据入口</x:v>
      </x:c>
      <x:c r="H65" s="29" t="str">
        <x:v>https://www.noaa.gov/news</x:v>
      </x:c>
      <x:c r="I65" s="29" t="str">
        <x:v>https://www.noaa.gov/rss.xml</x:v>
      </x:c>
      <x:c r="J65" s="29" t="str">
        <x:v>极端天气、海温、气候事实核查</x:v>
      </x:c>
      <x:c r="K65" s="29" t="str">
        <x:v>气象海洋权威源，事件数据和定义可追溯。</x:v>
      </x:c>
      <x:c r="L65" s="29" t="str">
        <x:v>有效</x:v>
      </x:c>
      <x:c r="M65" s="29" t="str">
        <x:v>NOAA RSS端点已核验。</x:v>
      </x:c>
    </x:row>
    <x:row r="66" ht="50" customHeight="1">
      <x:c r="A66" s="29" t="str">
        <x:v>S</x:v>
      </x:c>
      <x:c r="B66" s="29" t="n">
        <x:v>93</x:v>
      </x:c>
      <x:c r="C66" s="29" t="str">
        <x:v>地球、地理与城市</x:v>
      </x:c>
      <x:c r="D66" s="29" t="str">
        <x:v>USGS EarthExplorer</x:v>
      </x:c>
      <x:c r="E66" s="29" t="str"/>
      <x:c r="F66" s="29" t="str">
        <x:v>证据源</x:v>
      </x:c>
      <x:c r="G66" s="29" t="str">
        <x:v>地球观测下载平台</x:v>
      </x:c>
      <x:c r="H66" s="29" t="str">
        <x:v>https://earthexplorer.usgs.gov/</x:v>
      </x:c>
      <x:c r="I66" s="29" t="str"/>
      <x:c r="J66" s="29" t="str">
        <x:v>城市变化、地貌与时间对比</x:v>
      </x:c>
      <x:c r="K66" s="29" t="str">
        <x:v>Landsat、航片和高程等经典地理数据入口。</x:v>
      </x:c>
      <x:c r="L66" s="29" t="str">
        <x:v>无RSS/API入口</x:v>
      </x:c>
      <x:c r="M66" s="29" t="str">
        <x:v>使用前核对数据口径、更新时间、许可与引用格式。</x:v>
      </x:c>
    </x:row>
    <x:row r="67" ht="50" customHeight="1">
      <x:c r="A67" s="29" t="str">
        <x:v>S</x:v>
      </x:c>
      <x:c r="B67" s="29" t="n">
        <x:v>93</x:v>
      </x:c>
      <x:c r="C67" s="29" t="str">
        <x:v>地球、地理与城市</x:v>
      </x:c>
      <x:c r="D67" s="29" t="str">
        <x:v>USGS Earthquakes</x:v>
      </x:c>
      <x:c r="E67" s="29" t="str"/>
      <x:c r="F67" s="29" t="str">
        <x:v>证据源</x:v>
      </x:c>
      <x:c r="G67" s="29" t="str">
        <x:v>震级、位置、时间与事件元数据</x:v>
      </x:c>
      <x:c r="H67" s="29" t="str">
        <x:v>https://earthquake.usgs.gov/earthquakes/map/</x:v>
      </x:c>
      <x:c r="I67" s="29" t="str">
        <x:v>https://earthquake.usgs.gov/earthquakes/feed/v1.0/summary/all_day.atom</x:v>
      </x:c>
      <x:c r="J67" s="29" t="str">
        <x:v>地震快讯、地图、震级与历史对比</x:v>
      </x:c>
      <x:c r="K67" s="29" t="str">
        <x:v>机器可读的一手实时地震数据，适合快速核验。</x:v>
      </x:c>
      <x:c r="L67" s="29" t="str">
        <x:v>有效</x:v>
      </x:c>
      <x:c r="M67" s="29" t="str">
        <x:v>官方文档明确推荐Atom且说明每分钟更新；端点已核验。</x:v>
      </x:c>
    </x:row>
    <x:row r="68" ht="50" customHeight="1">
      <x:c r="A68" s="29" t="str">
        <x:v>S</x:v>
      </x:c>
      <x:c r="B68" s="29" t="n">
        <x:v>93</x:v>
      </x:c>
      <x:c r="C68" s="29" t="str">
        <x:v>地球、地理与城市</x:v>
      </x:c>
      <x:c r="D68" s="29" t="str">
        <x:v>WorldClim</x:v>
      </x:c>
      <x:c r="E68" s="29" t="str"/>
      <x:c r="F68" s="29" t="str">
        <x:v>证据源</x:v>
      </x:c>
      <x:c r="G68" s="29" t="str">
        <x:v>气候数据集</x:v>
      </x:c>
      <x:c r="H68" s="29" t="str">
        <x:v>https://www.worldclim.org/</x:v>
      </x:c>
      <x:c r="I68" s="29" t="str"/>
      <x:c r="J68" s="29" t="str">
        <x:v>气候带、物种分布与情景比较</x:v>
      </x:c>
      <x:c r="K68" s="29" t="str">
        <x:v>提供历史和未来温度、降水等高分辨率气候层。</x:v>
      </x:c>
      <x:c r="L68" s="29" t="str">
        <x:v>无RSS/API入口</x:v>
      </x:c>
      <x:c r="M68" s="29" t="str">
        <x:v>使用前核对数据口径、更新时间、许可与引用格式。</x:v>
      </x:c>
    </x:row>
    <x:row r="69" ht="50" customHeight="1">
      <x:c r="A69" s="29" t="str">
        <x:v>S</x:v>
      </x:c>
      <x:c r="B69" s="29" t="n">
        <x:v>93</x:v>
      </x:c>
      <x:c r="C69" s="29" t="str">
        <x:v>健康与福祉</x:v>
      </x:c>
      <x:c r="D69" s="29" t="str">
        <x:v>AHRQ Evidence-based Practice Center Reports</x:v>
      </x:c>
      <x:c r="E69" s="29" t="str"/>
      <x:c r="F69" s="29" t="str">
        <x:v>证据源</x:v>
      </x:c>
      <x:c r="G69" s="29" t="str">
        <x:v>系统综述、技术评估、卫生服务与方法报告</x:v>
      </x:c>
      <x:c r="H69" s="29" t="str">
        <x:v>https://www.ahrq.gov/research/findings/evidence-based-reports/index.html</x:v>
      </x:c>
      <x:c r="I69" s="29" t="str"/>
      <x:c r="J69" s="29" t="str">
        <x:v>证据全景、医疗质量、方法论、研究缺口</x:v>
      </x:c>
      <x:c r="K69" s="29" t="str">
        <x:v>为指南、覆盖决策和质量改进提供全面的证据综合。</x:v>
      </x:c>
      <x:c r="L69" s="29" t="str">
        <x:v>无RSS/API入口</x:v>
      </x:c>
      <x:c r="M69" s="29" t="str">
        <x:v>官方页面已浏览确认；2026-08-17 自动 GET 返回 405，但搜索抓取内容可达。未收录稳定统一 RSS，引用时链接具体报告；不替代个体医疗建议。</x:v>
      </x:c>
    </x:row>
    <x:row r="70" ht="50" customHeight="1">
      <x:c r="A70" s="29" t="str">
        <x:v>S</x:v>
      </x:c>
      <x:c r="B70" s="29" t="n">
        <x:v>93</x:v>
      </x:c>
      <x:c r="C70" s="29" t="str">
        <x:v>健康与福祉</x:v>
      </x:c>
      <x:c r="D70" s="29" t="str">
        <x:v>American Academy of Sleep Medicine</x:v>
      </x:c>
      <x:c r="E70" s="29" t="str"/>
      <x:c r="F70" s="29" t="str">
        <x:v>证据源</x:v>
      </x:c>
      <x:c r="G70" s="29" t="str">
        <x:v>睡眠医学指南、共识、研究新闻与专业教育</x:v>
      </x:c>
      <x:c r="H70" s="29" t="str">
        <x:v>https://aasm.org/</x:v>
      </x:c>
      <x:c r="I70" s="29" t="str">
        <x:v>https://aasm.org/feed/</x:v>
      </x:c>
      <x:c r="J70" s="29" t="str">
        <x:v>睡眠指南、睡眠障碍、常见误区、研究解读</x:v>
      </x:c>
      <x:c r="K70" s="29" t="str">
        <x:v>睡眠医学专业学会的一手来源，适合核对临床指南和疾病定义。</x:v>
      </x:c>
      <x:c r="L70" s="29" t="str">
        <x:v>有效</x:v>
      </x:c>
      <x:c r="M70" s="29" t="str">
        <x:v>2026-08-17 实测主页 200，官方 RSS 可解析。普通睡眠建议与睡眠障碍诊疗应分开，后者需专业评估；不替代个体医疗建议。</x:v>
      </x:c>
    </x:row>
    <x:row r="71" ht="50" customHeight="1">
      <x:c r="A71" s="29" t="str">
        <x:v>S</x:v>
      </x:c>
      <x:c r="B71" s="29" t="n">
        <x:v>93</x:v>
      </x:c>
      <x:c r="C71" s="29" t="str">
        <x:v>健康与福祉</x:v>
      </x:c>
      <x:c r="D71" s="29" t="str">
        <x:v>CDC Morbidity and Mortality Weekly Report (MMWR)</x:v>
      </x:c>
      <x:c r="E71" s="29" t="str"/>
      <x:c r="F71" s="29" t="str">
        <x:v>证据源</x:v>
      </x:c>
      <x:c r="G71" s="29" t="str">
        <x:v>流行病学调查、监测报告、指南与公共卫生实践</x:v>
      </x:c>
      <x:c r="H71" s="29" t="str">
        <x:v>https://www.cdc.gov/mmwr/</x:v>
      </x:c>
      <x:c r="I71" s="29" t="str">
        <x:v>https://www.cdc.gov/mmwr/rss/mmwr.xml</x:v>
      </x:c>
      <x:c r="J71" s="29" t="str">
        <x:v>数据型帖文、疫情复盘、风险因素、政策证据</x:v>
      </x:c>
      <x:c r="K71" s="29" t="str">
        <x:v>CDC 的核心科学出版物，适合获得及时、可引用的公共卫生证据和数据。</x:v>
      </x:c>
      <x:c r="L71" s="29" t="str">
        <x:v>有效</x:v>
      </x:c>
      <x:c r="M71" s="29" t="str">
        <x:v>2026-08-17 实测主页 200，官方 RSS 返回可解析 XML。区分监测数据、观察性研究与正式建议；不替代个体医疗建议。</x:v>
      </x:c>
    </x:row>
    <x:row r="72" ht="50" customHeight="1">
      <x:c r="A72" s="29" t="str">
        <x:v>S</x:v>
      </x:c>
      <x:c r="B72" s="29" t="n">
        <x:v>93</x:v>
      </x:c>
      <x:c r="C72" s="29" t="str">
        <x:v>健康与福祉</x:v>
      </x:c>
      <x:c r="D72" s="29" t="str">
        <x:v>CDC Newsroom</x:v>
      </x:c>
      <x:c r="E72" s="29" t="str"/>
      <x:c r="F72" s="29" t="str">
        <x:v>证据源</x:v>
      </x:c>
      <x:c r="G72" s="29" t="str">
        <x:v>美国公共卫生公告、疾病预防、健康警报与媒体材料</x:v>
      </x:c>
      <x:c r="H72" s="29" t="str">
        <x:v>https://www.cdc.gov/media/index.html</x:v>
      </x:c>
      <x:c r="I72" s="29" t="str">
        <x:v>https://tools.cdc.gov/api/v2/resources/media/132608.rss</x:v>
      </x:c>
      <x:c r="J72" s="29" t="str">
        <x:v>风险提示、政策变化、健康数据快讯</x:v>
      </x:c>
      <x:c r="K72" s="29" t="str">
        <x:v>适合追踪传染病、慢病、伤害预防和健康政策的一手更新。</x:v>
      </x:c>
      <x:c r="L72" s="29" t="str">
        <x:v>有效</x:v>
      </x:c>
      <x:c r="M72" s="29" t="str">
        <x:v>2026-08-17 实测主页 200，CDC 官方 RSS 返回可解析 XML。注意结论常以美国人群为主；不替代个体医疗建议。</x:v>
      </x:c>
    </x:row>
    <x:row r="73" ht="50" customHeight="1">
      <x:c r="A73" s="29" t="str">
        <x:v>S</x:v>
      </x:c>
      <x:c r="B73" s="29" t="n">
        <x:v>93</x:v>
      </x:c>
      <x:c r="C73" s="29" t="str">
        <x:v>健康与福祉</x:v>
      </x:c>
      <x:c r="D73" s="29" t="str">
        <x:v>ClinicalTrials.gov</x:v>
      </x:c>
      <x:c r="E73" s="29" t="str"/>
      <x:c r="F73" s="29" t="str">
        <x:v>证据源</x:v>
      </x:c>
      <x:c r="G73" s="29" t="str">
        <x:v>临床试验注册、方案、状态、终点与结果</x:v>
      </x:c>
      <x:c r="H73" s="29" t="str">
        <x:v>https://clinicaltrials.gov/</x:v>
      </x:c>
      <x:c r="I73" s="29" t="str">
        <x:v>https://clinicaltrials.gov/api/v2/studies</x:v>
      </x:c>
      <x:c r="J73" s="29" t="str">
        <x:v>试验进度、预注册核验、终点与结果对照</x:v>
      </x:c>
      <x:c r="K73" s="29" t="str">
        <x:v>核验一项研究是否预注册、主要终点是否改变、结果是否发布的重要来源。</x:v>
      </x:c>
      <x:c r="L73" s="29" t="str">
        <x:v>API入口</x:v>
      </x:c>
      <x:c r="M73" s="29" t="str">
        <x:v>2026-08-17 实测主页 200，v2 API 返回 JSON。注册信息由提交者提供，注册不等于疗效或监管批准；不替代个体医疗建议。；未按 RSS/Atom 校验。</x:v>
      </x:c>
    </x:row>
    <x:row r="74" ht="50" customHeight="1">
      <x:c r="A74" s="29" t="str">
        <x:v>S</x:v>
      </x:c>
      <x:c r="B74" s="29" t="n">
        <x:v>93</x:v>
      </x:c>
      <x:c r="C74" s="29" t="str">
        <x:v>健康与福祉</x:v>
      </x:c>
      <x:c r="D74" s="29" t="str">
        <x:v>European Centre for Disease Prevention and Control News</x:v>
      </x:c>
      <x:c r="E74" s="29" t="str"/>
      <x:c r="F74" s="29" t="str">
        <x:v>证据源</x:v>
      </x:c>
      <x:c r="G74" s="29" t="str">
        <x:v>风险评估、流行病学更新、传染病指南与新闻</x:v>
      </x:c>
      <x:c r="H74" s="29" t="str">
        <x:v>https://www.ecdc.europa.eu/en/news-events</x:v>
      </x:c>
      <x:c r="I74" s="29" t="str">
        <x:v>https://www.ecdc.europa.eu/en/taxonomy/term/1307/feed</x:v>
      </x:c>
      <x:c r="J74" s="29" t="str">
        <x:v>跨国比较、疫情风险、欧洲公共卫生政策</x:v>
      </x:c>
      <x:c r="K74" s="29" t="str">
        <x:v>补充欧洲视角的疾病监测、风险评估和跨境公共卫生信息。</x:v>
      </x:c>
      <x:c r="L74" s="29" t="str">
        <x:v>有效</x:v>
      </x:c>
      <x:c r="M74" s="29" t="str">
        <x:v>2026-08-17 实测主页 200，官方新闻 RSS 返回可解析 XML。风险评估需结合发布日期与适用地区；不替代个体医疗建议。</x:v>
      </x:c>
    </x:row>
    <x:row r="75" ht="50" customHeight="1">
      <x:c r="A75" s="29" t="str">
        <x:v>S</x:v>
      </x:c>
      <x:c r="B75" s="29" t="n">
        <x:v>93</x:v>
      </x:c>
      <x:c r="C75" s="29" t="str">
        <x:v>健康与福祉</x:v>
      </x:c>
      <x:c r="D75" s="29" t="str">
        <x:v>FDA Consumer Health Information Updates</x:v>
      </x:c>
      <x:c r="E75" s="29" t="str"/>
      <x:c r="F75" s="29" t="str">
        <x:v>证据源</x:v>
      </x:c>
      <x:c r="G75" s="29" t="str">
        <x:v>药物、食品、医疗器械、召回与健康欺诈提示</x:v>
      </x:c>
      <x:c r="H75" s="29" t="str">
        <x:v>https://www.fda.gov/consumers/consumer-updates</x:v>
      </x:c>
      <x:c r="I75" s="29" t="str">
        <x:v>https://www.fda.gov/about-fda/contact-fda/stay-informed/rss-feeds/consumers/rss.xml</x:v>
      </x:c>
      <x:c r="J75" s="29" t="str">
        <x:v>辟谣、监管更新、产品风险、保健品红旗</x:v>
      </x:c>
      <x:c r="K75" s="29" t="str">
        <x:v>核验产品安全、监管状态与常见健康营销说法的权威来源。</x:v>
      </x:c>
      <x:c r="L75" s="29" t="str">
        <x:v>有效</x:v>
      </x:c>
      <x:c r="M75" s="29" t="str">
        <x:v>2026-08-17 实测主页 200，官方 Consumer RSS 返回可解析 XML。监管信息以美国为主；涉及用药应建议咨询合格专业人士。</x:v>
      </x:c>
    </x:row>
    <x:row r="76" ht="50" customHeight="1">
      <x:c r="A76" s="29" t="str">
        <x:v>S</x:v>
      </x:c>
      <x:c r="B76" s="29" t="n">
        <x:v>93</x:v>
      </x:c>
      <x:c r="C76" s="29" t="str">
        <x:v>健康与福祉</x:v>
      </x:c>
      <x:c r="D76" s="29" t="str">
        <x:v>National Institute of Mental Health</x:v>
      </x:c>
      <x:c r="E76" s="29" t="str"/>
      <x:c r="F76" s="29" t="str">
        <x:v>证据源</x:v>
      </x:c>
      <x:c r="G76" s="29" t="str">
        <x:v>精神疾病研究、统计、治疗信息、科研新闻与公共教育</x:v>
      </x:c>
      <x:c r="H76" s="29" t="str">
        <x:v>https://www.nimh.nih.gov/news</x:v>
      </x:c>
      <x:c r="I76" s="29" t="str"/>
      <x:c r="J76" s="29" t="str">
        <x:v>用于心理健康数据、机制研究和政策背景；优先引用其研究报告或所链接论文。；精神健康科普、研究进展、统计与求助资源</x:v>
      </x:c>
      <x:c r="K76" s="29" t="str">
        <x:v>美国国家级精神健康研究机构，适合核对疾病概念、研究进展与统计口径。</x:v>
      </x:c>
      <x:c r="L76" s="29" t="str">
        <x:v>无RSS/API入口</x:v>
      </x:c>
      <x:c r="M76" s="29" t="str">
        <x:v>2026-08-17：官方新闻主页 200；未在当前页面发现固定 RSS，建议网页巡检或邮件订阅。；2026-08-17 实测主页 200；旧 Atom 路径已失效，未收录不稳定 Feed。精神健康内容应避免自我诊断和污名化，并在危机话题中提供当地专业求助渠道。</x:v>
      </x:c>
    </x:row>
    <x:row r="77" ht="50" customHeight="1">
      <x:c r="A77" s="29" t="str">
        <x:v>S</x:v>
      </x:c>
      <x:c r="B77" s="29" t="n">
        <x:v>93</x:v>
      </x:c>
      <x:c r="C77" s="29" t="str">
        <x:v>健康与福祉</x:v>
      </x:c>
      <x:c r="D77" s="29" t="str">
        <x:v>NICE Guidance</x:v>
      </x:c>
      <x:c r="E77" s="29" t="str"/>
      <x:c r="F77" s="29" t="str">
        <x:v>证据源</x:v>
      </x:c>
      <x:c r="G77" s="29" t="str">
        <x:v>临床指南、公共卫生指南、技术评估与质量标准</x:v>
      </x:c>
      <x:c r="H77" s="29" t="str">
        <x:v>https://www.nice.org.uk/guidance</x:v>
      </x:c>
      <x:c r="I77" s="29" t="str"/>
      <x:c r="J77" s="29" t="str">
        <x:v>指南变化、推荐等级、临床路径</x:v>
      </x:c>
      <x:c r="K77" s="29" t="str">
        <x:v>基于系统证据和成本效益的指南平台，适合核对标准实践与推荐强度。</x:v>
      </x:c>
      <x:c r="L77" s="29" t="str">
        <x:v>无RSS/API入口</x:v>
      </x:c>
      <x:c r="M77" s="29" t="str">
        <x:v>2026-08-17 实测主页 200；官方有 Syndication/API 文档，但本库不填入可能变动的统一端点。适用情境以英国体系为主；不替代个体医疗建议。</x:v>
      </x:c>
    </x:row>
    <x:row r="78" ht="50" customHeight="1">
      <x:c r="A78" s="29" t="str">
        <x:v>S</x:v>
      </x:c>
      <x:c r="B78" s="29" t="n">
        <x:v>93</x:v>
      </x:c>
      <x:c r="C78" s="29" t="str">
        <x:v>健康与福祉</x:v>
      </x:c>
      <x:c r="D78" s="29" t="str">
        <x:v>PLOS Medicine</x:v>
      </x:c>
      <x:c r="E78" s="29" t="str"/>
      <x:c r="F78" s="29" t="str">
        <x:v>证据源</x:v>
      </x:c>
      <x:c r="G78" s="29" t="str">
        <x:v>临床与公共卫生研究、系统综述、方法和政策</x:v>
      </x:c>
      <x:c r="H78" s="29" t="str">
        <x:v>https://journals.plos.org/plosmedicine/</x:v>
      </x:c>
      <x:c r="I78" s="29" t="str">
        <x:v>https://journals.plos.org/plosmedicine/feed/atom</x:v>
      </x:c>
      <x:c r="J78" s="29" t="str">
        <x:v>开放论文、方法透明、全球健康、可复核证据</x:v>
      </x:c>
      <x:c r="K78" s="29" t="str">
        <x:v>开放获取且覆盖临床和全球健康，便于读者直接核查全文。</x:v>
      </x:c>
      <x:c r="L78" s="29" t="str">
        <x:v>有效</x:v>
      </x:c>
      <x:c r="M78" s="29" t="str">
        <x:v>2026-08-17 实测主页 200，官方 Atom Feed 可解析。开放获取不等于无偏倚，仍需评估设计、效应量与局限；不替代个体医疗建议。</x:v>
      </x:c>
    </x:row>
    <x:row r="79" ht="50" customHeight="1">
      <x:c r="A79" s="29" t="str">
        <x:v>S</x:v>
      </x:c>
      <x:c r="B79" s="29" t="n">
        <x:v>93</x:v>
      </x:c>
      <x:c r="C79" s="29" t="str">
        <x:v>健康与福祉</x:v>
      </x:c>
      <x:c r="D79" s="29" t="str">
        <x:v>U.S. Preventive Services Task Force</x:v>
      </x:c>
      <x:c r="E79" s="29" t="str"/>
      <x:c r="F79" s="29" t="str">
        <x:v>证据源</x:v>
      </x:c>
      <x:c r="G79" s="29" t="str">
        <x:v>筛查、预防用药与行为干预推荐及证据综述</x:v>
      </x:c>
      <x:c r="H79" s="29" t="str">
        <x:v>https://www.uspreventiveservicestaskforce.org/uspstf/recommendation-topics</x:v>
      </x:c>
      <x:c r="I79" s="29" t="str"/>
      <x:c r="J79" s="29" t="str">
        <x:v>筛查利弊、预防误区、推荐等级解释</x:v>
      </x:c>
      <x:c r="K79" s="29" t="str">
        <x:v>针对无症状人群的预防服务建议，方法公开且推荐等级清晰。</x:v>
      </x:c>
      <x:c r="L79" s="29" t="str">
        <x:v>无RSS/API入口</x:v>
      </x:c>
      <x:c r="M79" s="29" t="str">
        <x:v>2026-08-17 实测主页 200；未发现稳定官方 RSS，建议网页或邮件监测。推荐适用对象非常具体，发帖须写清年龄、风险组和等级；不替代个体医疗建议。</x:v>
      </x:c>
    </x:row>
    <x:row r="80" ht="50" customHeight="1">
      <x:c r="A80" s="29" t="str">
        <x:v>S</x:v>
      </x:c>
      <x:c r="B80" s="29" t="n">
        <x:v>93</x:v>
      </x:c>
      <x:c r="C80" s="29" t="str">
        <x:v>健康与福祉</x:v>
      </x:c>
      <x:c r="D80" s="29" t="str">
        <x:v>WHO Global Health Observatory</x:v>
      </x:c>
      <x:c r="E80" s="29" t="str"/>
      <x:c r="F80" s="29" t="str">
        <x:v>证据源</x:v>
      </x:c>
      <x:c r="G80" s="29" t="str">
        <x:v>国家级健康指标、死亡、疾病、风险因素与卫生系统数据</x:v>
      </x:c>
      <x:c r="H80" s="29" t="str">
        <x:v>https://www.who.int/data/gho</x:v>
      </x:c>
      <x:c r="I80" s="29" t="str">
        <x:v>https://ghoapi.azureedge.net/api/</x:v>
      </x:c>
      <x:c r="J80" s="29" t="str">
        <x:v>公共健康趋势、国家比较；全球地图、国家比较、长期趋势、公共卫生数据图</x:v>
      </x:c>
      <x:c r="K80" s="29" t="str">
        <x:v>适合制作全球和跨国健康比较，提供官方指标定义与可查询数据。</x:v>
      </x:c>
      <x:c r="L80" s="29" t="str">
        <x:v>API入口</x:v>
      </x:c>
      <x:c r="M80" s="29" t="str">
        <x:v>指标定义、估算模型和报告延迟需随图说明。；2026-08-17 实测主页 200，OData API 返回 JSON。发帖应标注指标定义、年份、估计方法与缺失值；群体统计不用于个体诊断。；未按 RSS/Atom 校验。</x:v>
      </x:c>
    </x:row>
    <x:row r="81" ht="50" customHeight="1">
      <x:c r="A81" s="29" t="str">
        <x:v>S</x:v>
      </x:c>
      <x:c r="B81" s="29" t="n">
        <x:v>93</x:v>
      </x:c>
      <x:c r="C81" s="29" t="str">
        <x:v>健康与福祉</x:v>
      </x:c>
      <x:c r="D81" s="29" t="str">
        <x:v>World Health Organization Newsroom</x:v>
      </x:c>
      <x:c r="E81" s="29" t="str"/>
      <x:c r="F81" s="29" t="str">
        <x:v>证据源</x:v>
      </x:c>
      <x:c r="G81" s="29" t="str">
        <x:v>全球卫生新闻、指南更新、疫情与政策声明</x:v>
      </x:c>
      <x:c r="H81" s="29" t="str">
        <x:v>https://www.who.int/news-room</x:v>
      </x:c>
      <x:c r="I81" s="29" t="str">
        <x:v>https://www.who.int/rss-feeds/news-english.xml</x:v>
      </x:c>
      <x:c r="J81" s="29" t="str">
        <x:v>全球趋势、指南变化、跨国数据、公共卫生事件</x:v>
      </x:c>
      <x:c r="K81" s="29" t="str">
        <x:v>WHO 是全球公共卫生规范、疾病防控与跨国卫生议题的一手权威来源。</x:v>
      </x:c>
      <x:c r="L81" s="29" t="str">
        <x:v>有效</x:v>
      </x:c>
      <x:c r="M81" s="29" t="str">
        <x:v>2026-08-17 实测主页 200，官方 RSS 返回可解析 XML。引用指南或数据时应链接具体文件；仅作一般信息，不替代个体医疗建议。</x:v>
      </x:c>
    </x:row>
    <x:row r="82" ht="50" customHeight="1">
      <x:c r="A82" s="29" t="str">
        <x:v>S</x:v>
      </x:c>
      <x:c r="B82" s="29" t="n">
        <x:v>93</x:v>
      </x:c>
      <x:c r="C82" s="29" t="str">
        <x:v>健康与福祉</x:v>
      </x:c>
      <x:c r="D82" s="29" t="str">
        <x:v>中华人民共和国国家卫生健康委员会</x:v>
      </x:c>
      <x:c r="E82" s="29" t="str"/>
      <x:c r="F82" s="29" t="str">
        <x:v>证据源</x:v>
      </x:c>
      <x:c r="G82" s="29" t="str">
        <x:v>官方政策与文件平台</x:v>
      </x:c>
      <x:c r="H82" s="29" t="str">
        <x:v>https://www.nhc.gov.cn/</x:v>
      </x:c>
      <x:c r="I82" s="29" t="str"/>
      <x:c r="J82" s="29" t="str">
        <x:v>政策原文、发布日期、官方统计口径与制度变化</x:v>
      </x:c>
      <x:c r="K82" s="29" t="str">
        <x:v>中国卫生健康政策、规范、新闻发布会和政策解读的一手入口。</x:v>
      </x:c>
      <x:c r="L82" s="29" t="str">
        <x:v>无RSS/API入口</x:v>
      </x:c>
      <x:c r="M82" s="29" t="str">
        <x:v>精确引用文件名称、文号、发布日期和适用范围；新闻稿不能替代完整技术指南。</x:v>
      </x:c>
    </x:row>
    <x:row r="83" ht="50" customHeight="1">
      <x:c r="A83" s="29" t="str">
        <x:v>S</x:v>
      </x:c>
      <x:c r="B83" s="29" t="n">
        <x:v>93</x:v>
      </x:c>
      <x:c r="C83" s="29" t="str">
        <x:v>科学与数学</x:v>
      </x:c>
      <x:c r="D83" s="29" t="str">
        <x:v>CERN News</x:v>
      </x:c>
      <x:c r="E83" s="29" t="str"/>
      <x:c r="F83" s="29" t="str">
        <x:v>证据源</x:v>
      </x:c>
      <x:c r="G83" s="29" t="str">
        <x:v>粒子物理、加速器、计算与机构新闻</x:v>
      </x:c>
      <x:c r="H83" s="29" t="str">
        <x:v>https://home.cern/news</x:v>
      </x:c>
      <x:c r="I83" s="29" t="str">
        <x:v>https://home.cern/feed/</x:v>
      </x:c>
      <x:c r="J83" s="29" t="str">
        <x:v>大科学装置、粒子物理、工程幕后</x:v>
      </x:c>
      <x:c r="K83" s="29" t="str">
        <x:v>CERN一手源，常把基础科学和大型工程结合起来。</x:v>
      </x:c>
      <x:c r="L83" s="29" t="str">
        <x:v>有效</x:v>
      </x:c>
      <x:c r="M83" s="29" t="str">
        <x:v>CERN官方域名Feed地址经活跃Feed目录交叉核验。</x:v>
      </x:c>
    </x:row>
    <x:row r="84" ht="50" customHeight="1">
      <x:c r="A84" s="29" t="str">
        <x:v>S</x:v>
      </x:c>
      <x:c r="B84" s="29" t="n">
        <x:v>93</x:v>
      </x:c>
      <x:c r="C84" s="29" t="str">
        <x:v>科学与数学</x:v>
      </x:c>
      <x:c r="D84" s="29" t="str">
        <x:v>eLife</x:v>
      </x:c>
      <x:c r="E84" s="29" t="str"/>
      <x:c r="F84" s="29" t="str">
        <x:v>证据源</x:v>
      </x:c>
      <x:c r="G84" s="29" t="str">
        <x:v>生命科学论文、评审材料与研究说明</x:v>
      </x:c>
      <x:c r="H84" s="29" t="str">
        <x:v>https://elifesciences.org/</x:v>
      </x:c>
      <x:c r="I84" s="29" t="str">
        <x:v>https://elifesciences.org/rss/recent.xml</x:v>
      </x:c>
      <x:c r="J84" s="29" t="str">
        <x:v>开放科学、论文方法、研究透明度</x:v>
      </x:c>
      <x:c r="K84" s="29" t="str">
        <x:v>开放获取，并能看到评审语境和研究方法。</x:v>
      </x:c>
      <x:c r="L84" s="29" t="str">
        <x:v>受限/反爬</x:v>
      </x:c>
      <x:c r="M84" s="29" t="str">
        <x:v>Recent RSS端点已核验。；端点未返回可识别的 RSS/Atom XML；可能是反爬、登录页或旧地址。</x:v>
      </x:c>
    </x:row>
    <x:row r="85" ht="50" customHeight="1">
      <x:c r="A85" s="29" t="str">
        <x:v>S</x:v>
      </x:c>
      <x:c r="B85" s="29" t="n">
        <x:v>93</x:v>
      </x:c>
      <x:c r="C85" s="29" t="str">
        <x:v>历史与考古</x:v>
      </x:c>
      <x:c r="D85" s="29" t="str">
        <x:v>HathiTrust Digital Library</x:v>
      </x:c>
      <x:c r="E85" s="29" t="str"/>
      <x:c r="F85" s="29" t="str">
        <x:v>证据源</x:v>
      </x:c>
      <x:c r="G85" s="29" t="str">
        <x:v>数字馆藏平台</x:v>
      </x:c>
      <x:c r="H85" s="29" t="str">
        <x:v>https://www.hathitrust.org/</x:v>
      </x:c>
      <x:c r="I85" s="29" t="str"/>
      <x:c r="J85" s="29" t="str">
        <x:v>词频史、旧刊与原典</x:v>
      </x:c>
      <x:c r="K85" s="29" t="str">
        <x:v>大规模图书与期刊扫描，适合全文检索历史语料。</x:v>
      </x:c>
      <x:c r="L85" s="29" t="str">
        <x:v>无RSS/API入口</x:v>
      </x:c>
      <x:c r="M85" s="29" t="str">
        <x:v>全文访问受地域与版权限制；引用具体卷期和页码。</x:v>
      </x:c>
    </x:row>
    <x:row r="86" ht="50" customHeight="1">
      <x:c r="A86" s="29" t="str">
        <x:v>S</x:v>
      </x:c>
      <x:c r="B86" s="29" t="n">
        <x:v>93</x:v>
      </x:c>
      <x:c r="C86" s="29" t="str">
        <x:v>历史与考古</x:v>
      </x:c>
      <x:c r="D86" s="29" t="str">
        <x:v>Perseus Digital Library</x:v>
      </x:c>
      <x:c r="E86" s="29" t="str"/>
      <x:c r="F86" s="29" t="str">
        <x:v>证据源</x:v>
      </x:c>
      <x:c r="G86" s="29" t="str">
        <x:v>古典文献库</x:v>
      </x:c>
      <x:c r="H86" s="29" t="str">
        <x:v>https://www.perseus.tufts.edu/</x:v>
      </x:c>
      <x:c r="I86" s="29" t="str"/>
      <x:c r="J86" s="29" t="str">
        <x:v>古典文本引用、概念词源</x:v>
      </x:c>
      <x:c r="K86" s="29" t="str">
        <x:v>希腊罗马原典、译文、词典与形态分析的一站入口。</x:v>
      </x:c>
      <x:c r="L86" s="29" t="str">
        <x:v>无RSS/API入口</x:v>
      </x:c>
      <x:c r="M86" s="29" t="str">
        <x:v>使用前核对数据口径、更新时间、许可与引用格式。</x:v>
      </x:c>
    </x:row>
    <x:row r="87" ht="50" customHeight="1">
      <x:c r="A87" s="29" t="str">
        <x:v>S</x:v>
      </x:c>
      <x:c r="B87" s="29" t="n">
        <x:v>93</x:v>
      </x:c>
      <x:c r="C87" s="29" t="str">
        <x:v>历史与考古</x:v>
      </x:c>
      <x:c r="D87" s="29" t="str">
        <x:v>Project Gutenberg</x:v>
      </x:c>
      <x:c r="E87" s="29" t="str"/>
      <x:c r="F87" s="29" t="str">
        <x:v>证据源</x:v>
      </x:c>
      <x:c r="G87" s="29" t="str">
        <x:v>开放电子书库</x:v>
      </x:c>
      <x:c r="H87" s="29" t="str">
        <x:v>https://www.gutenberg.org/</x:v>
      </x:c>
      <x:c r="I87" s="29" t="str">
        <x:v>https://www.gutenberg.org/ebooks/search/?sort_order=release_date</x:v>
      </x:c>
      <x:c r="J87" s="29" t="str">
        <x:v>原典摘引、文学与思想史</x:v>
      </x:c>
      <x:c r="K87" s="29" t="str">
        <x:v>稳定获取经典原典和多种格式文本。</x:v>
      </x:c>
      <x:c r="L87" s="29" t="str">
        <x:v>平台入口</x:v>
      </x:c>
      <x:c r="M87" s="29" t="str">
        <x:v>公共领域判定因司法辖区而异；保留作品、译者、版本信息。；未按 RSS/Atom 校验。</x:v>
      </x:c>
    </x:row>
    <x:row r="88" ht="50" customHeight="1">
      <x:c r="A88" s="29" t="str">
        <x:v>S</x:v>
      </x:c>
      <x:c r="B88" s="29" t="n">
        <x:v>93</x:v>
      </x:c>
      <x:c r="C88" s="29" t="str">
        <x:v>历史与考古</x:v>
      </x:c>
      <x:c r="D88" s="29" t="str">
        <x:v>Scripta Sinica</x:v>
      </x:c>
      <x:c r="E88" s="29" t="str"/>
      <x:c r="F88" s="29" t="str">
        <x:v>证据源</x:v>
      </x:c>
      <x:c r="G88" s="29" t="str">
        <x:v>历史语料数据库</x:v>
      </x:c>
      <x:c r="H88" s="29" t="str">
        <x:v>https://hanchi.ihp.sinica.edu.tw/</x:v>
      </x:c>
      <x:c r="I88" s="29" t="str"/>
      <x:c r="J88" s="29" t="str">
        <x:v>中国史原典、人物与事件检索</x:v>
      </x:c>
      <x:c r="K88" s="29" t="str">
        <x:v>中央研究院史语所的汉籍全文资料入口。</x:v>
      </x:c>
      <x:c r="L88" s="29" t="str">
        <x:v>无RSS/API入口</x:v>
      </x:c>
      <x:c r="M88" s="29" t="str">
        <x:v>部分资源受机构权限限制；引用具体版本与卷页。</x:v>
      </x:c>
    </x:row>
    <x:row r="89" ht="50" customHeight="1">
      <x:c r="A89" s="29" t="str">
        <x:v>S</x:v>
      </x:c>
      <x:c r="B89" s="29" t="n">
        <x:v>93</x:v>
      </x:c>
      <x:c r="C89" s="29" t="str">
        <x:v>人文与跨学科</x:v>
      </x:c>
      <x:c r="D89" s="29" t="str">
        <x:v>Data Commons</x:v>
      </x:c>
      <x:c r="E89" s="29" t="str"/>
      <x:c r="F89" s="29" t="str">
        <x:v>证据源</x:v>
      </x:c>
      <x:c r="G89" s="29" t="str">
        <x:v>多源公共统计、地点、实体、指标与知识图谱</x:v>
      </x:c>
      <x:c r="H89" s="29" t="str">
        <x:v>https://datacommons.org/</x:v>
      </x:c>
      <x:c r="I89" s="29" t="str">
        <x:v>https://api.datacommons.org/</x:v>
      </x:c>
      <x:c r="J89" s="29" t="str">
        <x:v>地区数据卡、指标关系、自动图表</x:v>
      </x:c>
      <x:c r="K89" s="29" t="str">
        <x:v>统一跨库实体，适合快速做城市、地区和国家比较。</x:v>
      </x:c>
      <x:c r="L89" s="29" t="str">
        <x:v>API入口</x:v>
      </x:c>
      <x:c r="M89" s="29" t="str">
        <x:v>无RSS；官方API文档可用，引用时还应检查底层数据来源。；未按 RSS/Atom 校验。</x:v>
      </x:c>
    </x:row>
    <x:row r="90" ht="50" customHeight="1">
      <x:c r="A90" s="29" t="str">
        <x:v>S</x:v>
      </x:c>
      <x:c r="B90" s="29" t="n">
        <x:v>93</x:v>
      </x:c>
      <x:c r="C90" s="29" t="str">
        <x:v>人文与跨学科</x:v>
      </x:c>
      <x:c r="D90" s="29" t="str">
        <x:v>Internet Archive Blog</x:v>
      </x:c>
      <x:c r="E90" s="29" t="str"/>
      <x:c r="F90" s="29" t="str">
        <x:v>证据源</x:v>
      </x:c>
      <x:c r="G90" s="29" t="str">
        <x:v>机构动态、数字档案、开放网络文章</x:v>
      </x:c>
      <x:c r="H90" s="29" t="str">
        <x:v>https://blog.archive.org/</x:v>
      </x:c>
      <x:c r="I90" s="29" t="str">
        <x:v>https://blog.archive.org/feed/</x:v>
      </x:c>
      <x:c r="J90" s="29" t="str">
        <x:v>互联网史、数字公共品和旧网页考古。</x:v>
      </x:c>
      <x:c r="K90" s="29" t="str">
        <x:v>理解数字保存、网页历史、开放获取和互联网公共基础设施的重要一手机构来源。</x:v>
      </x:c>
      <x:c r="L90" s="29" t="str">
        <x:v>超时/网络错误</x:v>
      </x:c>
      <x:c r="M90" s="29" t="str">
        <x:v>2026-08-17：标准 WordPress Feed，网页核验器请求超时；建议目标阅读器复验。；fetch failed</x:v>
      </x:c>
    </x:row>
    <x:row r="91" ht="50" customHeight="1">
      <x:c r="A91" s="29" t="str">
        <x:v>S</x:v>
      </x:c>
      <x:c r="B91" s="29" t="n">
        <x:v>93</x:v>
      </x:c>
      <x:c r="C91" s="29" t="str">
        <x:v>人文与跨学科</x:v>
      </x:c>
      <x:c r="D91" s="29" t="str">
        <x:v>Our World in Data</x:v>
      </x:c>
      <x:c r="E91" s="29" t="str"/>
      <x:c r="F91" s="29" t="str">
        <x:v>证据源</x:v>
      </x:c>
      <x:c r="G91" s="29" t="str">
        <x:v>数据文章、交互图表、可下载数据</x:v>
      </x:c>
      <x:c r="H91" s="29" t="str">
        <x:v>https://ourworldindata.org/</x:v>
      </x:c>
      <x:c r="I91" s="29" t="str">
        <x:v>https://ourworldindata.org/atom.xml</x:v>
      </x:c>
      <x:c r="J91" s="29" t="str">
        <x:v>数据卡、长期趋势、反直觉事实；一张图纠正一个直觉、长期趋势和跨国比较。</x:v>
      </x:c>
      <x:c r="K91" s="29" t="str">
        <x:v>全球发展数据、方法说明和来源链透明，可直接追到数据集并复核指标定义。</x:v>
      </x:c>
      <x:c r="L91" s="29" t="str">
        <x:v>有效</x:v>
      </x:c>
      <x:c r="M91" s="29" t="str">
        <x:v>Atom端点已核验；发帖时应同时链接具体图表和数据说明。；2026-08-17：Atom 端点返回 application/xml。引用时同时保留图表来源与指标定义。</x:v>
      </x:c>
    </x:row>
    <x:row r="92" ht="50" customHeight="1">
      <x:c r="A92" s="29" t="str">
        <x:v>S</x:v>
      </x:c>
      <x:c r="B92" s="29" t="n">
        <x:v>93</x:v>
      </x:c>
      <x:c r="C92" s="29" t="str">
        <x:v>人文与跨学科</x:v>
      </x:c>
      <x:c r="D92" s="29" t="str">
        <x:v>World Bank Open Data</x:v>
      </x:c>
      <x:c r="E92" s="29" t="str"/>
      <x:c r="F92" s="29" t="str">
        <x:v>证据源</x:v>
      </x:c>
      <x:c r="G92" s="29" t="str">
        <x:v>国家、经济、发展、人口指标与时间序列</x:v>
      </x:c>
      <x:c r="H92" s="29" t="str">
        <x:v>https://data.worldbank.org/</x:v>
      </x:c>
      <x:c r="I92" s="29" t="str">
        <x:v>https://api.worldbank.org/v2/</x:v>
      </x:c>
      <x:c r="J92" s="29" t="str">
        <x:v>国家比较、长期趋势、发展议题</x:v>
      </x:c>
      <x:c r="K92" s="29" t="str">
        <x:v>官方元数据、时间序列和可下载格式完善。</x:v>
      </x:c>
      <x:c r="L92" s="29" t="str">
        <x:v>API入口</x:v>
      </x:c>
      <x:c r="M92" s="29" t="str">
        <x:v>无统一内容RSS；官方API可按国家和指标查询。；未按 RSS/Atom 校验。</x:v>
      </x:c>
    </x:row>
    <x:row r="93" ht="50" customHeight="1">
      <x:c r="A93" s="29" t="str">
        <x:v>S</x:v>
      </x:c>
      <x:c r="B93" s="29" t="n">
        <x:v>93</x:v>
      </x:c>
      <x:c r="C93" s="29" t="str">
        <x:v>商业、管理与创新</x:v>
      </x:c>
      <x:c r="D93" s="29" t="str">
        <x:v>Chicago Booth Review</x:v>
      </x:c>
      <x:c r="E93" s="29" t="str"/>
      <x:c r="F93" s="29" t="str">
        <x:v>证据源</x:v>
      </x:c>
      <x:c r="G93" s="29" t="str">
        <x:v>经济学、金融、商业、公共政策与行为研究解读</x:v>
      </x:c>
      <x:c r="H93" s="29" t="str">
        <x:v>https://www.chicagobooth.edu/review</x:v>
      </x:c>
      <x:c r="I93" s="29" t="str"/>
      <x:c r="J93" s="29" t="str">
        <x:v>用数据检验一个流行商业叙事，并展示替代解释。</x:v>
      </x:c>
      <x:c r="K93" s="29" t="str">
        <x:v>依托芝加哥布斯学派研究传统，适合寻找数据、因果推断和相互竞争的经济解释。</x:v>
      </x:c>
      <x:c r="L93" s="29" t="str">
        <x:v>无RSS/API入口</x:v>
      </x:c>
      <x:c r="M93" s="29" t="str">
        <x:v>2026-08-17：官网返回200；常见RSS猜测地址均为404，按平台收录。</x:v>
      </x:c>
    </x:row>
    <x:row r="94" ht="50" customHeight="1">
      <x:c r="A94" s="29" t="str">
        <x:v>S</x:v>
      </x:c>
      <x:c r="B94" s="29" t="n">
        <x:v>93</x:v>
      </x:c>
      <x:c r="C94" s="29" t="str">
        <x:v>商业、管理与创新</x:v>
      </x:c>
      <x:c r="D94" s="29" t="str">
        <x:v>Columbia Business School Insights</x:v>
      </x:c>
      <x:c r="E94" s="29" t="str"/>
      <x:c r="F94" s="29" t="str">
        <x:v>证据源</x:v>
      </x:c>
      <x:c r="G94" s="29" t="str">
        <x:v>商学院研究、金融、领导力、创业、气候与市场分析</x:v>
      </x:c>
      <x:c r="H94" s="29" t="str">
        <x:v>https://business.columbia.edu/insights</x:v>
      </x:c>
      <x:c r="I94" s="29" t="str"/>
      <x:c r="J94" s="29" t="str">
        <x:v>引用研究或教授观点，补充企业和市场层面的现实例子。</x:v>
      </x:c>
      <x:c r="K94" s="29" t="str">
        <x:v>连接哥伦比亚商学院教师研究与纽约商业生态，金融和组织议题具有一手性。</x:v>
      </x:c>
      <x:c r="L94" s="29" t="str">
        <x:v>无RSS/API入口</x:v>
      </x:c>
      <x:c r="M94" s="29" t="str">
        <x:v>2026-08-17：自动化访问受403挑战；未发现可稳定验证的官方RSS，按平台收录。</x:v>
      </x:c>
    </x:row>
    <x:row r="95" ht="50" customHeight="1">
      <x:c r="A95" s="29" t="str">
        <x:v>S</x:v>
      </x:c>
      <x:c r="B95" s="29" t="n">
        <x:v>93</x:v>
      </x:c>
      <x:c r="C95" s="29" t="str">
        <x:v>商业、管理与创新</x:v>
      </x:c>
      <x:c r="D95" s="29" t="str">
        <x:v>HBS Working Knowledge</x:v>
      </x:c>
      <x:c r="E95" s="29" t="str"/>
      <x:c r="F95" s="29" t="str">
        <x:v>证据源</x:v>
      </x:c>
      <x:c r="G95" s="29" t="str">
        <x:v>哈佛商学院教师研究、工作论文、案例讨论与管理问答</x:v>
      </x:c>
      <x:c r="H95" s="29" t="str">
        <x:v>https://www.library.hbs.edu/working-knowledge</x:v>
      </x:c>
      <x:c r="I95" s="29" t="str"/>
      <x:c r="J95" s="29" t="str">
        <x:v>从研究摘要进入论文，再提炼问题、方法、发现和管理含义。</x:v>
      </x:c>
      <x:c r="K95" s="29" t="str">
        <x:v>常直接链接论文或案例背景，是寻找管理研究原始出处的高价值入口。</x:v>
      </x:c>
      <x:c r="L95" s="29" t="str">
        <x:v>无RSS/API入口</x:v>
      </x:c>
      <x:c r="M95" s="29" t="str">
        <x:v>2026-08-17：官网返回200；测试的常见RSS路径均为404，按平台收录。</x:v>
      </x:c>
    </x:row>
    <x:row r="96" ht="50" customHeight="1">
      <x:c r="A96" s="29" t="str">
        <x:v>S</x:v>
      </x:c>
      <x:c r="B96" s="29" t="n">
        <x:v>93</x:v>
      </x:c>
      <x:c r="C96" s="29" t="str">
        <x:v>商业、管理与创新</x:v>
      </x:c>
      <x:c r="D96" s="29" t="str">
        <x:v>INSEAD Knowledge</x:v>
      </x:c>
      <x:c r="E96" s="29" t="str"/>
      <x:c r="F96" s="29" t="str">
        <x:v>证据源</x:v>
      </x:c>
      <x:c r="G96" s="29" t="str">
        <x:v>战略、领导力、组织行为、创业、可持续与全球商业</x:v>
      </x:c>
      <x:c r="H96" s="29" t="str">
        <x:v>https://knowledge.insead.edu/</x:v>
      </x:c>
      <x:c r="I96" s="29" t="str"/>
      <x:c r="J96" s="29" t="str">
        <x:v>比较不同市场或文化中的管理机制，避免只用美国样本。</x:v>
      </x:c>
      <x:c r="K96" s="29" t="str">
        <x:v>具有强全球视角，常把商学院研究转化为跨文化和跨市场管理启示。</x:v>
      </x:c>
      <x:c r="L96" s="29" t="str">
        <x:v>无RSS/API入口</x:v>
      </x:c>
      <x:c r="M96" s="29" t="str">
        <x:v>2026-08-17：官网自动化访问受403挑战；未录入同样受限的RSS端点，按平台收录。</x:v>
      </x:c>
    </x:row>
    <x:row r="97" ht="50" customHeight="1">
      <x:c r="A97" s="29" t="str">
        <x:v>S</x:v>
      </x:c>
      <x:c r="B97" s="29" t="n">
        <x:v>93</x:v>
      </x:c>
      <x:c r="C97" s="29" t="str">
        <x:v>商业、管理与创新</x:v>
      </x:c>
      <x:c r="D97" s="29" t="str">
        <x:v>Kellogg Insight</x:v>
      </x:c>
      <x:c r="E97" s="29" t="str"/>
      <x:c r="F97" s="29" t="str">
        <x:v>证据源</x:v>
      </x:c>
      <x:c r="G97" s="29" t="str">
        <x:v>商学院论文解读、市场营销、管理、领导力与行为研究</x:v>
      </x:c>
      <x:c r="H97" s="29" t="str">
        <x:v>https://insight.kellogg.northwestern.edu/</x:v>
      </x:c>
      <x:c r="I97" s="29" t="str">
        <x:v>https://insight.kellogg.northwestern.edu/feed/rss</x:v>
      </x:c>
      <x:c r="J97" s="29" t="str">
        <x:v>把实验设计和结果压缩成一张因果链，并提醒适用边界。</x:v>
      </x:c>
      <x:c r="K97" s="29" t="str">
        <x:v>文章通常清晰说明研究问题、方法和管理含义，适合做证据型帖文。</x:v>
      </x:c>
      <x:c r="L97" s="29" t="str">
        <x:v>有效</x:v>
      </x:c>
      <x:c r="M97" s="29" t="str">
        <x:v>2026-08-17：主页显式发现官方RSS，端点返回200和有效XML。</x:v>
      </x:c>
    </x:row>
    <x:row r="98" ht="50" customHeight="1">
      <x:c r="A98" s="29" t="str">
        <x:v>S</x:v>
      </x:c>
      <x:c r="B98" s="29" t="n">
        <x:v>93</x:v>
      </x:c>
      <x:c r="C98" s="29" t="str">
        <x:v>商业、管理与创新</x:v>
      </x:c>
      <x:c r="D98" s="29" t="str">
        <x:v>Knowledge at Wharton</x:v>
      </x:c>
      <x:c r="E98" s="29" t="str"/>
      <x:c r="F98" s="29" t="str">
        <x:v>证据源</x:v>
      </x:c>
      <x:c r="G98" s="29" t="str">
        <x:v>研究解读、教授访谈、商业趋势、政策与管理实践</x:v>
      </x:c>
      <x:c r="H98" s="29" t="str">
        <x:v>https://knowledge.wharton.upenn.edu/</x:v>
      </x:c>
      <x:c r="I98" s="29" t="str">
        <x:v>https://knowledge.wharton.upenn.edu/feed/</x:v>
      </x:c>
      <x:c r="J98" s="29" t="str">
        <x:v>教授观点加数据加对管理者或消费者的影响。</x:v>
      </x:c>
      <x:c r="K98" s="29" t="str">
        <x:v>沃顿商学院的公共知识平台，能快速找到研究者、论文和现实商业问题之间的连接。</x:v>
      </x:c>
      <x:c r="L98" s="29" t="str">
        <x:v>有效</x:v>
      </x:c>
      <x:c r="M98" s="29" t="str">
        <x:v>2026-08-17：主页显式发现官方Feed，RSS返回200和有效XML。</x:v>
      </x:c>
    </x:row>
    <x:row r="99" ht="50" customHeight="1">
      <x:c r="A99" s="29" t="str">
        <x:v>S</x:v>
      </x:c>
      <x:c r="B99" s="29" t="n">
        <x:v>93</x:v>
      </x:c>
      <x:c r="C99" s="29" t="str">
        <x:v>商业、管理与创新</x:v>
      </x:c>
      <x:c r="D99" s="29" t="str">
        <x:v>Stanford GSB Insights</x:v>
      </x:c>
      <x:c r="E99" s="29" t="str"/>
      <x:c r="F99" s="29" t="str">
        <x:v>证据源</x:v>
      </x:c>
      <x:c r="G99" s="29" t="str">
        <x:v>斯坦福商学院研究解读、案例、访谈、播客与课堂要点</x:v>
      </x:c>
      <x:c r="H99" s="29" t="str">
        <x:v>https://www.gsb.stanford.edu/insights</x:v>
      </x:c>
      <x:c r="I99" s="29" t="str"/>
      <x:c r="J99" s="29" t="str">
        <x:v>引用教授研究，用一个现实决策场景解释其意义。</x:v>
      </x:c>
      <x:c r="K99" s="29" t="str">
        <x:v>直接连接商学院教师研究与企业实践，创业、领导力、谈判和组织议题丰富。</x:v>
      </x:c>
      <x:c r="L99" s="29" t="str">
        <x:v>无RSS/API入口</x:v>
      </x:c>
      <x:c r="M99" s="29" t="str">
        <x:v>2026-08-17：官网返回200；未发现稳定官方统一RSS，按平台收录。</x:v>
      </x:c>
    </x:row>
    <x:row r="100" ht="50" customHeight="1">
      <x:c r="A100" s="29" t="str">
        <x:v>S</x:v>
      </x:c>
      <x:c r="B100" s="29" t="n">
        <x:v>93</x:v>
      </x:c>
      <x:c r="C100" s="29" t="str">
        <x:v>商业、管理与创新</x:v>
      </x:c>
      <x:c r="D100" s="29" t="str">
        <x:v>Yale Insights</x:v>
      </x:c>
      <x:c r="E100" s="29" t="str"/>
      <x:c r="F100" s="29" t="str">
        <x:v>证据源</x:v>
      </x:c>
      <x:c r="G100" s="29" t="str">
        <x:v>耶鲁管理学院研究、政策、领导力、市场与社会影响</x:v>
      </x:c>
      <x:c r="H100" s="29" t="str">
        <x:v>https://insights.som.yale.edu/</x:v>
      </x:c>
      <x:c r="I100" s="29" t="str"/>
      <x:c r="J100" s="29" t="str">
        <x:v>用利益相关者视角拆解一个商业决策的外部影响。</x:v>
      </x:c>
      <x:c r="K100" s="29" t="str">
        <x:v>擅长把企业议题放进制度、政策和社会背景，适合避免狭窄的商业成功叙事。</x:v>
      </x:c>
      <x:c r="L100" s="29" t="str">
        <x:v>无RSS/API入口</x:v>
      </x:c>
      <x:c r="M100" s="29" t="str">
        <x:v>2026-08-17：官网返回200；测试的常见RSS端点均为404，按平台收录。</x:v>
      </x:c>
    </x:row>
    <x:row r="101" ht="50" customHeight="1">
      <x:c r="A101" s="29" t="str">
        <x:v>S</x:v>
      </x:c>
      <x:c r="B101" s="29" t="n">
        <x:v>93</x:v>
      </x:c>
      <x:c r="C101" s="29" t="str">
        <x:v>数据与可视化</x:v>
      </x:c>
      <x:c r="D101" s="29" t="str">
        <x:v>中国国家数据</x:v>
      </x:c>
      <x:c r="E101" s="29" t="str"/>
      <x:c r="F101" s="29" t="str">
        <x:v>证据源</x:v>
      </x:c>
      <x:c r="G101" s="29" t="str">
        <x:v>官方统计平台</x:v>
      </x:c>
      <x:c r="H101" s="29" t="str">
        <x:v>https://data.stats.gov.cn/</x:v>
      </x:c>
      <x:c r="I101" s="29" t="str"/>
      <x:c r="J101" s="29" t="str">
        <x:v>中国宏观、地区和行业图表</x:v>
      </x:c>
      <x:c r="K101" s="29" t="str">
        <x:v>人口、国民经济、行业与地区指标的官方入口。</x:v>
      </x:c>
      <x:c r="L101" s="29" t="str">
        <x:v>无RSS/API入口</x:v>
      </x:c>
      <x:c r="M101" s="29" t="str">
        <x:v>核对统计口径、基期、现价/不变价、修订与发布日期。</x:v>
      </x:c>
    </x:row>
    <x:row r="102" ht="50" customHeight="1">
      <x:c r="A102" s="29" t="str">
        <x:v>S</x:v>
      </x:c>
      <x:c r="B102" s="29" t="n">
        <x:v>93</x:v>
      </x:c>
      <x:c r="C102" s="29" t="str">
        <x:v>天文与太空</x:v>
      </x:c>
      <x:c r="D102" s="29" t="str">
        <x:v>ESA Space Science</x:v>
      </x:c>
      <x:c r="E102" s="29" t="str"/>
      <x:c r="F102" s="29" t="str">
        <x:v>证据源</x:v>
      </x:c>
      <x:c r="G102" s="29" t="str">
        <x:v>任务新闻、科学结果、图像与公告</x:v>
      </x:c>
      <x:c r="H102" s="29" t="str">
        <x:v>https://www.esa.int/Science_Exploration/Space_Science</x:v>
      </x:c>
      <x:c r="I102" s="29" t="str">
        <x:v>https://www.esa.int/rssfeed/Our_Activities/Space_Science</x:v>
      </x:c>
      <x:c r="J102" s="29" t="str">
        <x:v>任务对比、探测器图解、欧洲航天</x:v>
      </x:c>
      <x:c r="K102" s="29" t="str">
        <x:v>补足NASA之外的欧洲任务和空间科学视角。</x:v>
      </x:c>
      <x:c r="L102" s="29" t="str">
        <x:v>有效</x:v>
      </x:c>
      <x:c r="M102" s="29" t="str">
        <x:v>Feed由ESA官方RSS索引直接列出并核验为XML。</x:v>
      </x:c>
    </x:row>
    <x:row r="103" ht="50" customHeight="1">
      <x:c r="A103" s="29" t="str">
        <x:v>S</x:v>
      </x:c>
      <x:c r="B103" s="29" t="n">
        <x:v>93</x:v>
      </x:c>
      <x:c r="C103" s="29" t="str">
        <x:v>天文与太空</x:v>
      </x:c>
      <x:c r="D103" s="29" t="str">
        <x:v>NASA JPL</x:v>
      </x:c>
      <x:c r="E103" s="29" t="str"/>
      <x:c r="F103" s="29" t="str">
        <x:v>证据源</x:v>
      </x:c>
      <x:c r="G103" s="29" t="str">
        <x:v>深空任务新闻、图像与工程说明</x:v>
      </x:c>
      <x:c r="H103" s="29" t="str">
        <x:v>https://www.jpl.nasa.gov/news/</x:v>
      </x:c>
      <x:c r="I103" s="29" t="str">
        <x:v>https://www.jpl.nasa.gov/feeds/news/</x:v>
      </x:c>
      <x:c r="J103" s="29" t="str">
        <x:v>火星与行星任务、机器人、工程幕后</x:v>
      </x:c>
      <x:c r="K103" s="29" t="str">
        <x:v>行星任务、机器人和深空工程的一手细节可靠。</x:v>
      </x:c>
      <x:c r="L103" s="29" t="str">
        <x:v>有效</x:v>
      </x:c>
      <x:c r="M103" s="29" t="str">
        <x:v>官方JPL RSS页和News Feed均已核验。</x:v>
      </x:c>
    </x:row>
    <x:row r="104" ht="50" customHeight="1">
      <x:c r="A104" s="29" t="str">
        <x:v>S</x:v>
      </x:c>
      <x:c r="B104" s="29" t="n">
        <x:v>93</x:v>
      </x:c>
      <x:c r="C104" s="29" t="str">
        <x:v>天文与太空</x:v>
      </x:c>
      <x:c r="D104" s="29" t="str">
        <x:v>NASA News</x:v>
      </x:c>
      <x:c r="E104" s="29" t="str"/>
      <x:c r="F104" s="29" t="str">
        <x:v>证据源</x:v>
      </x:c>
      <x:c r="G104" s="29" t="str">
        <x:v>新闻稿、任务公告、媒体素材</x:v>
      </x:c>
      <x:c r="H104" s="29" t="str">
        <x:v>https://www.nasa.gov/news/</x:v>
      </x:c>
      <x:c r="I104" s="29" t="str">
        <x:v>https://www.nasa.gov/news-release/feed/</x:v>
      </x:c>
      <x:c r="J104" s="29" t="str">
        <x:v>突发航天新闻、任务时间线、事实卡</x:v>
      </x:c>
      <x:c r="K104" s="29" t="str">
        <x:v>航天任务事实、时间、名称和媒体资源的一手源。</x:v>
      </x:c>
      <x:c r="L104" s="29" t="str">
        <x:v>有效</x:v>
      </x:c>
      <x:c r="M104" s="29" t="str">
        <x:v>RSS端点已核验，并列于NASA官方RSS索引。</x:v>
      </x:c>
    </x:row>
    <x:row r="105" ht="50" customHeight="1">
      <x:c r="A105" s="29" t="str">
        <x:v>S</x:v>
      </x:c>
      <x:c r="B105" s="29" t="n">
        <x:v>93</x:v>
      </x:c>
      <x:c r="C105" s="29" t="str">
        <x:v>天文与太空</x:v>
      </x:c>
      <x:c r="D105" s="29" t="str">
        <x:v>NASA Planetary Data System</x:v>
      </x:c>
      <x:c r="E105" s="29" t="str"/>
      <x:c r="F105" s="29" t="str">
        <x:v>证据源</x:v>
      </x:c>
      <x:c r="G105" s="29" t="str">
        <x:v>任务数据档案</x:v>
      </x:c>
      <x:c r="H105" s="29" t="str">
        <x:v>https://pds.nasa.gov/</x:v>
      </x:c>
      <x:c r="I105" s="29" t="str">
        <x:v>https://pds.nasa.gov/datasearch/data-search/</x:v>
      </x:c>
      <x:c r="J105" s="29" t="str">
        <x:v>行星地貌、任务数据、仪器方法</x:v>
      </x:c>
      <x:c r="K105" s="29" t="str">
        <x:v>NASA 行星任务经过归档的科学数据与文档。</x:v>
      </x:c>
      <x:c r="L105" s="29" t="str">
        <x:v>平台入口</x:v>
      </x:c>
      <x:c r="M105" s="29" t="str">
        <x:v>使用前核对数据口径、更新时间、许可与引用格式。；未按 RSS/Atom 校验。</x:v>
      </x:c>
    </x:row>
    <x:row r="106" ht="50" customHeight="1">
      <x:c r="A106" s="29" t="str">
        <x:v>S</x:v>
      </x:c>
      <x:c r="B106" s="29" t="n">
        <x:v>93</x:v>
      </x:c>
      <x:c r="C106" s="29" t="str">
        <x:v>天文与太空</x:v>
      </x:c>
      <x:c r="D106" s="29" t="str">
        <x:v>SDSS SkyServer</x:v>
      </x:c>
      <x:c r="E106" s="29" t="str"/>
      <x:c r="F106" s="29" t="str">
        <x:v>证据源</x:v>
      </x:c>
      <x:c r="G106" s="29" t="str">
        <x:v>天文巡天平台</x:v>
      </x:c>
      <x:c r="H106" s="29" t="str">
        <x:v>https://skyserver.sdss.org/</x:v>
      </x:c>
      <x:c r="I106" s="29" t="str"/>
      <x:c r="J106" s="29" t="str">
        <x:v>星系光谱、宇宙地图、教学图解</x:v>
      </x:c>
      <x:c r="K106" s="29" t="str">
        <x:v>可查询图像、光谱和目录，并有适合公众的探索工具。</x:v>
      </x:c>
      <x:c r="L106" s="29" t="str">
        <x:v>无RSS/API入口</x:v>
      </x:c>
      <x:c r="M106" s="29" t="str">
        <x:v>使用前核对数据口径、更新时间、许可与引用格式。</x:v>
      </x:c>
    </x:row>
    <x:row r="107" ht="50" customHeight="1">
      <x:c r="A107" s="29" t="str">
        <x:v>S</x:v>
      </x:c>
      <x:c r="B107" s="29" t="n">
        <x:v>93</x:v>
      </x:c>
      <x:c r="C107" s="29" t="str">
        <x:v>新闻与调查</x:v>
      </x:c>
      <x:c r="D107" s="29" t="str">
        <x:v>ACLED</x:v>
      </x:c>
      <x:c r="E107" s="29" t="str"/>
      <x:c r="F107" s="29" t="str">
        <x:v>证据源</x:v>
      </x:c>
      <x:c r="G107" s="29" t="str">
        <x:v>冲突事件数据库 / API</x:v>
      </x:c>
      <x:c r="H107" s="29" t="str">
        <x:v>https://acleddata.com/</x:v>
      </x:c>
      <x:c r="I107" s="29" t="str">
        <x:v>https://acleddata.com/api/acled/read</x:v>
      </x:c>
      <x:c r="J107" s="29" t="str">
        <x:v>冲突趋势、事件地图与地区比较</x:v>
      </x:c>
      <x:c r="K107" s="29" t="str">
        <x:v>结构化记录冲突、政治暴力和抗议事件。</x:v>
      </x:c>
      <x:c r="L107" s="29" t="str">
        <x:v>API入口</x:v>
      </x:c>
      <x:c r="M107" s="29" t="str">
        <x:v>需要账户；事件编码、覆盖范围和安全敏感性需说明。；未按 RSS/Atom 校验。</x:v>
      </x:c>
    </x:row>
    <x:row r="108" ht="50" customHeight="1">
      <x:c r="A108" s="29" t="str">
        <x:v>S</x:v>
      </x:c>
      <x:c r="B108" s="29" t="n">
        <x:v>93</x:v>
      </x:c>
      <x:c r="C108" s="29" t="str">
        <x:v>新闻与调查</x:v>
      </x:c>
      <x:c r="D108" s="29" t="str">
        <x:v>BBC World News</x:v>
      </x:c>
      <x:c r="E108" s="29" t="str"/>
      <x:c r="F108" s="29" t="str">
        <x:v>证据源</x:v>
      </x:c>
      <x:c r="G108" s="29" t="str">
        <x:v>全球突发、时政、科学和事件报道</x:v>
      </x:c>
      <x:c r="H108" s="29" t="str">
        <x:v>https://www.bbc.com/news/world</x:v>
      </x:c>
      <x:c r="I108" s="29" t="str">
        <x:v>https://feeds.bbci.co.uk/news/world/rss.xml</x:v>
      </x:c>
      <x:c r="J108" s="29" t="str">
        <x:v>快讯、全球背景、事件时间线</x:v>
      </x:c>
      <x:c r="K108" s="29" t="str">
        <x:v>全球采编网络强，适合核对事件基本事实和时间线。</x:v>
      </x:c>
      <x:c r="L108" s="29" t="str">
        <x:v>有效</x:v>
      </x:c>
      <x:c r="M108" s="29" t="str">
        <x:v>World RSS已核验，BBC官方Feed文档另提供完整OPML。</x:v>
      </x:c>
    </x:row>
    <x:row r="109" ht="50" customHeight="1">
      <x:c r="A109" s="29" t="str">
        <x:v>S</x:v>
      </x:c>
      <x:c r="B109" s="29" t="n">
        <x:v>93</x:v>
      </x:c>
      <x:c r="C109" s="29" t="str">
        <x:v>新闻与调查</x:v>
      </x:c>
      <x:c r="D109" s="29" t="str">
        <x:v>Bellingcat</x:v>
      </x:c>
      <x:c r="E109" s="29" t="str"/>
      <x:c r="F109" s="29" t="str">
        <x:v>证据源</x:v>
      </x:c>
      <x:c r="G109" s="29" t="str">
        <x:v>调查报道、地理定位、验证方法</x:v>
      </x:c>
      <x:c r="H109" s="29" t="str">
        <x:v>https://www.bellingcat.com/</x:v>
      </x:c>
      <x:c r="I109" s="29" t="str">
        <x:v>https://www.bellingcat.com/feed/</x:v>
      </x:c>
      <x:c r="J109" s="29" t="str">
        <x:v>公开信息如何证实事件和地图影像取证教程。</x:v>
      </x:c>
      <x:c r="K109" s="29" t="str">
        <x:v>经常展示从公开影像、地图和数据到结论的验证链，方法透明度高。</x:v>
      </x:c>
      <x:c r="L109" s="29" t="str">
        <x:v>有效</x:v>
      </x:c>
      <x:c r="M109" s="29" t="str">
        <x:v>2026-08-17：Feed 端点返回 application/rss+xml。敏感事件仍需多源复核。</x:v>
      </x:c>
    </x:row>
    <x:row r="110" ht="50" customHeight="1">
      <x:c r="A110" s="29" t="str">
        <x:v>S</x:v>
      </x:c>
      <x:c r="B110" s="29" t="n">
        <x:v>93</x:v>
      </x:c>
      <x:c r="C110" s="29" t="str">
        <x:v>新闻与调查</x:v>
      </x:c>
      <x:c r="D110" s="29" t="str">
        <x:v>Rest of World</x:v>
      </x:c>
      <x:c r="E110" s="29" t="str"/>
      <x:c r="F110" s="29" t="str">
        <x:v>证据源</x:v>
      </x:c>
      <x:c r="G110" s="29" t="str">
        <x:v>硅谷以外的科技、劳工、创作者、平台与政策报道</x:v>
      </x:c>
      <x:c r="H110" s="29" t="str">
        <x:v>https://restofworld.org/</x:v>
      </x:c>
      <x:c r="I110" s="29" t="str">
        <x:v>https://restofworld.org/feed/latest/</x:v>
      </x:c>
      <x:c r="J110" s="29" t="str">
        <x:v>全球科技、平台经济、区域趋势</x:v>
      </x:c>
      <x:c r="K110" s="29" t="str">
        <x:v>亚洲、非洲、拉美等地区视角稀缺，全球采编覆盖强。</x:v>
      </x:c>
      <x:c r="L110" s="29" t="str">
        <x:v>有效</x:v>
      </x:c>
      <x:c r="M110" s="29" t="str">
        <x:v>Latest Feed由官方Platforms页直接列出；另有多个主题Feed。</x:v>
      </x:c>
    </x:row>
    <x:row r="111" ht="50" customHeight="1">
      <x:c r="A111" s="29" t="str">
        <x:v>S</x:v>
      </x:c>
      <x:c r="B111" s="29" t="n">
        <x:v>93</x:v>
      </x:c>
      <x:c r="C111" s="29" t="str">
        <x:v>艺术、设计与建筑</x:v>
      </x:c>
      <x:c r="D111" s="29" t="str">
        <x:v>Getty Vocabularies</x:v>
      </x:c>
      <x:c r="E111" s="29" t="str"/>
      <x:c r="F111" s="29" t="str">
        <x:v>证据源</x:v>
      </x:c>
      <x:c r="G111" s="29" t="str">
        <x:v>知识组织数据 / SPARQL</x:v>
      </x:c>
      <x:c r="H111" s="29" t="str">
        <x:v>https://www.getty.edu/research/tools/vocabularies/</x:v>
      </x:c>
      <x:c r="I111" s="29" t="str">
        <x:v>https://vocab.getty.edu/</x:v>
      </x:c>
      <x:c r="J111" s="29" t="str">
        <x:v>术语解释、艺术家/地点关系图</x:v>
      </x:c>
      <x:c r="K111" s="29" t="str">
        <x:v>AAT、ULAN、TGN 等适合规范艺术史术语、人物和地名。</x:v>
      </x:c>
      <x:c r="L111" s="29" t="str">
        <x:v>API入口</x:v>
      </x:c>
      <x:c r="M111" s="29" t="str">
        <x:v>使用前核对数据口径、更新时间、许可与引用格式。；未按 RSS/Atom 校验。</x:v>
      </x:c>
    </x:row>
    <x:row r="112" ht="50" customHeight="1">
      <x:c r="A112" s="29" t="str">
        <x:v>S</x:v>
      </x:c>
      <x:c r="B112" s="29" t="n">
        <x:v>93</x:v>
      </x:c>
      <x:c r="C112" s="29" t="str">
        <x:v>艺术、设计与建筑</x:v>
      </x:c>
      <x:c r="D112" s="29" t="str">
        <x:v>Harvard Art Museums API</x:v>
      </x:c>
      <x:c r="E112" s="29" t="str"/>
      <x:c r="F112" s="29" t="str">
        <x:v>证据源</x:v>
      </x:c>
      <x:c r="G112" s="29" t="str">
        <x:v>博物馆馆藏 API</x:v>
      </x:c>
      <x:c r="H112" s="29" t="str">
        <x:v>https://harvardartmuseums.org/collections</x:v>
      </x:c>
      <x:c r="I112" s="29" t="str">
        <x:v>https://api.harvardartmuseums.org/</x:v>
      </x:c>
      <x:c r="J112" s="29" t="str">
        <x:v>艺术研究、材料与修复故事</x:v>
      </x:c>
      <x:c r="K112" s="29" t="str">
        <x:v>艺术品、展览、人物与技术分析元数据丰富。</x:v>
      </x:c>
      <x:c r="L112" s="29" t="str">
        <x:v>API入口</x:v>
      </x:c>
      <x:c r="M112" s="29" t="str">
        <x:v>API 需免费密钥；逐项核对图像权利。；未按 RSS/Atom 校验。</x:v>
      </x:c>
    </x:row>
    <x:row r="113" ht="50" customHeight="1">
      <x:c r="A113" s="29" t="str">
        <x:v>S</x:v>
      </x:c>
      <x:c r="B113" s="29" t="n">
        <x:v>93</x:v>
      </x:c>
      <x:c r="C113" s="29" t="str">
        <x:v>哲学与思想</x:v>
      </x:c>
      <x:c r="D113" s="29" t="str">
        <x:v>Stanford Encyclopedia of Philosophy</x:v>
      </x:c>
      <x:c r="E113" s="29" t="str"/>
      <x:c r="F113" s="29" t="str">
        <x:v>证据源</x:v>
      </x:c>
      <x:c r="G113" s="29" t="str">
        <x:v>专家百科条目与修订通知</x:v>
      </x:c>
      <x:c r="H113" s="29" t="str">
        <x:v>https://plato.stanford.edu/</x:v>
      </x:c>
      <x:c r="I113" s="29" t="str">
        <x:v>https://plato.stanford.edu/rss/sep.xml</x:v>
      </x:c>
      <x:c r="J113" s="29" t="str">
        <x:v>一个概念的准确解释、学派对比和思想谱系。</x:v>
      </x:c>
      <x:c r="K113" s="29" t="str">
        <x:v>条目由领域专家撰写和编辑，是哲学概念定义、思想谱系和参考文献的权威入口。</x:v>
      </x:c>
      <x:c r="L113" s="29" t="str">
        <x:v>有效</x:v>
      </x:c>
      <x:c r="M113" s="29" t="str">
        <x:v>2026-08-17：SEP What's New 官方页明确列出该 RSS URL。</x:v>
      </x:c>
    </x:row>
    <x:row r="114" ht="50" customHeight="1">
      <x:c r="A114" s="29" t="str">
        <x:v>S</x:v>
      </x:c>
      <x:c r="B114" s="29" t="n">
        <x:v>93</x:v>
      </x:c>
      <x:c r="C114" s="29" t="str">
        <x:v>AI、科技与工程</x:v>
      </x:c>
      <x:c r="D114" s="29" t="str">
        <x:v>Anthropic News</x:v>
      </x:c>
      <x:c r="E114" s="29" t="str"/>
      <x:c r="F114" s="29" t="str">
        <x:v>证据源</x:v>
      </x:c>
      <x:c r="G114" s="29" t="str">
        <x:v>模型公告、系统卡、可解释性、安全与政策研究</x:v>
      </x:c>
      <x:c r="H114" s="29" t="str">
        <x:v>https://www.anthropic.com/news</x:v>
      </x:c>
      <x:c r="I114" s="29" t="str"/>
      <x:c r="J114" s="29" t="str">
        <x:v>AI安全、治理框架、模型对比</x:v>
      </x:c>
      <x:c r="K114" s="29" t="str">
        <x:v>前沿AI安全、治理和可解释性研究的一手源。</x:v>
      </x:c>
      <x:c r="L114" s="29" t="str">
        <x:v>无RSS/API入口</x:v>
      </x:c>
      <x:c r="M114" s="29" t="str">
        <x:v>本轮未核验到稳定的官方统一RSS，建议网页或邮件监测；不要把第三方抓取feed当作源记录。</x:v>
      </x:c>
    </x:row>
    <x:row r="115" ht="50" customHeight="1">
      <x:c r="A115" s="29" t="str">
        <x:v>S</x:v>
      </x:c>
      <x:c r="B115" s="29" t="n">
        <x:v>93</x:v>
      </x:c>
      <x:c r="C115" s="29" t="str">
        <x:v>AI、科技与工程</x:v>
      </x:c>
      <x:c r="D115" s="29" t="str">
        <x:v>Apple Machine Learning Research</x:v>
      </x:c>
      <x:c r="E115" s="29" t="str"/>
      <x:c r="F115" s="29" t="str">
        <x:v>证据源</x:v>
      </x:c>
      <x:c r="G115" s="29" t="str">
        <x:v>论文摘要、语音、视觉、设备端智能</x:v>
      </x:c>
      <x:c r="H115" s="29" t="str">
        <x:v>https://machinelearning.apple.com/</x:v>
      </x:c>
      <x:c r="I115" s="29" t="str">
        <x:v>https://machinelearning.apple.com/rss.xml</x:v>
      </x:c>
      <x:c r="J115" s="29" t="str">
        <x:v>端侧AI、论文卡片、效率与隐私</x:v>
      </x:c>
      <x:c r="K115" s="29" t="str">
        <x:v>设备端AI、隐私和模型优化的一手来源。</x:v>
      </x:c>
      <x:c r="L115" s="29" t="str">
        <x:v>有效</x:v>
      </x:c>
      <x:c r="M115" s="29" t="str">
        <x:v>RSS端点已核验为XML。</x:v>
      </x:c>
    </x:row>
    <x:row r="116" ht="50" customHeight="1">
      <x:c r="A116" s="29" t="str">
        <x:v>S</x:v>
      </x:c>
      <x:c r="B116" s="29" t="n">
        <x:v>93</x:v>
      </x:c>
      <x:c r="C116" s="29" t="str">
        <x:v>AI、科技与工程</x:v>
      </x:c>
      <x:c r="D116" s="29" t="str">
        <x:v>Cloudflare Blog</x:v>
      </x:c>
      <x:c r="E116" s="29" t="str"/>
      <x:c r="F116" s="29" t="str">
        <x:v>证据源</x:v>
      </x:c>
      <x:c r="G116" s="29" t="str">
        <x:v>工程文章、事故复盘、安全与性能分析</x:v>
      </x:c>
      <x:c r="H116" s="29" t="str">
        <x:v>https://blog.cloudflare.com/</x:v>
      </x:c>
      <x:c r="I116" s="29" t="str">
        <x:v>https://blog.cloudflare.com/rss/</x:v>
      </x:c>
      <x:c r="J116" s="29" t="str">
        <x:v>故障复盘、安全事件、性能优化</x:v>
      </x:c>
      <x:c r="K116" s="29" t="str">
        <x:v>互联网级数据和方法透明，实战细节丰富。</x:v>
      </x:c>
      <x:c r="L116" s="29" t="str">
        <x:v>有效</x:v>
      </x:c>
      <x:c r="M116" s="29" t="str">
        <x:v>官方RSS端点已核验。</x:v>
      </x:c>
    </x:row>
    <x:row r="117" ht="50" customHeight="1">
      <x:c r="A117" s="29" t="str">
        <x:v>S</x:v>
      </x:c>
      <x:c r="B117" s="29" t="n">
        <x:v>93</x:v>
      </x:c>
      <x:c r="C117" s="29" t="str">
        <x:v>AI、科技与工程</x:v>
      </x:c>
      <x:c r="D117" s="29" t="str">
        <x:v>Google DeepMind Blog</x:v>
      </x:c>
      <x:c r="E117" s="29" t="str"/>
      <x:c r="F117" s="29" t="str">
        <x:v>证据源</x:v>
      </x:c>
      <x:c r="G117" s="29" t="str">
        <x:v>研究论文解读、科学发现、机器人、演示</x:v>
      </x:c>
      <x:c r="H117" s="29" t="str">
        <x:v>https://deepmind.google/blog/</x:v>
      </x:c>
      <x:c r="I117" s="29" t="str">
        <x:v>https://deepmind.google/blog/rss.xml</x:v>
      </x:c>
      <x:c r="J117" s="29" t="str">
        <x:v>论文图解、科学突破、研究趋势</x:v>
      </x:c>
      <x:c r="K117" s="29" t="str">
        <x:v>顶级研究实验室的一手材料，论文、图像与演示质量高。</x:v>
      </x:c>
      <x:c r="L117" s="29" t="str">
        <x:v>有效</x:v>
      </x:c>
      <x:c r="M117" s="29" t="str">
        <x:v>Feed端点已核验为XML。</x:v>
      </x:c>
    </x:row>
    <x:row r="118" ht="50" customHeight="1">
      <x:c r="A118" s="29" t="str">
        <x:v>S</x:v>
      </x:c>
      <x:c r="B118" s="29" t="n">
        <x:v>93</x:v>
      </x:c>
      <x:c r="C118" s="29" t="str">
        <x:v>AI、科技与工程</x:v>
      </x:c>
      <x:c r="D118" s="29" t="str">
        <x:v>Google Research Blog</x:v>
      </x:c>
      <x:c r="E118" s="29" t="str"/>
      <x:c r="F118" s="29" t="str">
        <x:v>证据源</x:v>
      </x:c>
      <x:c r="G118" s="29" t="str">
        <x:v>机器学习、HCI、健康与科学研究摘要</x:v>
      </x:c>
      <x:c r="H118" s="29" t="str">
        <x:v>https://research.google/blog/</x:v>
      </x:c>
      <x:c r="I118" s="29" t="str">
        <x:v>https://research.google/blog/rss/</x:v>
      </x:c>
      <x:c r="J118" s="29" t="str">
        <x:v>一图看懂论文、研究方法、跨学科应用</x:v>
      </x:c>
      <x:c r="K118" s="29" t="str">
        <x:v>研究覆盖广，通常附论文、代码和数据入口。</x:v>
      </x:c>
      <x:c r="L118" s="29" t="str">
        <x:v>有效</x:v>
      </x:c>
      <x:c r="M118" s="29" t="str">
        <x:v>官方RSS端点已核验。</x:v>
      </x:c>
    </x:row>
    <x:row r="119" ht="50" customHeight="1">
      <x:c r="A119" s="29" t="str">
        <x:v>S</x:v>
      </x:c>
      <x:c r="B119" s="29" t="n">
        <x:v>93</x:v>
      </x:c>
      <x:c r="C119" s="29" t="str">
        <x:v>AI、科技与工程</x:v>
      </x:c>
      <x:c r="D119" s="29" t="str">
        <x:v>Hugging Face Blog</x:v>
      </x:c>
      <x:c r="E119" s="29" t="str"/>
      <x:c r="F119" s="29" t="str">
        <x:v>证据源</x:v>
      </x:c>
      <x:c r="G119" s="29" t="str">
        <x:v>开源模型、数据集、训练、推理与教程</x:v>
      </x:c>
      <x:c r="H119" s="29" t="str">
        <x:v>https://huggingface.co/blog</x:v>
      </x:c>
      <x:c r="I119" s="29" t="str">
        <x:v>https://huggingface.co/blog/feed.xml</x:v>
      </x:c>
      <x:c r="J119" s="29" t="str">
        <x:v>新模型实测、开源工具清单、教程帖</x:v>
      </x:c>
      <x:c r="K119" s="29" t="str">
        <x:v>开源AI生态的一手技术、模型与工具源。</x:v>
      </x:c>
      <x:c r="L119" s="29" t="str">
        <x:v>有效</x:v>
      </x:c>
      <x:c r="M119" s="29" t="str">
        <x:v>官方Feed端点已核验。</x:v>
      </x:c>
    </x:row>
    <x:row r="120" ht="50" customHeight="1">
      <x:c r="A120" s="29" t="str">
        <x:v>S</x:v>
      </x:c>
      <x:c r="B120" s="29" t="n">
        <x:v>93</x:v>
      </x:c>
      <x:c r="C120" s="29" t="str">
        <x:v>AI、科技与工程</x:v>
      </x:c>
      <x:c r="D120" s="29" t="str">
        <x:v>Microsoft Research</x:v>
      </x:c>
      <x:c r="E120" s="29" t="str"/>
      <x:c r="F120" s="29" t="str">
        <x:v>证据源</x:v>
      </x:c>
      <x:c r="G120" s="29" t="str">
        <x:v>AI、系统、量子、HCI、科学博客与播客</x:v>
      </x:c>
      <x:c r="H120" s="29" t="str">
        <x:v>https://www.microsoft.com/en-us/research/blog/</x:v>
      </x:c>
      <x:c r="I120" s="29" t="str">
        <x:v>https://www.microsoft.com/en-us/research/feed/</x:v>
      </x:c>
      <x:c r="J120" s="29" t="str">
        <x:v>研究到产品、工程方法、学者观点</x:v>
      </x:c>
      <x:c r="K120" s="29" t="str">
        <x:v>学术与产业结合紧，适合研究到产品的工程视角。</x:v>
      </x:c>
      <x:c r="L120" s="29" t="str">
        <x:v>有效</x:v>
      </x:c>
      <x:c r="M120" s="29" t="str">
        <x:v>官方Feed端点已核验。</x:v>
      </x:c>
    </x:row>
    <x:row r="121" ht="50" customHeight="1">
      <x:c r="A121" s="29" t="str">
        <x:v>S</x:v>
      </x:c>
      <x:c r="B121" s="29" t="n">
        <x:v>93</x:v>
      </x:c>
      <x:c r="C121" s="29" t="str">
        <x:v>AI、科技与工程</x:v>
      </x:c>
      <x:c r="D121" s="29" t="str">
        <x:v>OpenAI News</x:v>
      </x:c>
      <x:c r="E121" s="29" t="str"/>
      <x:c r="F121" s="29" t="str">
        <x:v>证据源</x:v>
      </x:c>
      <x:c r="G121" s="29" t="str">
        <x:v>官方公告、研究解读、系统卡、工程文章</x:v>
      </x:c>
      <x:c r="H121" s="29" t="str">
        <x:v>https://openai.com/news/</x:v>
      </x:c>
      <x:c r="I121" s="29" t="str">
        <x:v>https://openai.com/news/rss.xml</x:v>
      </x:c>
      <x:c r="J121" s="29" t="str">
        <x:v>新模型速读、系统卡拆解、能力边界清单</x:v>
      </x:c>
      <x:c r="K121" s="29" t="str">
        <x:v>前沿模型、产品、安全与工程的一手发布源。</x:v>
      </x:c>
      <x:c r="L121" s="29" t="str">
        <x:v>有效</x:v>
      </x:c>
      <x:c r="M121" s="29" t="str">
        <x:v>Feed端点已核验为XML；重大主张仍应链接具体公告或系统卡。</x:v>
      </x:c>
    </x:row>
    <x:row r="122" ht="50" customHeight="1">
      <x:c r="A122" s="29" t="str">
        <x:v>A</x:v>
      </x:c>
      <x:c r="B122" s="29" t="n">
        <x:v>92</x:v>
      </x:c>
      <x:c r="C122" s="29" t="str">
        <x:v>健康与福祉</x:v>
      </x:c>
      <x:c r="D122" s="29" t="str">
        <x:v>Advances in Nutrition</x:v>
      </x:c>
      <x:c r="E122" s="29" t="str"/>
      <x:c r="F122" s="29" t="str">
        <x:v>证据源</x:v>
      </x:c>
      <x:c r="G122" s="29" t="str">
        <x:v>营养学综述、系统综述、方法与政策</x:v>
      </x:c>
      <x:c r="H122" s="29" t="str">
        <x:v>https://advances.nutrition.org/</x:v>
      </x:c>
      <x:c r="I122" s="29" t="str">
        <x:v>https://advances.nutrition.org/action/showFeed?jc=advnut&amp;type=etoc&amp;feed=rss</x:v>
      </x:c>
      <x:c r="J122" s="29" t="str">
        <x:v>营养证据综述、争议梳理、研究缺口</x:v>
      </x:c>
      <x:c r="K122" s="29" t="str">
        <x:v>以综述为主，有助于避免被单篇营养研究或营销性结论带偏。</x:v>
      </x:c>
      <x:c r="L122" s="29" t="str">
        <x:v>有效</x:v>
      </x:c>
      <x:c r="M122" s="29" t="str">
        <x:v>2026-08-17 官方 RSS 返回 XML；主页自动请求触发 403。检查综述类型、纳入研究质量和利益冲突；不替代个体营养建议。</x:v>
      </x:c>
    </x:row>
    <x:row r="123" ht="50" customHeight="1">
      <x:c r="A123" s="29" t="str">
        <x:v>A</x:v>
      </x:c>
      <x:c r="B123" s="29" t="n">
        <x:v>92</x:v>
      </x:c>
      <x:c r="C123" s="29" t="str">
        <x:v>健康与福祉</x:v>
      </x:c>
      <x:c r="D123" s="29" t="str">
        <x:v>American Journal of Public Health</x:v>
      </x:c>
      <x:c r="E123" s="29" t="str"/>
      <x:c r="F123" s="29" t="str">
        <x:v>证据源</x:v>
      </x:c>
      <x:c r="G123" s="29" t="str">
        <x:v>公共卫生研究、政策、健康公平与社区干预</x:v>
      </x:c>
      <x:c r="H123" s="29" t="str">
        <x:v>https://ajph.aphapublications.org/</x:v>
      </x:c>
      <x:c r="I123" s="29" t="str">
        <x:v>https://ajph.aphapublications.org/action/showFeed?jc=ajph&amp;type=etoc&amp;feed=rss</x:v>
      </x:c>
      <x:c r="J123" s="29" t="str">
        <x:v>健康公平、政策评估、社会决定因素</x:v>
      </x:c>
      <x:c r="K123" s="29" t="str">
        <x:v>适合追踪健康的社会决定因素、政策效果与人群干预。</x:v>
      </x:c>
      <x:c r="L123" s="29" t="str">
        <x:v>有效</x:v>
      </x:c>
      <x:c r="M123" s="29" t="str">
        <x:v>2026-08-17 官方 RSS 返回 XML；主页自动请求触发 403。观察性与政策研究需避免把相关性写成个体因果；不替代个体医疗建议。</x:v>
      </x:c>
    </x:row>
    <x:row r="124" ht="50" customHeight="1">
      <x:c r="A124" s="29" t="str">
        <x:v>A</x:v>
      </x:c>
      <x:c r="B124" s="29" t="n">
        <x:v>92</x:v>
      </x:c>
      <x:c r="C124" s="29" t="str">
        <x:v>健康与福祉</x:v>
      </x:c>
      <x:c r="D124" s="29" t="str">
        <x:v>Annals of Internal Medicine</x:v>
      </x:c>
      <x:c r="E124" s="29" t="str"/>
      <x:c r="F124" s="29" t="str">
        <x:v>证据源</x:v>
      </x:c>
      <x:c r="G124" s="29" t="str">
        <x:v>临床研究、系统综述、ACP 指南与医学实践</x:v>
      </x:c>
      <x:c r="H124" s="29" t="str">
        <x:v>https://www.acpjournals.org/journal/aim</x:v>
      </x:c>
      <x:c r="I124" s="29" t="str">
        <x:v>https://www.acpjournals.org/action/showFeed?jc=aim&amp;type=etoc&amp;feed=rss</x:v>
      </x:c>
      <x:c r="J124" s="29" t="str">
        <x:v>临床指南、诊疗证据、方法与实践差距</x:v>
      </x:c>
      <x:c r="K124" s="29" t="str">
        <x:v>内科临床决策和指南的重要来源，兼顾研究与实践。</x:v>
      </x:c>
      <x:c r="L124" s="29" t="str">
        <x:v>有效</x:v>
      </x:c>
      <x:c r="M124" s="29" t="str">
        <x:v>2026-08-17 官方 RSS 返回可解析 XML；主页自动请求触发 403。引用指南时核对发布日期和更新状态；不替代个体医疗建议。</x:v>
      </x:c>
    </x:row>
    <x:row r="125" ht="50" customHeight="1">
      <x:c r="A125" s="29" t="str">
        <x:v>A</x:v>
      </x:c>
      <x:c r="B125" s="29" t="n">
        <x:v>92</x:v>
      </x:c>
      <x:c r="C125" s="29" t="str">
        <x:v>健康与福祉</x:v>
      </x:c>
      <x:c r="D125" s="29" t="str">
        <x:v>British Journal of Sports Medicine</x:v>
      </x:c>
      <x:c r="E125" s="29" t="str"/>
      <x:c r="F125" s="29" t="str">
        <x:v>证据源</x:v>
      </x:c>
      <x:c r="G125" s="29" t="str">
        <x:v>运动医学、伤病预防、运动表现、系统综述与共识</x:v>
      </x:c>
      <x:c r="H125" s="29" t="str">
        <x:v>https://bjsm.bmj.com/</x:v>
      </x:c>
      <x:c r="I125" s="29" t="str">
        <x:v>https://bjsm.bmj.com/rss/recent.xml</x:v>
      </x:c>
      <x:c r="J125" s="29" t="str">
        <x:v>运动证据、伤病预防、共识声明、训练迷思</x:v>
      </x:c>
      <x:c r="K125" s="29" t="str">
        <x:v>运动健康、体力活动与伤病研究的高影响同行评审来源。</x:v>
      </x:c>
      <x:c r="L125" s="29" t="str">
        <x:v>超时/网络错误</x:v>
      </x:c>
      <x:c r="M125" s="29" t="str">
        <x:v>官方 RSS 路径已确认；2026-08-17 自动请求返回 429/403 反爬。发帖应区分精英运动员与一般人群，并避免把研究转成个体训练处方。；HTTP 429</x:v>
      </x:c>
    </x:row>
    <x:row r="126" ht="50" customHeight="1">
      <x:c r="A126" s="29" t="str">
        <x:v>A</x:v>
      </x:c>
      <x:c r="B126" s="29" t="n">
        <x:v>92</x:v>
      </x:c>
      <x:c r="C126" s="29" t="str">
        <x:v>健康与福祉</x:v>
      </x:c>
      <x:c r="D126" s="29" t="str">
        <x:v>Clinical Psychological Science</x:v>
      </x:c>
      <x:c r="E126" s="29" t="str"/>
      <x:c r="F126" s="29" t="str">
        <x:v>证据源</x:v>
      </x:c>
      <x:c r="G126" s="29" t="str">
        <x:v>临床心理、测量、风险、干预与可重复性研究</x:v>
      </x:c>
      <x:c r="H126" s="29" t="str">
        <x:v>https://journals.sagepub.com/home/cpx</x:v>
      </x:c>
      <x:c r="I126" s="29" t="str">
        <x:v>https://journals.sagepub.com/action/showFeed?jc=cpx&amp;type=etoc&amp;feed=rss</x:v>
      </x:c>
      <x:c r="J126" s="29" t="str">
        <x:v>心理测量、干预证据、方法与可重复性</x:v>
      </x:c>
      <x:c r="K126" s="29" t="str">
        <x:v>适合追踪心理健康领域的机制、测量和方法学更新。</x:v>
      </x:c>
      <x:c r="L126" s="29" t="str">
        <x:v>有效</x:v>
      </x:c>
      <x:c r="M126" s="29" t="str">
        <x:v>2026-08-17 官方 RSS 返回可解析 XML；主页自动请求触发 403。量表或研究结果不能直接用作个人诊断；不替代合格专业人士评估。</x:v>
      </x:c>
    </x:row>
    <x:row r="127" ht="50" customHeight="1">
      <x:c r="A127" s="29" t="str">
        <x:v>A</x:v>
      </x:c>
      <x:c r="B127" s="29" t="n">
        <x:v>92</x:v>
      </x:c>
      <x:c r="C127" s="29" t="str">
        <x:v>健康与福祉</x:v>
      </x:c>
      <x:c r="D127" s="29" t="str">
        <x:v>Cochrane Evidence</x:v>
      </x:c>
      <x:c r="E127" s="29" t="str"/>
      <x:c r="F127" s="29" t="str">
        <x:v>证据源</x:v>
      </x:c>
      <x:c r="G127" s="29" t="str">
        <x:v>系统综述、Plain Language Summary、证据不确定性</x:v>
      </x:c>
      <x:c r="H127" s="29" t="str">
        <x:v>https://www.cochrane.org/evidence</x:v>
      </x:c>
      <x:c r="I127" s="29" t="str"/>
      <x:c r="J127" s="29" t="str">
        <x:v>疗效证据、利弊权衡、证据是否确定</x:v>
      </x:c>
      <x:c r="K127" s="29" t="str">
        <x:v>治疗、预防和护理问题的高等级证据入口，强调系统检索与综合。</x:v>
      </x:c>
      <x:c r="L127" s="29" t="str">
        <x:v>无RSS/API入口</x:v>
      </x:c>
      <x:c r="M127" s="29" t="str">
        <x:v>2026-08-17 实测主页 200；未收录统一证据 RSS，建议网页检索并引用具体综述和最新版本。系统综述也需检查日期、人群与异质性；不替代个体医疗建议。</x:v>
      </x:c>
    </x:row>
    <x:row r="128" ht="50" customHeight="1">
      <x:c r="A128" s="29" t="str">
        <x:v>A</x:v>
      </x:c>
      <x:c r="B128" s="29" t="n">
        <x:v>92</x:v>
      </x:c>
      <x:c r="C128" s="29" t="str">
        <x:v>健康与福祉</x:v>
      </x:c>
      <x:c r="D128" s="29" t="str">
        <x:v>European Journal of Public Health</x:v>
      </x:c>
      <x:c r="E128" s="29" t="str"/>
      <x:c r="F128" s="29" t="str">
        <x:v>证据源</x:v>
      </x:c>
      <x:c r="G128" s="29" t="str">
        <x:v>欧洲公共卫生、政策、流行病学与健康公平研究</x:v>
      </x:c>
      <x:c r="H128" s="29" t="str">
        <x:v>https://academic.oup.com/eurpub</x:v>
      </x:c>
      <x:c r="I128" s="29" t="str">
        <x:v>https://academic.oup.com/rss/site_5381/advanceAccess_3242.xml</x:v>
      </x:c>
      <x:c r="J128" s="29" t="str">
        <x:v>跨国比较、政策效果、健康不平等</x:v>
      </x:c>
      <x:c r="K128" s="29" t="str">
        <x:v>提供欧洲多国比较和公共卫生政策实施的同行评审证据。</x:v>
      </x:c>
      <x:c r="L128" s="29" t="str">
        <x:v>有效</x:v>
      </x:c>
      <x:c r="M128" s="29" t="str">
        <x:v>2026-08-17 官方 Advance Articles RSS 返回可解析 XML；主页自动请求触发 403。留意研究地区与制度背景；不替代个体医疗建议。</x:v>
      </x:c>
    </x:row>
    <x:row r="129" ht="50" customHeight="1">
      <x:c r="A129" s="29" t="str">
        <x:v>A</x:v>
      </x:c>
      <x:c r="B129" s="29" t="n">
        <x:v>92</x:v>
      </x:c>
      <x:c r="C129" s="29" t="str">
        <x:v>健康与福祉</x:v>
      </x:c>
      <x:c r="D129" s="29" t="str">
        <x:v>IHME Global Burden of Disease</x:v>
      </x:c>
      <x:c r="E129" s="29" t="str"/>
      <x:c r="F129" s="29" t="str">
        <x:v>证据源</x:v>
      </x:c>
      <x:c r="G129" s="29" t="str">
        <x:v>死亡、伤残、风险因素、DALY 与健康预测数据工具</x:v>
      </x:c>
      <x:c r="H129" s="29" t="str">
        <x:v>https://www.healthdata.org/research-analysis/gbd</x:v>
      </x:c>
      <x:c r="I129" s="29" t="str"/>
      <x:c r="J129" s="29" t="str">
        <x:v>疾病负担排行、风险因素、地图与长期趋势</x:v>
      </x:c>
      <x:c r="K129" s="29" t="str">
        <x:v>全球疾病负担的综合估计和可视化平台，适合跨疾病、跨地区比较。</x:v>
      </x:c>
      <x:c r="L129" s="29" t="str">
        <x:v>无RSS/API入口</x:v>
      </x:c>
      <x:c r="M129" s="29" t="str">
        <x:v>2026-08-17 实测主页 200；未收录稳定 RSS，作为网页与数据工具源。GBD 含模型估计，应说明年份、区间和不确定性；群体估计不替代个体医疗建议。</x:v>
      </x:c>
    </x:row>
    <x:row r="130" ht="50" customHeight="1">
      <x:c r="A130" s="29" t="str">
        <x:v>A</x:v>
      </x:c>
      <x:c r="B130" s="29" t="n">
        <x:v>92</x:v>
      </x:c>
      <x:c r="C130" s="29" t="str">
        <x:v>健康与福祉</x:v>
      </x:c>
      <x:c r="D130" s="29" t="str">
        <x:v>JAMA</x:v>
      </x:c>
      <x:c r="E130" s="29" t="str"/>
      <x:c r="F130" s="29" t="str">
        <x:v>证据源</x:v>
      </x:c>
      <x:c r="G130" s="29" t="str">
        <x:v>临床研究、系统综述、指南、观点与医学新闻</x:v>
      </x:c>
      <x:c r="H130" s="29" t="str">
        <x:v>https://jamanetwork.com/journals/jama</x:v>
      </x:c>
      <x:c r="I130" s="29" t="str">
        <x:v>https://jamanetwork.com/rss/site_3/67.xml</x:v>
      </x:c>
      <x:c r="J130" s="29" t="str">
        <x:v>研究速读、方法拆解、指南与政策</x:v>
      </x:c>
      <x:c r="K130" s="29" t="str">
        <x:v>兼具临床证据、方法讨论和公共卫生政策，适合追踪高影响研究。</x:v>
      </x:c>
      <x:c r="L130" s="29" t="str">
        <x:v>有效</x:v>
      </x:c>
      <x:c r="M130" s="29" t="str">
        <x:v>2026-08-17 官方 RSS 返回可解析 XML；主页自动请求触发 403 反爬。发帖应区分研究、观点和新闻栏目；不替代个体医疗建议。</x:v>
      </x:c>
    </x:row>
    <x:row r="131" ht="50" customHeight="1">
      <x:c r="A131" s="29" t="str">
        <x:v>A</x:v>
      </x:c>
      <x:c r="B131" s="29" t="n">
        <x:v>92</x:v>
      </x:c>
      <x:c r="C131" s="29" t="str">
        <x:v>健康与福祉</x:v>
      </x:c>
      <x:c r="D131" s="29" t="str">
        <x:v>Journal of Clinical Sleep Medicine</x:v>
      </x:c>
      <x:c r="E131" s="29" t="str"/>
      <x:c r="F131" s="29" t="str">
        <x:v>证据源</x:v>
      </x:c>
      <x:c r="G131" s="29" t="str">
        <x:v>睡眠障碍诊断、治疗、临床试验与实践指南</x:v>
      </x:c>
      <x:c r="H131" s="29" t="str">
        <x:v>https://jcsm.aasm.org/</x:v>
      </x:c>
      <x:c r="I131" s="29" t="str">
        <x:v>https://jcsm.aasm.org/action/showFeed?jc=jcsm&amp;type=etoc&amp;feed=rss</x:v>
      </x:c>
      <x:c r="J131" s="29" t="str">
        <x:v>失眠、睡眠呼吸障碍、临床管理与指南</x:v>
      </x:c>
      <x:c r="K131" s="29" t="str">
        <x:v>AASM 官方临床期刊，适合从学会解释追到临床研究与指南原文。</x:v>
      </x:c>
      <x:c r="L131" s="29" t="str">
        <x:v>超时/网络错误</x:v>
      </x:c>
      <x:c r="M131" s="29" t="str">
        <x:v>官方期刊与 Feed 结构已确认；2026-08-17 本环境主页和 Feed 均出现连接错误，导入后请重试。临床内容不替代睡眠专科评估。；fetch failed</x:v>
      </x:c>
    </x:row>
    <x:row r="132" ht="50" customHeight="1">
      <x:c r="A132" s="29" t="str">
        <x:v>A</x:v>
      </x:c>
      <x:c r="B132" s="29" t="n">
        <x:v>92</x:v>
      </x:c>
      <x:c r="C132" s="29" t="str">
        <x:v>健康与福祉</x:v>
      </x:c>
      <x:c r="D132" s="29" t="str">
        <x:v>Nature Medicine</x:v>
      </x:c>
      <x:c r="E132" s="29" t="str"/>
      <x:c r="F132" s="29" t="str">
        <x:v>证据源</x:v>
      </x:c>
      <x:c r="G132" s="29" t="str">
        <x:v>生物医学机制、转化研究、临床研究与方法</x:v>
      </x:c>
      <x:c r="H132" s="29" t="str">
        <x:v>https://www.nature.com/nm/</x:v>
      </x:c>
      <x:c r="I132" s="29" t="str">
        <x:v>https://www.nature.com/nm.rss</x:v>
      </x:c>
      <x:c r="J132" s="29" t="str">
        <x:v>前沿机制、诊断技术、转化研究、研究趋势</x:v>
      </x:c>
      <x:c r="K132" s="29" t="str">
        <x:v>适合追踪从机制到临床应用的前沿医学研究。</x:v>
      </x:c>
      <x:c r="L132" s="29" t="str">
        <x:v>有效</x:v>
      </x:c>
      <x:c r="M132" s="29" t="str">
        <x:v>2026-08-17 实测主页 200，官方 RSS 返回 XML。早期或小样本转化结果不等于临床可用；不替代个体医疗建议。</x:v>
      </x:c>
    </x:row>
    <x:row r="133" ht="50" customHeight="1">
      <x:c r="A133" s="29" t="str">
        <x:v>A</x:v>
      </x:c>
      <x:c r="B133" s="29" t="n">
        <x:v>92</x:v>
      </x:c>
      <x:c r="C133" s="29" t="str">
        <x:v>健康与福祉</x:v>
      </x:c>
      <x:c r="D133" s="29" t="str">
        <x:v>Psychological Medicine</x:v>
      </x:c>
      <x:c r="E133" s="29" t="str"/>
      <x:c r="F133" s="29" t="str">
        <x:v>证据源</x:v>
      </x:c>
      <x:c r="G133" s="29" t="str">
        <x:v>精神医学、临床心理、流行病学与神经行为研究</x:v>
      </x:c>
      <x:c r="H133" s="29" t="str">
        <x:v>https://www.cambridge.org/core/journals/psychological-medicine</x:v>
      </x:c>
      <x:c r="I133" s="29" t="str">
        <x:v>https://www.cambridge.org/core/rss/product/id/S0033291719001902/type/journal</x:v>
      </x:c>
      <x:c r="J133" s="29" t="str">
        <x:v>心理健康研究、风险因素、干预与纵向证据</x:v>
      </x:c>
      <x:c r="K133" s="29" t="str">
        <x:v>连接心理、精神医学与人群健康，适合跨学科追踪风险因素和干预。</x:v>
      </x:c>
      <x:c r="L133" s="29" t="str">
        <x:v>受限/反爬</x:v>
      </x:c>
      <x:c r="M133" s="29" t="str">
        <x:v>2026-08-17 实测主页 200；官方 RSS 自动请求返回 403 反爬。避免把群体相关性简化成个人因果或标签；不替代个体心理或医疗服务。；端点未返回可识别的 RSS/Atom XML；可能是反爬、登录页或旧地址。</x:v>
      </x:c>
    </x:row>
    <x:row r="134" ht="50" customHeight="1">
      <x:c r="A134" s="29" t="str">
        <x:v>A</x:v>
      </x:c>
      <x:c r="B134" s="29" t="n">
        <x:v>92</x:v>
      </x:c>
      <x:c r="C134" s="29" t="str">
        <x:v>健康与福祉</x:v>
      </x:c>
      <x:c r="D134" s="29" t="str">
        <x:v>SLEEP</x:v>
      </x:c>
      <x:c r="E134" s="29" t="str"/>
      <x:c r="F134" s="29" t="str">
        <x:v>证据源</x:v>
      </x:c>
      <x:c r="G134" s="29" t="str">
        <x:v>睡眠、昼夜节律、神经与临床睡眠研究</x:v>
      </x:c>
      <x:c r="H134" s="29" t="str">
        <x:v>https://academic.oup.com/sleep</x:v>
      </x:c>
      <x:c r="I134" s="29" t="str">
        <x:v>https://academic.oup.com/rss/site_5573/advanceAccess_3429.xml</x:v>
      </x:c>
      <x:c r="J134" s="29" t="str">
        <x:v>睡眠机制、昼夜节律、睡眠与健康结局</x:v>
      </x:c>
      <x:c r="K134" s="29" t="str">
        <x:v>Sleep Research Society 官方期刊，覆盖基础、转化与临床睡眠科学。</x:v>
      </x:c>
      <x:c r="L134" s="29" t="str">
        <x:v>有效</x:v>
      </x:c>
      <x:c r="M134" s="29" t="str">
        <x:v>2026-08-17 官方 Advance Articles RSS 返回可解析 XML；主页自动请求触发 403。相关性研究不能证明睡眠变量导致结局；不替代个体诊疗。</x:v>
      </x:c>
    </x:row>
    <x:row r="135" ht="50" customHeight="1">
      <x:c r="A135" s="29" t="str">
        <x:v>A</x:v>
      </x:c>
      <x:c r="B135" s="29" t="n">
        <x:v>92</x:v>
      </x:c>
      <x:c r="C135" s="29" t="str">
        <x:v>健康与福祉</x:v>
      </x:c>
      <x:c r="D135" s="29" t="str">
        <x:v>The American Journal of Clinical Nutrition</x:v>
      </x:c>
      <x:c r="E135" s="29" t="str"/>
      <x:c r="F135" s="29" t="str">
        <x:v>证据源</x:v>
      </x:c>
      <x:c r="G135" s="29" t="str">
        <x:v>营养临床试验、队列研究、代谢与膳食模式</x:v>
      </x:c>
      <x:c r="H135" s="29" t="str">
        <x:v>https://ajcn.nutrition.org/</x:v>
      </x:c>
      <x:c r="I135" s="29" t="str"/>
      <x:c r="J135" s="29" t="str">
        <x:v>饮食模式、营养试验、代谢健康</x:v>
      </x:c>
      <x:c r="K135" s="29" t="str">
        <x:v>临床营养的重要同行评审期刊，适合追踪饮食与健康结局的原始研究。</x:v>
      </x:c>
      <x:c r="L135" s="29" t="str">
        <x:v>无RSS/API入口</x:v>
      </x:c>
      <x:c r="M135" s="29" t="str">
        <x:v>2026-08-17 主页自动请求触发 403；旧 Feed URL 返回 404，因此本库按网页平台收录。营养观察性结果不应直接写成因果或个体处方。</x:v>
      </x:c>
    </x:row>
    <x:row r="136" ht="50" customHeight="1">
      <x:c r="A136" s="29" t="str">
        <x:v>A</x:v>
      </x:c>
      <x:c r="B136" s="29" t="n">
        <x:v>92</x:v>
      </x:c>
      <x:c r="C136" s="29" t="str">
        <x:v>健康与福祉</x:v>
      </x:c>
      <x:c r="D136" s="29" t="str">
        <x:v>The BMJ</x:v>
      </x:c>
      <x:c r="E136" s="29" t="str"/>
      <x:c r="F136" s="29" t="str">
        <x:v>证据源</x:v>
      </x:c>
      <x:c r="G136" s="29" t="str">
        <x:v>临床研究、教育、调查报道、方法与政策评论</x:v>
      </x:c>
      <x:c r="H136" s="29" t="str">
        <x:v>https://www.bmj.com/</x:v>
      </x:c>
      <x:c r="I136" s="29" t="str">
        <x:v>http://feeds.bmj.com/bmj/recent</x:v>
      </x:c>
      <x:c r="J136" s="29" t="str">
        <x:v>研究方法、医疗政策、循证争议、开放科学</x:v>
      </x:c>
      <x:c r="K136" s="29" t="str">
        <x:v>重视开放科学、研究方法和医疗政策，适合做证据质量与利益冲突分析。</x:v>
      </x:c>
      <x:c r="L136" s="29" t="str">
        <x:v>重定向后有效</x:v>
      </x:c>
      <x:c r="M136" s="29" t="str">
        <x:v>2026-08-17 RSS 可访问并重定向至 feeds.bmj.com；主页自动请求触发 403。区分同行评审研究、新闻与观点；不替代个体医疗建议。</x:v>
      </x:c>
    </x:row>
    <x:row r="137" ht="50" customHeight="1">
      <x:c r="A137" s="29" t="str">
        <x:v>A</x:v>
      </x:c>
      <x:c r="B137" s="29" t="n">
        <x:v>92</x:v>
      </x:c>
      <x:c r="C137" s="29" t="str">
        <x:v>健康与福祉</x:v>
      </x:c>
      <x:c r="D137" s="29" t="str">
        <x:v>The Lancet</x:v>
      </x:c>
      <x:c r="E137" s="29" t="str"/>
      <x:c r="F137" s="29" t="str">
        <x:v>证据源</x:v>
      </x:c>
      <x:c r="G137" s="29" t="str">
        <x:v>临床研究、全球健康、委员会报告、社论与评论</x:v>
      </x:c>
      <x:c r="H137" s="29" t="str">
        <x:v>https://www.thelancet.com/journals/lancet/home</x:v>
      </x:c>
      <x:c r="I137" s="29" t="str">
        <x:v>https://www.thelancet.com/rssfeed/lancet_current.xml</x:v>
      </x:c>
      <x:c r="J137" s="29" t="str">
        <x:v>全球健康议题、大型研究、委员会结论</x:v>
      </x:c>
      <x:c r="K137" s="29" t="str">
        <x:v>覆盖临床、公共卫生和全球健康，常提供大型合作研究与专题委员会报告。</x:v>
      </x:c>
      <x:c r="L137" s="29" t="str">
        <x:v>有效</x:v>
      </x:c>
      <x:c r="M137" s="29" t="str">
        <x:v>2026-08-17 官方 RSS 返回 XML；主页自动请求触发 403 反爬。关注更正、撤稿及评论与原始研究的区别；不替代个体医疗建议。</x:v>
      </x:c>
    </x:row>
    <x:row r="138" ht="50" customHeight="1">
      <x:c r="A138" s="29" t="str">
        <x:v>A</x:v>
      </x:c>
      <x:c r="B138" s="29" t="n">
        <x:v>92</x:v>
      </x:c>
      <x:c r="C138" s="29" t="str">
        <x:v>健康与福祉</x:v>
      </x:c>
      <x:c r="D138" s="29" t="str">
        <x:v>The Lancet Psychiatry</x:v>
      </x:c>
      <x:c r="E138" s="29" t="str"/>
      <x:c r="F138" s="29" t="str">
        <x:v>证据源</x:v>
      </x:c>
      <x:c r="G138" s="29" t="str">
        <x:v>精神医学临床研究、流行病学、政策与全球精神健康</x:v>
      </x:c>
      <x:c r="H138" s="29" t="str">
        <x:v>https://www.thelancet.com/journals/lanpsy/home</x:v>
      </x:c>
      <x:c r="I138" s="29" t="str">
        <x:v>https://www.thelancet.com/rssfeed/lanpsy_current.xml</x:v>
      </x:c>
      <x:c r="J138" s="29" t="str">
        <x:v>精神健康趋势、治疗研究、政策与健康公平</x:v>
      </x:c>
      <x:c r="K138" s="29" t="str">
        <x:v>精神健康领域高影响期刊，覆盖治疗证据、人群研究与政策。</x:v>
      </x:c>
      <x:c r="L138" s="29" t="str">
        <x:v>有效</x:v>
      </x:c>
      <x:c r="M138" s="29" t="str">
        <x:v>2026-08-17 官方 RSS 返回 XML；主页自动请求触发 403。使用敏感结局时应说明研究设计、基线风险和不确定性；不用于自我诊断或替代个体治疗。</x:v>
      </x:c>
    </x:row>
    <x:row r="139" ht="50" customHeight="1">
      <x:c r="A139" s="29" t="str">
        <x:v>A</x:v>
      </x:c>
      <x:c r="B139" s="29" t="n">
        <x:v>92</x:v>
      </x:c>
      <x:c r="C139" s="29" t="str">
        <x:v>健康与福祉</x:v>
      </x:c>
      <x:c r="D139" s="29" t="str">
        <x:v>The New England Journal of Medicine</x:v>
      </x:c>
      <x:c r="E139" s="29" t="str"/>
      <x:c r="F139" s="29" t="str">
        <x:v>证据源</x:v>
      </x:c>
      <x:c r="G139" s="29" t="str">
        <x:v>临床试验、综述、病例、指南评论与医学政策</x:v>
      </x:c>
      <x:c r="H139" s="29" t="str">
        <x:v>https://www.nejm.org/</x:v>
      </x:c>
      <x:c r="I139" s="29" t="str">
        <x:v>https://www.nejm.org/action/showFeed?jc=nejm&amp;type=etoc&amp;feed=rss</x:v>
      </x:c>
      <x:c r="J139" s="29" t="str">
        <x:v>重要试验、疗效与风险、临床实践变化</x:v>
      </x:c>
      <x:c r="K139" s="29" t="str">
        <x:v>高影响力临床医学期刊，适合追踪重要试验和实践改变。</x:v>
      </x:c>
      <x:c r="L139" s="29" t="str">
        <x:v>有效</x:v>
      </x:c>
      <x:c r="M139" s="29" t="str">
        <x:v>2026-08-17 官方 RSS 返回可解析 XML；主页自动请求触发 403 反爬。单篇研究不能自动转化为个人建议，应核对方案、绝对风险与外部验证。</x:v>
      </x:c>
    </x:row>
    <x:row r="140" ht="50" customHeight="1">
      <x:c r="A140" s="29" t="str">
        <x:v>A</x:v>
      </x:c>
      <x:c r="B140" s="29" t="n">
        <x:v>92</x:v>
      </x:c>
      <x:c r="C140" s="29" t="str">
        <x:v>心理、认知与情商</x:v>
      </x:c>
      <x:c r="D140" s="29" t="str">
        <x:v>Affective Science</x:v>
      </x:c>
      <x:c r="E140" s="29" t="str"/>
      <x:c r="F140" s="29" t="str">
        <x:v>证据源</x:v>
      </x:c>
      <x:c r="G140" s="29" t="str">
        <x:v>同行评审期刊</x:v>
      </x:c>
      <x:c r="H140" s="29" t="str">
        <x:v>https://link.springer.com/journal/42761</x:v>
      </x:c>
      <x:c r="I140" s="29" t="str">
        <x:v>https://api.crossref.org/journals/2662-205X/works?sort=published&amp;order=desc&amp;rows=20</x:v>
      </x:c>
      <x:c r="J140" s="29" t="str">
        <x:v>用于纠正“情绪只有几种”“情绪能被简单读懂”等过度简化论断。</x:v>
      </x:c>
      <x:c r="K140" s="29" t="str">
        <x:v>Society for Affective Science 官方期刊，覆盖情绪、压力、动机及其健康和社会影响。</x:v>
      </x:c>
      <x:c r="L140" s="29" t="str">
        <x:v>API入口</x:v>
      </x:c>
      <x:c r="M140" s="29" t="str">
        <x:v>2026-08-17：Springer 主页 200；Crossref ISSN API 200，JSON 已确认。；未按 RSS/Atom 校验。</x:v>
      </x:c>
    </x:row>
    <x:row r="141" ht="50" customHeight="1">
      <x:c r="A141" s="29" t="str">
        <x:v>A</x:v>
      </x:c>
      <x:c r="B141" s="29" t="n">
        <x:v>92</x:v>
      </x:c>
      <x:c r="C141" s="29" t="str">
        <x:v>心理、认知与情商</x:v>
      </x:c>
      <x:c r="D141" s="29" t="str">
        <x:v>Annual Review of Psychology</x:v>
      </x:c>
      <x:c r="E141" s="29" t="str"/>
      <x:c r="F141" s="29" t="str">
        <x:v>证据源</x:v>
      </x:c>
      <x:c r="G141" s="29" t="str">
        <x:v>权威综述期刊</x:v>
      </x:c>
      <x:c r="H141" s="29" t="str">
        <x:v>https://www.annualreviews.org/content/journals/psych</x:v>
      </x:c>
      <x:c r="I141" s="29" t="str">
        <x:v>https://api.crossref.org/journals/1545-2085/works?sort=published&amp;order=desc&amp;rows=20</x:v>
      </x:c>
      <x:c r="J141" s="29" t="str">
        <x:v>先用综述建立领域共识，再从参考文献挑关键原始研究；适合长帖和知识地图。</x:v>
      </x:c>
      <x:c r="K141" s="29" t="str">
        <x:v>以领域级综述梳理理论、证据和争议，是做深度背景和避免单篇研究偏差的核心来源。</x:v>
      </x:c>
      <x:c r="L141" s="29" t="str">
        <x:v>API入口</x:v>
      </x:c>
      <x:c r="M141" s="29" t="str">
        <x:v>2026-08-17：出版商页面受 CDN 403；Crossref ISSN API 200，已确认 JSON，可稳定追踪最新条目。；未按 RSS/Atom 校验。</x:v>
      </x:c>
    </x:row>
    <x:row r="142" ht="50" customHeight="1">
      <x:c r="A142" s="29" t="str">
        <x:v>A</x:v>
      </x:c>
      <x:c r="B142" s="29" t="n">
        <x:v>92</x:v>
      </x:c>
      <x:c r="C142" s="29" t="str">
        <x:v>心理、认知与情商</x:v>
      </x:c>
      <x:c r="D142" s="29" t="str">
        <x:v>BMC Psychology</x:v>
      </x:c>
      <x:c r="E142" s="29" t="str"/>
      <x:c r="F142" s="29" t="str">
        <x:v>证据源</x:v>
      </x:c>
      <x:c r="G142" s="29" t="str">
        <x:v>同行评审开放期刊</x:v>
      </x:c>
      <x:c r="H142" s="29" t="str">
        <x:v>https://link.springer.com/journal/40359</x:v>
      </x:c>
      <x:c r="I142" s="29" t="str">
        <x:v>https://api.crossref.org/journals/2050-7283/works?sort=published&amp;order=desc&amp;rows=20</x:v>
      </x:c>
      <x:c r="J142" s="29" t="str">
        <x:v>适合寻找可完整阅读的新研究；发布前检查设计质量，不以期刊名替代研究评估。</x:v>
      </x:c>
      <x:c r="K142" s="29" t="str">
        <x:v>覆盖临床、健康、社会、发展和组织心理学，全文开放，便于核验研究方法与限制。</x:v>
      </x:c>
      <x:c r="L142" s="29" t="str">
        <x:v>API入口</x:v>
      </x:c>
      <x:c r="M142" s="29" t="str">
        <x:v>2026-08-17：Springer 主页 200；原站 RSS 已迁移为 HTML，改用 Crossref ISSN API，返回 200 JSON。；未按 RSS/Atom 校验。</x:v>
      </x:c>
    </x:row>
    <x:row r="143" ht="50" customHeight="1">
      <x:c r="A143" s="29" t="str">
        <x:v>A</x:v>
      </x:c>
      <x:c r="B143" s="29" t="n">
        <x:v>92</x:v>
      </x:c>
      <x:c r="C143" s="29" t="str">
        <x:v>心理、认知与情商</x:v>
      </x:c>
      <x:c r="D143" s="29" t="str">
        <x:v>BMJ Mental Health</x:v>
      </x:c>
      <x:c r="E143" s="29" t="str"/>
      <x:c r="F143" s="29" t="str">
        <x:v>证据源</x:v>
      </x:c>
      <x:c r="G143" s="29" t="str">
        <x:v>同行评审期刊</x:v>
      </x:c>
      <x:c r="H143" s="29" t="str">
        <x:v>https://mentalhealth.bmj.com/</x:v>
      </x:c>
      <x:c r="I143" s="29" t="str">
        <x:v>https://mentalhealth.bmj.com/rss/current.xml</x:v>
      </x:c>
      <x:c r="J143" s="29" t="str">
        <x:v>用于心理健康干预、诊断与服务体系话题；区分观察研究、试验和系统综述。</x:v>
      </x:c>
      <x:c r="K143" s="29" t="str">
        <x:v>覆盖临床心理、精神卫生、实施研究与证据综合，重视可转化的临床价值。</x:v>
      </x:c>
      <x:c r="L143" s="29" t="str">
        <x:v>超时/网络错误</x:v>
      </x:c>
      <x:c r="M143" s="29" t="str">
        <x:v>2026-08-17：官方 RSS 页面可被搜索索引；自动检查主页为 403、Feed 为 429，属 CDN/限流，建议在阅读器内实测。；HTTP 429</x:v>
      </x:c>
    </x:row>
    <x:row r="144" ht="50" customHeight="1">
      <x:c r="A144" s="29" t="str">
        <x:v>A</x:v>
      </x:c>
      <x:c r="B144" s="29" t="n">
        <x:v>92</x:v>
      </x:c>
      <x:c r="C144" s="29" t="str">
        <x:v>心理、认知与情商</x:v>
      </x:c>
      <x:c r="D144" s="29" t="str">
        <x:v>Campbell Collaboration</x:v>
      </x:c>
      <x:c r="E144" s="29" t="str"/>
      <x:c r="F144" s="29" t="str">
        <x:v>证据源</x:v>
      </x:c>
      <x:c r="G144" s="29" t="str">
        <x:v>系统综述组织</x:v>
      </x:c>
      <x:c r="H144" s="29" t="str">
        <x:v>https://www.campbellcollaboration.org/</x:v>
      </x:c>
      <x:c r="I144" s="29" t="str">
        <x:v>https://www.campbellcollaboration.org/feed/</x:v>
      </x:c>
      <x:c r="J144" s="29" t="str">
        <x:v>把行为改变、教育和社会干预写成“证据支持/证据不足/边界条件”型高价值帖。</x:v>
      </x:c>
      <x:c r="K144" s="29" t="str">
        <x:v>聚合教育、社会福利、行为与公共政策干预的系统综述，适合回答“什么方法真正有效”。</x:v>
      </x:c>
      <x:c r="L144" s="29" t="str">
        <x:v>受限/反爬</x:v>
      </x:c>
      <x:c r="M144" s="29" t="str">
        <x:v>2026-08-17：主页 200；RSS 200，XML 已确认。；端点未返回可识别的 RSS/Atom XML；可能是反爬、登录页或旧地址。</x:v>
      </x:c>
    </x:row>
    <x:row r="145" ht="50" customHeight="1">
      <x:c r="A145" s="29" t="str">
        <x:v>A</x:v>
      </x:c>
      <x:c r="B145" s="29" t="n">
        <x:v>92</x:v>
      </x:c>
      <x:c r="C145" s="29" t="str">
        <x:v>心理、认知与情商</x:v>
      </x:c>
      <x:c r="D145" s="29" t="str">
        <x:v>Center for Healthy Minds</x:v>
      </x:c>
      <x:c r="E145" s="29" t="str"/>
      <x:c r="F145" s="29" t="str">
        <x:v>证据源</x:v>
      </x:c>
      <x:c r="G145" s="29" t="str">
        <x:v>大学跨学科研究中心</x:v>
      </x:c>
      <x:c r="H145" s="29" t="str">
        <x:v>https://centerhealthyminds.org/</x:v>
      </x:c>
      <x:c r="I145" s="29" t="str"/>
      <x:c r="J145" s="29" t="str">
        <x:v>用于冥想、注意、韧性与幸福感话题；区分机制证据、干预效果和产品宣传。</x:v>
      </x:c>
      <x:c r="K145" s="29" t="str">
        <x:v>UW–Madison 研究中心，连接心理学、神经科学、教育与幸福感干预，并强调研究严谨性。</x:v>
      </x:c>
      <x:c r="L145" s="29" t="str">
        <x:v>无RSS/API入口</x:v>
      </x:c>
      <x:c r="M145" s="29" t="str">
        <x:v>2026-08-17：官方主页 200；未发现固定 RSS。</x:v>
      </x:c>
    </x:row>
    <x:row r="146" ht="50" customHeight="1">
      <x:c r="A146" s="29" t="str">
        <x:v>A</x:v>
      </x:c>
      <x:c r="B146" s="29" t="n">
        <x:v>92</x:v>
      </x:c>
      <x:c r="C146" s="29" t="str">
        <x:v>心理、认知与情商</x:v>
      </x:c>
      <x:c r="D146" s="29" t="str">
        <x:v>Cochrane Global Mental Health</x:v>
      </x:c>
      <x:c r="E146" s="29" t="str"/>
      <x:c r="F146" s="29" t="str">
        <x:v>证据源</x:v>
      </x:c>
      <x:c r="G146" s="29" t="str">
        <x:v>系统综述 / 证据综合</x:v>
      </x:c>
      <x:c r="H146" s="29" t="str">
        <x:v>https://globalmentalhealth.cochrane.org/evidence</x:v>
      </x:c>
      <x:c r="I146" s="29" t="str">
        <x:v>https://www.cochrane.org/about-us/news/all/rss</x:v>
      </x:c>
      <x:c r="J146" s="29" t="str">
        <x:v>讨论某种心理干预是否有效时优先检索；用效应、证据确定性与适用人群组织帖文。</x:v>
      </x:c>
      <x:c r="K146" s="29" t="str">
        <x:v>Cochrane 方法体系下的心理健康干预、促进和预防证据，适合校准疗效类主张。</x:v>
      </x:c>
      <x:c r="L146" s="29" t="str">
        <x:v>有效</x:v>
      </x:c>
      <x:c r="M146" s="29" t="str">
        <x:v>2026-08-17：Global Mental Health 证据页 200；Cochrane 全站新闻 RSS 200，需按 mental health 关键词过滤，专题页无独立 Feed。</x:v>
      </x:c>
    </x:row>
    <x:row r="147" ht="50" customHeight="1">
      <x:c r="A147" s="29" t="str">
        <x:v>A</x:v>
      </x:c>
      <x:c r="B147" s="29" t="n">
        <x:v>92</x:v>
      </x:c>
      <x:c r="C147" s="29" t="str">
        <x:v>心理、认知与情商</x:v>
      </x:c>
      <x:c r="D147" s="29" t="str">
        <x:v>Cognitive Research: Principles and Implications</x:v>
      </x:c>
      <x:c r="E147" s="29" t="str"/>
      <x:c r="F147" s="29" t="str">
        <x:v>证据源</x:v>
      </x:c>
      <x:c r="G147" s="29" t="str">
        <x:v>同行评审开放期刊</x:v>
      </x:c>
      <x:c r="H147" s="29" t="str">
        <x:v>https://link.springer.com/journal/41235</x:v>
      </x:c>
      <x:c r="I147" s="29" t="str">
        <x:v>https://api.crossref.org/journals/2365-7464/works?sort=published&amp;order=desc&amp;rows=20</x:v>
      </x:c>
      <x:c r="J147" s="29" t="str">
        <x:v>把实验室机制转译为学习与工作建议，同时写清效应边界和生态效度。</x:v>
      </x:c>
      <x:c r="K147" s="29" t="str">
        <x:v>强调认知研究对学习、决策和现实任务的意义，全文开放且实践关联强。</x:v>
      </x:c>
      <x:c r="L147" s="29" t="str">
        <x:v>API入口</x:v>
      </x:c>
      <x:c r="M147" s="29" t="str">
        <x:v>2026-08-17：Springer 主页 200；原站 RSS 已迁移为 HTML，改用 Crossref ISSN API，返回 200 JSON。；未按 RSS/Atom 校验。</x:v>
      </x:c>
    </x:row>
    <x:row r="148" ht="50" customHeight="1">
      <x:c r="A148" s="29" t="str">
        <x:v>A</x:v>
      </x:c>
      <x:c r="B148" s="29" t="n">
        <x:v>92</x:v>
      </x:c>
      <x:c r="C148" s="29" t="str">
        <x:v>心理、认知与情商</x:v>
      </x:c>
      <x:c r="D148" s="29" t="str">
        <x:v>Emotion Review</x:v>
      </x:c>
      <x:c r="E148" s="29" t="str"/>
      <x:c r="F148" s="29" t="str">
        <x:v>证据源</x:v>
      </x:c>
      <x:c r="G148" s="29" t="str">
        <x:v>同行评审综述期刊</x:v>
      </x:c>
      <x:c r="H148" s="29" t="str">
        <x:v>https://journals.sagepub.com/home/emr</x:v>
      </x:c>
      <x:c r="I148" s="29" t="str">
        <x:v>https://journals.sagepub.com/action/showFeed?type=etoc&amp;feed=rss&amp;jc=emra</x:v>
      </x:c>
      <x:c r="J148" s="29" t="str">
        <x:v>适合写“不同情绪理论如何解释同一现象”的比较帖，而非单一技巧型内容。</x:v>
      </x:c>
      <x:c r="K148" s="29" t="str">
        <x:v>International Society for Research on Emotion 关联期刊，侧重情绪理论、综述和跨学科争论。</x:v>
      </x:c>
      <x:c r="L148" s="29" t="str">
        <x:v>有效</x:v>
      </x:c>
      <x:c r="M148" s="29" t="str">
        <x:v>2026-08-17：期刊主页自动检查 403；SAGE 官方 RSS 200，RDF/XML 已确认。</x:v>
      </x:c>
    </x:row>
    <x:row r="149" ht="50" customHeight="1">
      <x:c r="A149" s="29" t="str">
        <x:v>A</x:v>
      </x:c>
      <x:c r="B149" s="29" t="n">
        <x:v>92</x:v>
      </x:c>
      <x:c r="C149" s="29" t="str">
        <x:v>心理、认知与情商</x:v>
      </x:c>
      <x:c r="D149" s="29" t="str">
        <x:v>Nature Human Behaviour</x:v>
      </x:c>
      <x:c r="E149" s="29" t="str"/>
      <x:c r="F149" s="29" t="str">
        <x:v>证据源</x:v>
      </x:c>
      <x:c r="G149" s="29" t="str">
        <x:v>同行评审期刊</x:v>
      </x:c>
      <x:c r="H149" s="29" t="str">
        <x:v>https://www.nature.com/nathumbehav/</x:v>
      </x:c>
      <x:c r="I149" s="29" t="str">
        <x:v>https://www.nature.com/nathumbehav.rss</x:v>
      </x:c>
      <x:c r="J149" s="29" t="str">
        <x:v>寻找能连接个人行为与社会系统的新研究；发布前检查研究设计与评论争议。</x:v>
      </x:c>
      <x:c r="K149" s="29" t="str">
        <x:v>连接心理学、认知科学、经济学、社会科学与健康研究，特别适合跨学科行为主题。</x:v>
      </x:c>
      <x:c r="L149" s="29" t="str">
        <x:v>有效</x:v>
      </x:c>
      <x:c r="M149" s="29" t="str">
        <x:v>2026-08-17：主页 200；官方 RSS 200，RDF/RSS 已确认。</x:v>
      </x:c>
    </x:row>
    <x:row r="150" ht="50" customHeight="1">
      <x:c r="A150" s="29" t="str">
        <x:v>A</x:v>
      </x:c>
      <x:c r="B150" s="29" t="n">
        <x:v>92</x:v>
      </x:c>
      <x:c r="C150" s="29" t="str">
        <x:v>心理、认知与情商</x:v>
      </x:c>
      <x:c r="D150" s="29" t="str">
        <x:v>Nature Reviews Psychology</x:v>
      </x:c>
      <x:c r="E150" s="29" t="str"/>
      <x:c r="F150" s="29" t="str">
        <x:v>证据源</x:v>
      </x:c>
      <x:c r="G150" s="29" t="str">
        <x:v>同行评审综述期刊</x:v>
      </x:c>
      <x:c r="H150" s="29" t="str">
        <x:v>https://www.nature.com/nrpsychol/</x:v>
      </x:c>
      <x:c r="I150" s="29" t="str">
        <x:v>https://www.nature.com/nrpsychol.rss</x:v>
      </x:c>
      <x:c r="J150" s="29" t="str">
        <x:v>把综述中的框架、关键图表和未解问题转成高密度线程；注意正文访问权限。</x:v>
      </x:c>
      <x:c r="K150" s="29" t="str">
        <x:v>跨心理学分支的高质量综述、观点和研究亮点，便于迅速掌握新领域共识。</x:v>
      </x:c>
      <x:c r="L150" s="29" t="str">
        <x:v>有效</x:v>
      </x:c>
      <x:c r="M150" s="29" t="str">
        <x:v>2026-08-17：主页 200；官方 RSS 200，RDF/RSS 已确认。</x:v>
      </x:c>
    </x:row>
    <x:row r="151" ht="50" customHeight="1">
      <x:c r="A151" s="29" t="str">
        <x:v>A</x:v>
      </x:c>
      <x:c r="B151" s="29" t="n">
        <x:v>92</x:v>
      </x:c>
      <x:c r="C151" s="29" t="str">
        <x:v>心理、认知与情商</x:v>
      </x:c>
      <x:c r="D151" s="29" t="str">
        <x:v>Perspectives on Psychological Science</x:v>
      </x:c>
      <x:c r="E151" s="29" t="str"/>
      <x:c r="F151" s="29" t="str">
        <x:v>证据源</x:v>
      </x:c>
      <x:c r="G151" s="29" t="str">
        <x:v>同行评审综述与观点期刊</x:v>
      </x:c>
      <x:c r="H151" s="29" t="str">
        <x:v>https://www.psychologicalscience.org/publications/perspectives</x:v>
      </x:c>
      <x:c r="I151" s="29" t="str">
        <x:v>https://journals.sagepub.com/action/showFeed?type=etoc&amp;feed=rss&amp;jc=ppsa</x:v>
      </x:c>
      <x:c r="J151" s="29" t="str">
        <x:v>适合写“研究看似证明了什么、其实还缺什么”的纠偏型帖文。</x:v>
      </x:c>
      <x:c r="K151" s="29" t="str">
        <x:v>关注理论整合、方法争议、元科学和大型综述，能为热点结论补上反方证据与边界。</x:v>
      </x:c>
      <x:c r="L151" s="29" t="str">
        <x:v>有效</x:v>
      </x:c>
      <x:c r="M151" s="29" t="str">
        <x:v>2026-08-17：APS 期刊页 200；SAGE 官方 RSS 200，RDF/XML 已确认。</x:v>
      </x:c>
    </x:row>
    <x:row r="152" ht="50" customHeight="1">
      <x:c r="A152" s="29" t="str">
        <x:v>A</x:v>
      </x:c>
      <x:c r="B152" s="29" t="n">
        <x:v>92</x:v>
      </x:c>
      <x:c r="C152" s="29" t="str">
        <x:v>心理、认知与情商</x:v>
      </x:c>
      <x:c r="D152" s="29" t="str">
        <x:v>Psychological Science</x:v>
      </x:c>
      <x:c r="E152" s="29" t="str"/>
      <x:c r="F152" s="29" t="str">
        <x:v>证据源</x:v>
      </x:c>
      <x:c r="G152" s="29" t="str">
        <x:v>同行评审期刊</x:v>
      </x:c>
      <x:c r="H152" s="29" t="str">
        <x:v>https://www.psychologicalscience.org/publications/psychological_science</x:v>
      </x:c>
      <x:c r="I152" s="29" t="str">
        <x:v>https://journals.sagepub.com/action/showFeed?type=etoc&amp;feed=rss&amp;jc=pssa</x:v>
      </x:c>
      <x:c r="J152" s="29" t="str">
        <x:v>用作新论文雷达；发帖时报告样本、设计、效应量和复制状态，避免只摘结论。</x:v>
      </x:c>
      <x:c r="K152" s="29" t="str">
        <x:v>APS 旗舰期刊，覆盖认知、社会、发展与行为研究，适合发现有公共传播潜力的新结果。</x:v>
      </x:c>
      <x:c r="L152" s="29" t="str">
        <x:v>有效</x:v>
      </x:c>
      <x:c r="M152" s="29" t="str">
        <x:v>2026-08-17：APS 期刊页 200；SAGE 官方 RSS 200，RDF/XML 已确认。</x:v>
      </x:c>
    </x:row>
    <x:row r="153" ht="50" customHeight="1">
      <x:c r="A153" s="29" t="str">
        <x:v>A</x:v>
      </x:c>
      <x:c r="B153" s="29" t="n">
        <x:v>92</x:v>
      </x:c>
      <x:c r="C153" s="29" t="str">
        <x:v>心理、认知与情商</x:v>
      </x:c>
      <x:c r="D153" s="29" t="str">
        <x:v>Psychological Science in the Public Interest（PSPI）</x:v>
      </x:c>
      <x:c r="E153" s="29" t="str"/>
      <x:c r="F153" s="29" t="str">
        <x:v>证据源</x:v>
      </x:c>
      <x:c r="G153" s="29" t="str">
        <x:v>同行评审综合报告</x:v>
      </x:c>
      <x:c r="H153" s="29" t="str">
        <x:v>https://www.psychologicalscience.org/publications/pspi</x:v>
      </x:c>
      <x:c r="I153" s="29" t="str">
        <x:v>https://journals.sagepub.com/action/showFeed?type=etoc&amp;feed=rss&amp;jc=psia</x:v>
      </x:c>
      <x:c r="J153" s="29" t="str">
        <x:v>将一篇报告拆成“问题—证据—误区—建议”系列帖，适合高利他型内容。</x:v>
      </x:c>
      <x:c r="K153" s="29" t="str">
        <x:v>针对教育、健康和社会议题发布长篇证据评估，数量少但信息密度很高。</x:v>
      </x:c>
      <x:c r="L153" s="29" t="str">
        <x:v>有效</x:v>
      </x:c>
      <x:c r="M153" s="29" t="str">
        <x:v>2026-08-17：APS 期刊页 200；SAGE 官方 RSS 200，RDF/XML 已确认。</x:v>
      </x:c>
    </x:row>
    <x:row r="154" ht="50" customHeight="1">
      <x:c r="A154" s="29" t="str">
        <x:v>A</x:v>
      </x:c>
      <x:c r="B154" s="29" t="n">
        <x:v>92</x:v>
      </x:c>
      <x:c r="C154" s="29" t="str">
        <x:v>心理、认知与情商</x:v>
      </x:c>
      <x:c r="D154" s="29" t="str">
        <x:v>Social Psychological and Personality Science</x:v>
      </x:c>
      <x:c r="E154" s="29" t="str"/>
      <x:c r="F154" s="29" t="str">
        <x:v>证据源</x:v>
      </x:c>
      <x:c r="G154" s="29" t="str">
        <x:v>同行评审期刊</x:v>
      </x:c>
      <x:c r="H154" s="29" t="str">
        <x:v>https://journals.sagepub.com/home/spp</x:v>
      </x:c>
      <x:c r="I154" s="29" t="str">
        <x:v>https://journals.sagepub.com/action/showFeed?type=etoc&amp;feed=rss&amp;jc=sppa</x:v>
      </x:c>
      <x:c r="J154" s="29" t="str">
        <x:v>寻找关系、人际和社会行为的新研究；优先大样本、预注册与多研究论文。</x:v>
      </x:c>
      <x:c r="K154" s="29" t="str">
        <x:v>以简洁实证报告覆盖关系、人格、社会认知与群体行为，更新速度较快。</x:v>
      </x:c>
      <x:c r="L154" s="29" t="str">
        <x:v>有效</x:v>
      </x:c>
      <x:c r="M154" s="29" t="str">
        <x:v>2026-08-17：期刊主页自动检查 403；SAGE 官方 RSS 200，RDF/XML 已确认。</x:v>
      </x:c>
    </x:row>
    <x:row r="155" ht="50" customHeight="1">
      <x:c r="A155" s="29" t="str">
        <x:v>A</x:v>
      </x:c>
      <x:c r="B155" s="29" t="n">
        <x:v>92</x:v>
      </x:c>
      <x:c r="C155" s="29" t="str">
        <x:v>心理、认知与情商</x:v>
      </x:c>
      <x:c r="D155" s="29" t="str">
        <x:v>Stanford Center for Compassion and Altruism Research and Education（CCARE）</x:v>
      </x:c>
      <x:c r="E155" s="29" t="str"/>
      <x:c r="F155" s="29" t="str">
        <x:v>证据源</x:v>
      </x:c>
      <x:c r="G155" s="29" t="str">
        <x:v>大学研究中心</x:v>
      </x:c>
      <x:c r="H155" s="29" t="str">
        <x:v>https://ccare.stanford.edu/</x:v>
      </x:c>
      <x:c r="I155" s="29" t="str">
        <x:v>https://ccare.stanford.edu/feed/</x:v>
      </x:c>
      <x:c r="J155" s="29" t="str">
        <x:v>为同理心、助人行为与慈悲训练提供研究背景和专家资源；干预效果回链论文。</x:v>
      </x:c>
      <x:c r="K155" s="29" t="str">
        <x:v>聚焦慈悲、利他、同理心及其训练，与“高利他性内容”目标高度匹配。</x:v>
      </x:c>
      <x:c r="L155" s="29" t="str">
        <x:v>有效</x:v>
      </x:c>
      <x:c r="M155" s="29" t="str">
        <x:v>2026-08-17：主页 200；官方 RSS 200，XML 已确认。</x:v>
      </x:c>
    </x:row>
    <x:row r="156" ht="50" customHeight="1">
      <x:c r="A156" s="29" t="str">
        <x:v>A</x:v>
      </x:c>
      <x:c r="B156" s="29" t="n">
        <x:v>92</x:v>
      </x:c>
      <x:c r="C156" s="29" t="str">
        <x:v>心理、认知与情商</x:v>
      </x:c>
      <x:c r="D156" s="29" t="str">
        <x:v>Trends in Cognitive Sciences（TICS）</x:v>
      </x:c>
      <x:c r="E156" s="29" t="str"/>
      <x:c r="F156" s="29" t="str">
        <x:v>证据源</x:v>
      </x:c>
      <x:c r="G156" s="29" t="str">
        <x:v>同行评审综述期刊</x:v>
      </x:c>
      <x:c r="H156" s="29" t="str">
        <x:v>https://www.cell.com/trends/cognitive-sciences/home</x:v>
      </x:c>
      <x:c r="I156" s="29" t="str">
        <x:v>https://www.cell.com/trends/cognitive-sciences/rss</x:v>
      </x:c>
      <x:c r="J156" s="29" t="str">
        <x:v>用于建立机制框架和跨论文共识；特别适合概念解释型长帖。</x:v>
      </x:c>
      <x:c r="K156" s="29" t="str">
        <x:v>认知科学领域的高密度综述和观点，覆盖记忆、注意、语言、决策与认知神经科学。</x:v>
      </x:c>
      <x:c r="L156" s="29" t="str">
        <x:v>受限/反爬</x:v>
      </x:c>
      <x:c r="M156" s="29" t="str">
        <x:v>2026-08-17：主页与官方 RSS 自动请求均为 403/Cloudflare；URL 为 Cell Press 官方 Feed，建议在阅读器内实测。；端点未返回可识别的 RSS/Atom XML；可能是反爬、登录页或旧地址。</x:v>
      </x:c>
    </x:row>
    <x:row r="157" ht="50" customHeight="1">
      <x:c r="A157" s="29" t="str">
        <x:v>A</x:v>
      </x:c>
      <x:c r="B157" s="29" t="n">
        <x:v>92</x:v>
      </x:c>
      <x:c r="C157" s="29" t="str">
        <x:v>心理、认知与情商</x:v>
      </x:c>
      <x:c r="D157" s="29" t="str">
        <x:v>Yale Center for Emotional Intelligence（YCEI）</x:v>
      </x:c>
      <x:c r="E157" s="29" t="str"/>
      <x:c r="F157" s="29" t="str">
        <x:v>证据源</x:v>
      </x:c>
      <x:c r="G157" s="29" t="str">
        <x:v>大学研究与转化中心</x:v>
      </x:c>
      <x:c r="H157" s="29" t="str">
        <x:v>https://medicine.yale.edu/childstudy/services/community-and-schools-programs/center-for-emotional-intelligence/</x:v>
      </x:c>
      <x:c r="I157" s="29" t="str"/>
      <x:c r="J157" s="29" t="str">
        <x:v>用于情绪识别、调节、关系与学校环境话题；优先引用其研究与评估结果。</x:v>
      </x:c>
      <x:c r="K157" s="29" t="str">
        <x:v>研究情绪科学、情商测量与学校社会情绪学习，能替代泛化的“高情商技巧”内容。</x:v>
      </x:c>
      <x:c r="L157" s="29" t="str">
        <x:v>无RSS/API入口</x:v>
      </x:c>
      <x:c r="M157" s="29" t="str">
        <x:v>2026-08-17：Yale School of Medicine 官方中心页 200；未发现公开 RSS。</x:v>
      </x:c>
    </x:row>
    <x:row r="158" ht="50" customHeight="1">
      <x:c r="A158" s="29" t="str">
        <x:v>A</x:v>
      </x:c>
      <x:c r="B158" s="29" t="n">
        <x:v>92</x:v>
      </x:c>
      <x:c r="C158" s="29" t="str">
        <x:v>心理、认知与情商</x:v>
      </x:c>
      <x:c r="D158" s="29" t="str">
        <x:v>中国科学院心理研究所</x:v>
      </x:c>
      <x:c r="E158" s="29" t="str"/>
      <x:c r="F158" s="29" t="str">
        <x:v>证据源</x:v>
      </x:c>
      <x:c r="G158" s="29" t="str">
        <x:v>国家级科研机构</x:v>
      </x:c>
      <x:c r="H158" s="29" t="str">
        <x:v>https://www.psych.ac.cn/</x:v>
      </x:c>
      <x:c r="I158" s="29" t="str"/>
      <x:c r="J158" s="29" t="str">
        <x:v>补充中国样本、中文研究与国内学术活动；优先链接科研进展对应论文或机构知识库。；中国心理学研究动态、专家解释、概念科普</x:v>
      </x:c>
      <x:c r="K158" s="29" t="str">
        <x:v>覆盖认知与发展、健康与遗传、社会与工程心理等方向，是中文一手科研动态的重要入口。</x:v>
      </x:c>
      <x:c r="L158" s="29" t="str">
        <x:v>无RSS/API入口</x:v>
      </x:c>
      <x:c r="M158" s="29" t="str">
        <x:v>2026-08-17：官方站最新内容可被搜索索引；本地直连发生 DNS/网络失败，保留为网页巡检源。；机构新闻和科普需继续追到具体论文、量表或项目；不能用于个体诊断。</x:v>
      </x:c>
    </x:row>
    <x:row r="159" ht="50" customHeight="1">
      <x:c r="A159" s="29" t="str">
        <x:v>A</x:v>
      </x:c>
      <x:c r="B159" s="29" t="n">
        <x:v>92</x:v>
      </x:c>
      <x:c r="C159" s="29" t="str">
        <x:v>心理、认知与情商</x:v>
      </x:c>
      <x:c r="D159" s="29" t="str">
        <x:v>北京师范大学认知神经科学与学习国家重点实验室</x:v>
      </x:c>
      <x:c r="E159" s="29" t="str"/>
      <x:c r="F159" s="29" t="str">
        <x:v>证据源</x:v>
      </x:c>
      <x:c r="G159" s="29" t="str">
        <x:v>国家重点实验室</x:v>
      </x:c>
      <x:c r="H159" s="29" t="str">
        <x:v>https://brain.bnu.edu.cn/</x:v>
      </x:c>
      <x:c r="I159" s="29" t="str"/>
      <x:c r="J159" s="29" t="str">
        <x:v>补充中国样本和中文认知神经科学成果；直接引用对应论文，不只引用新闻稿。</x:v>
      </x:c>
      <x:c r="K159" s="29" t="str">
        <x:v>聚焦脑发育、认知发展、学习机制与心理健康，提供中文科研进展、学术活动和科普。</x:v>
      </x:c>
      <x:c r="L159" s="29" t="str">
        <x:v>无RSS/API入口</x:v>
      </x:c>
      <x:c r="M159" s="29" t="str">
        <x:v>2026-08-17：官方主页 200；未发现公开 RSS。</x:v>
      </x:c>
    </x:row>
    <x:row r="160" ht="50" customHeight="1">
      <x:c r="A160" s="29" t="str">
        <x:v>A</x:v>
      </x:c>
      <x:c r="B160" s="29" t="n">
        <x:v>91</x:v>
      </x:c>
      <x:c r="C160" s="29" t="str">
        <x:v>成长与学习</x:v>
      </x:c>
      <x:c r="D160" s="29" t="str">
        <x:v>Center for Creative Leadership Insights</x:v>
      </x:c>
      <x:c r="E160" s="29" t="str"/>
      <x:c r="F160" s="29" t="str">
        <x:v>证据源</x:v>
      </x:c>
      <x:c r="G160" s="29" t="str">
        <x:v>领导力研究、团队发展、教练、包容性与组织实践</x:v>
      </x:c>
      <x:c r="H160" s="29" t="str">
        <x:v>https://www.ccl.org/articles/</x:v>
      </x:c>
      <x:c r="I160" s="29" t="str"/>
      <x:c r="J160" s="29" t="str">
        <x:v>用研究结论校准常见领导力口号，并转成团队练习。</x:v>
      </x:c>
      <x:c r="K160" s="29" t="str">
        <x:v>非营利领导力研究与教育机构，长期发布研究型白皮书和实践指南。</x:v>
      </x:c>
      <x:c r="L160" s="29" t="str">
        <x:v>无RSS/API入口</x:v>
      </x:c>
      <x:c r="M160" s="29" t="str">
        <x:v>2026-08-17：官网在自动化请求中返回403但浏览器可访问；未核验到稳定公开RSS，按平台收录。</x:v>
      </x:c>
    </x:row>
    <x:row r="161" ht="50" customHeight="1">
      <x:c r="A161" s="29" t="str">
        <x:v>A</x:v>
      </x:c>
      <x:c r="B161" s="29" t="n">
        <x:v>91</x:v>
      </x:c>
      <x:c r="C161" s="29" t="str">
        <x:v>科学与数学</x:v>
      </x:c>
      <x:c r="D161" s="29" t="str">
        <x:v>Nature</x:v>
      </x:c>
      <x:c r="E161" s="29" t="str"/>
      <x:c r="F161" s="29" t="str">
        <x:v>证据源</x:v>
      </x:c>
      <x:c r="G161" s="29" t="str">
        <x:v>论文目录、新闻与评论</x:v>
      </x:c>
      <x:c r="H161" s="29" t="str">
        <x:v>https://www.nature.com/nature/</x:v>
      </x:c>
      <x:c r="I161" s="29" t="str">
        <x:v>https://www.nature.com/nature.rss</x:v>
      </x:c>
      <x:c r="J161" s="29" t="str">
        <x:v>论文解读、突破核验、科学争议</x:v>
      </x:c>
      <x:c r="K161" s="29" t="str">
        <x:v>高影响研究索引，适合追踪跨学科突破。</x:v>
      </x:c>
      <x:c r="L161" s="29" t="str">
        <x:v>有效</x:v>
      </x:c>
      <x:c r="M161" s="29" t="str">
        <x:v>Nature RSS端点已核验；全文访问权限因文章而异。</x:v>
      </x:c>
    </x:row>
    <x:row r="162" ht="50" customHeight="1">
      <x:c r="A162" s="29" t="str">
        <x:v>A</x:v>
      </x:c>
      <x:c r="B162" s="29" t="n">
        <x:v>91</x:v>
      </x:c>
      <x:c r="C162" s="29" t="str">
        <x:v>科学与数学</x:v>
      </x:c>
      <x:c r="D162" s="29" t="str">
        <x:v>Science</x:v>
      </x:c>
      <x:c r="E162" s="29" t="str"/>
      <x:c r="F162" s="29" t="str">
        <x:v>证据源</x:v>
      </x:c>
      <x:c r="G162" s="29" t="str">
        <x:v>电子目录、论文、新闻与评论</x:v>
      </x:c>
      <x:c r="H162" s="29" t="str">
        <x:v>https://www.science.org/journal/science</x:v>
      </x:c>
      <x:c r="I162" s="29" t="str">
        <x:v>https://www.science.org/action/showFeed?type=etoc&amp;feed=rss&amp;jc=science</x:v>
      </x:c>
      <x:c r="J162" s="29" t="str">
        <x:v>本周科学、论文摘要、同行评议进展</x:v>
      </x:c>
      <x:c r="K162" s="29" t="str">
        <x:v>AAAS旗舰期刊，适合追踪高影响科学研究。</x:v>
      </x:c>
      <x:c r="L162" s="29" t="str">
        <x:v>有效</x:v>
      </x:c>
      <x:c r="M162" s="29" t="str">
        <x:v>官方eTOC端点在本轮抓取中返回403，可能为反爬；须在实际阅读器测试，失败则使用官方邮件提醒。</x:v>
      </x:c>
    </x:row>
    <x:row r="163" ht="50" customHeight="1">
      <x:c r="A163" s="29" t="str">
        <x:v>A</x:v>
      </x:c>
      <x:c r="B163" s="29" t="n">
        <x:v>91</x:v>
      </x:c>
      <x:c r="C163" s="29" t="str">
        <x:v>人文与跨学科</x:v>
      </x:c>
      <x:c r="D163" s="29" t="str">
        <x:v>JSTOR Daily</x:v>
      </x:c>
      <x:c r="E163" s="29" t="str"/>
      <x:c r="F163" s="29" t="str">
        <x:v>证据源</x:v>
      </x:c>
      <x:c r="G163" s="29" t="str">
        <x:v>研究解读、历史与社会科学文章</x:v>
      </x:c>
      <x:c r="H163" s="29" t="str">
        <x:v>https://daily.jstor.org/</x:v>
      </x:c>
      <x:c r="I163" s="29" t="str">
        <x:v>https://daily.jstor.org/feed/</x:v>
      </x:c>
      <x:c r="J163" s="29" t="str">
        <x:v>一篇论文告诉我们什么，附原论文与关键限制。</x:v>
      </x:c>
      <x:c r="K163" s="29" t="str">
        <x:v>把同行评审研究转成大众可读文章，并通常回链 JSTOR 论文，是追溯证据的高效入口。</x:v>
      </x:c>
      <x:c r="L163" s="29" t="str">
        <x:v>有效</x:v>
      </x:c>
      <x:c r="M163" s="29" t="str">
        <x:v>2026-08-17：Feed 端点返回 application/rss+xml。文章开放，部分论文全文访问条件不一。</x:v>
      </x:c>
    </x:row>
    <x:row r="164" ht="50" customHeight="1">
      <x:c r="A164" s="29" t="str">
        <x:v>A</x:v>
      </x:c>
      <x:c r="B164" s="29" t="n">
        <x:v>91</x:v>
      </x:c>
      <x:c r="C164" s="29" t="str">
        <x:v>商业、管理与创新</x:v>
      </x:c>
      <x:c r="D164" s="29" t="str">
        <x:v>AOM Insights</x:v>
      </x:c>
      <x:c r="E164" s="29" t="str"/>
      <x:c r="F164" s="29" t="str">
        <x:v>证据源</x:v>
      </x:c>
      <x:c r="G164" s="29" t="str">
        <x:v>同行评审管理研究摘要、信息图、视频和工作场所启示</x:v>
      </x:c>
      <x:c r="H164" s="29" t="str">
        <x:v>https://journals.aom.org/insights</x:v>
      </x:c>
      <x:c r="I164" s="29" t="str"/>
      <x:c r="J164" s="29" t="str">
        <x:v>一句管理迷思加研究发现加适用边界。</x:v>
      </x:c>
      <x:c r="K164" s="29" t="str">
        <x:v>由 Academy of Management 把旗下同行评审研究转为面向管理者的短解释，证据链清晰。</x:v>
      </x:c>
      <x:c r="L164" s="29" t="str">
        <x:v>无RSS/API入口</x:v>
      </x:c>
      <x:c r="M164" s="29" t="str">
        <x:v>2026-08-17：官方存在Insights与RSS入口，但自动化请求受403限制；未把HTML入口误标成XML Feed。</x:v>
      </x:c>
    </x:row>
    <x:row r="165" ht="50" customHeight="1">
      <x:c r="A165" s="29" t="str">
        <x:v>A</x:v>
      </x:c>
      <x:c r="B165" s="29" t="n">
        <x:v>91</x:v>
      </x:c>
      <x:c r="C165" s="29" t="str">
        <x:v>商业、管理与创新</x:v>
      </x:c>
      <x:c r="D165" s="29" t="str">
        <x:v>California Management Review</x:v>
      </x:c>
      <x:c r="E165" s="29" t="str"/>
      <x:c r="F165" s="29" t="str">
        <x:v>证据源</x:v>
      </x:c>
      <x:c r="G165" s="29" t="str">
        <x:v>同行评审管理研究、专题、研究简报与实践文章</x:v>
      </x:c>
      <x:c r="H165" s="29" t="str">
        <x:v>https://cmr.berkeley.edu/</x:v>
      </x:c>
      <x:c r="I165" s="29" t="str"/>
      <x:c r="J165" s="29" t="str">
        <x:v>把一篇管理研究转成问题、机制、证据和边界四格结构。</x:v>
      </x:c>
      <x:c r="K165" s="29" t="str">
        <x:v>伯克利管理期刊，重视证据型战略、创新和组织研究，适合系统性选题。</x:v>
      </x:c>
      <x:c r="L165" s="29" t="str">
        <x:v>无RSS/API入口</x:v>
      </x:c>
      <x:c r="M165" s="29" t="str">
        <x:v>2026-08-17：官网返回200；/feed/为404，按平台收录，部分论文可能需要订阅。</x:v>
      </x:c>
    </x:row>
    <x:row r="166" ht="50" customHeight="1">
      <x:c r="A166" s="29" t="str">
        <x:v>A</x:v>
      </x:c>
      <x:c r="B166" s="29" t="n">
        <x:v>91</x:v>
      </x:c>
      <x:c r="C166" s="29" t="str">
        <x:v>商业、管理与创新</x:v>
      </x:c>
      <x:c r="D166" s="29" t="str">
        <x:v>MIT Sloan Management Review</x:v>
      </x:c>
      <x:c r="E166" s="29" t="str"/>
      <x:c r="F166" s="29" t="str">
        <x:v>证据源</x:v>
      </x:c>
      <x:c r="G166" s="29" t="str">
        <x:v>管理研究、数字化转型、AI、战略、运营与组织设计</x:v>
      </x:c>
      <x:c r="H166" s="29" t="str">
        <x:v>https://sloanreview.mit.edu/</x:v>
      </x:c>
      <x:c r="I166" s="29" t="str"/>
      <x:c r="J166" s="29" t="str">
        <x:v>研究发现加企业案例，解释一项技术如何改变组织。</x:v>
      </x:c>
      <x:c r="K166" s="29" t="str">
        <x:v>强调管理研究与实践之间的连接，数字化和组织议题尤其强。</x:v>
      </x:c>
      <x:c r="L166" s="29" t="str">
        <x:v>无RSS/API入口</x:v>
      </x:c>
      <x:c r="M166" s="29" t="str">
        <x:v>2026-08-17：官网和旧Feed在自动化请求中均受403限制；未录入不可稳定验证的RSS。</x:v>
      </x:c>
    </x:row>
    <x:row r="167" ht="50" customHeight="1">
      <x:c r="A167" s="29" t="str">
        <x:v>A</x:v>
      </x:c>
      <x:c r="B167" s="29" t="n">
        <x:v>91</x:v>
      </x:c>
      <x:c r="C167" s="29" t="str">
        <x:v>商业、管理与创新</x:v>
      </x:c>
      <x:c r="D167" s="29" t="str">
        <x:v>NBER Working Papers</x:v>
      </x:c>
      <x:c r="E167" s="29" t="str"/>
      <x:c r="F167" s="29" t="str">
        <x:v>证据源</x:v>
      </x:c>
      <x:c r="G167" s="29" t="str">
        <x:v>经济学工作论文、摘要、作者与研究项目</x:v>
      </x:c>
      <x:c r="H167" s="29" t="str">
        <x:v>https://www.nber.org/papers</x:v>
      </x:c>
      <x:c r="I167" s="29" t="str">
        <x:v>https://back.nber.org/rss/new.xml</x:v>
      </x:c>
      <x:c r="J167" s="29" t="str">
        <x:v>经济研究解读、政策证据；用工作论文提出新证据，但明确标注尚未同行评审。</x:v>
      </x:c>
      <x:c r="K167" s="29" t="str">
        <x:v>获取最新经济学研究的一手入口，覆盖劳动、生产率、创业、金融、组织和公共政策。</x:v>
      </x:c>
      <x:c r="L167" s="29" t="str">
        <x:v>重定向后有效</x:v>
      </x:c>
      <x:c r="M167" s="29" t="str">
        <x:v>摘要开放但部分全文受限；工作论文结论可能修订。；2026-08-17：官方RSS返回200并重定向至back.nber.org的有效XML；工作论文不是最终同行评审版本。</x:v>
      </x:c>
    </x:row>
    <x:row r="168" ht="50" customHeight="1">
      <x:c r="A168" s="29" t="str">
        <x:v>A</x:v>
      </x:c>
      <x:c r="B168" s="29" t="n">
        <x:v>91</x:v>
      </x:c>
      <x:c r="C168" s="29" t="str">
        <x:v>新闻与调查</x:v>
      </x:c>
      <x:c r="D168" s="29" t="str">
        <x:v>404 Media</x:v>
      </x:c>
      <x:c r="E168" s="29" t="str"/>
      <x:c r="F168" s="29" t="str">
        <x:v>证据源</x:v>
      </x:c>
      <x:c r="G168" s="29" t="str">
        <x:v>调查报道、平台滥用、AI、隐私和网络文化</x:v>
      </x:c>
      <x:c r="H168" s="29" t="str">
        <x:v>https://www.404media.co/</x:v>
      </x:c>
      <x:c r="I168" s="29" t="str">
        <x:v>https://www.404media.co/rss/</x:v>
      </x:c>
      <x:c r="J168" s="29" t="str">
        <x:v>调查快讯、平台问题、网络文化</x:v>
      </x:c>
      <x:c r="K168" s="29" t="str">
        <x:v>独立记者团队常获得文件、数据和未被大媒体覆盖的一手线索。</x:v>
      </x:c>
      <x:c r="L168" s="29" t="str">
        <x:v>有效</x:v>
      </x:c>
      <x:c r="M168" s="29" t="str">
        <x:v>Ghost RSS端点已核验；部分完整文章可能需会员。</x:v>
      </x:c>
    </x:row>
    <x:row r="169" ht="50" customHeight="1">
      <x:c r="A169" s="29" t="str">
        <x:v>A</x:v>
      </x:c>
      <x:c r="B169" s="29" t="n">
        <x:v>90</x:v>
      </x:c>
      <x:c r="C169" s="29" t="str">
        <x:v>地球、地理与城市</x:v>
      </x:c>
      <x:c r="D169" s="29" t="str">
        <x:v>Global Forest Watch</x:v>
      </x:c>
      <x:c r="E169" s="29" t="str"/>
      <x:c r="F169" s="29" t="str">
        <x:v>解释源</x:v>
      </x:c>
      <x:c r="G169" s="29" t="str">
        <x:v>环境数据平台 / API</x:v>
      </x:c>
      <x:c r="H169" s="29" t="str">
        <x:v>https://www.globalforestwatch.org/</x:v>
      </x:c>
      <x:c r="I169" s="29" t="str">
        <x:v>https://www.globalforestwatch.org/help/developers/gfw-api/</x:v>
      </x:c>
      <x:c r="J169" s="29" t="str">
        <x:v>森林变化、供应链与保护成效</x:v>
      </x:c>
      <x:c r="K169" s="29" t="str">
        <x:v>将卫星监测、森林损失和政策数据可视化。</x:v>
      </x:c>
      <x:c r="L169" s="29" t="str">
        <x:v>API入口</x:v>
      </x:c>
      <x:c r="M169" s="29" t="str">
        <x:v>使用前核对数据口径、更新时间、许可与引用格式。；未按 RSS/Atom 校验。</x:v>
      </x:c>
    </x:row>
    <x:row r="170" ht="50" customHeight="1">
      <x:c r="A170" s="29" t="str">
        <x:v>A</x:v>
      </x:c>
      <x:c r="B170" s="29" t="n">
        <x:v>90</x:v>
      </x:c>
      <x:c r="C170" s="29" t="str">
        <x:v>地球、地理与城市</x:v>
      </x:c>
      <x:c r="D170" s="29" t="str">
        <x:v>Places Journal</x:v>
      </x:c>
      <x:c r="E170" s="29" t="str"/>
      <x:c r="F170" s="29" t="str">
        <x:v>解释源</x:v>
      </x:c>
      <x:c r="G170" s="29" t="str">
        <x:v>公共学术长文、地图、摄影与书评</x:v>
      </x:c>
      <x:c r="H170" s="29" t="str">
        <x:v>https://placesjournal.org/</x:v>
      </x:c>
      <x:c r="I170" s="29" t="str">
        <x:v>https://placesjournal.org/feed/</x:v>
      </x:c>
      <x:c r="J170" s="29" t="str">
        <x:v>地图加城市史加空间政治的图文线程。</x:v>
      </x:c>
      <x:c r="K170" s="29" t="str">
        <x:v>把建筑、地理、基础设施和公共生活连接起来，学术质量与视觉素材兼具。</x:v>
      </x:c>
      <x:c r="L170" s="29" t="str">
        <x:v>受限/反爬</x:v>
      </x:c>
      <x:c r="M170" s="29" t="str">
        <x:v>2026-08-17：标准 WordPress Feed 路径；网页核验器未直接打开，建议导入时复验。；端点未返回可识别的 RSS/Atom XML；可能是反爬、登录页或旧地址。</x:v>
      </x:c>
    </x:row>
    <x:row r="171" ht="50" customHeight="1">
      <x:c r="A171" s="29" t="str">
        <x:v>A</x:v>
      </x:c>
      <x:c r="B171" s="29" t="n">
        <x:v>90</x:v>
      </x:c>
      <x:c r="C171" s="29" t="str">
        <x:v>历史与考古</x:v>
      </x:c>
      <x:c r="D171" s="29" t="str">
        <x:v>Objectivity</x:v>
      </x:c>
      <x:c r="E171" s="29" t="str"/>
      <x:c r="F171" s="29" t="str">
        <x:v>解释源</x:v>
      </x:c>
      <x:c r="G171" s="29" t="str">
        <x:v>视频 / 频道</x:v>
      </x:c>
      <x:c r="H171" s="29" t="str">
        <x:v>https://www.youtube.com/channel/UCtwKon9qMt5YLVgQt1tvJKg</x:v>
      </x:c>
      <x:c r="I171" s="29" t="str">
        <x:v>https://www.youtube.com/feeds/videos.xml?channel_id=UCtwKon9qMt5YLVgQt1tvJKg</x:v>
      </x:c>
      <x:c r="J171" s="29" t="str">
        <x:v>视频观点拆解、概念科普、选题与案例线索</x:v>
      </x:c>
      <x:c r="K171" s="29" t="str">
        <x:v>高质量博物馆/科学史视频创作者，适合快速建立背景、观察叙事结构并发现可传播选题。</x:v>
      </x:c>
      <x:c r="L171" s="29" t="str">
        <x:v>有效</x:v>
      </x:c>
      <x:c r="M171" s="29" t="str">
        <x:v>高质量解释源；具体数字和研究结论仍应回到论文、数据集或机构原文。</x:v>
      </x:c>
    </x:row>
    <x:row r="172" ht="50" customHeight="1">
      <x:c r="A172" s="31" t="str">
        <x:v>A</x:v>
      </x:c>
      <x:c r="B172" s="31" t="n">
        <x:v>90</x:v>
      </x:c>
      <x:c r="C172" s="31" t="str">
        <x:v>AI、科技与工程</x:v>
      </x:c>
      <x:c r="D172" s="31" t="str">
        <x:v>ACM Queue</x:v>
      </x:c>
      <x:c r="E172" s="31" t="str"/>
      <x:c r="F172" s="31" t="str">
        <x:v>解释源</x:v>
      </x:c>
      <x:c r="G172" s="31" t="str">
        <x:v>软件系统、数据库、网络与专家文章</x:v>
      </x:c>
      <x:c r="H172" s="31" t="str">
        <x:v>https://queue.acm.org/</x:v>
      </x:c>
      <x:c r="I172" s="31" t="str">
        <x:v>https://queue.acm.org/rss/feeds/queuecontent.xml</x:v>
      </x:c>
      <x:c r="J172" s="31" t="str">
        <x:v>系统原理、工程反直觉、架构史</x:v>
      </x:c>
      <x:c r="K172" s="31" t="str">
        <x:v>资深工程师写作，长期技术判断和系统细节可靠。</x:v>
      </x:c>
      <x:c r="L172" s="31" t="str">
        <x:v>有效</x:v>
      </x:c>
      <x:c r="M172" s="31" t="str">
        <x:v>ACM Queue XML Feed已核验。</x:v>
      </x:c>
    </x:row>
  </x:sheetData>
  <x:mergeCells>
    <x:mergeCell ref="A1:H1"/>
    <x:mergeCell ref="A2:M2"/>
  </x:mergeCells>
  <x:conditionalFormatting sqref="A5:A172">
    <x:cfRule type="containsText" dxfId="8" priority="1" operator="containsText" text="S"/>
    <x:cfRule type="containsText" dxfId="9" priority="2" operator="containsText" text="A"/>
    <x:cfRule type="containsText" dxfId="10" priority="3" operator="containsText" text="B"/>
    <x:cfRule type="containsText" dxfId="11" priority="4" operator="containsText" text="C"/>
  </x:conditionalFormatting>
  <x:conditionalFormatting sqref="B5:B172">
    <x:cfRule type="dataBar" priority="5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{38794527-EB9C-2F84-7BC9-A947E5901F7D}</x14:id>
        </x:ext>
      </x:extLst>
    </x:cfRule>
  </x:conditionalFormatting>
  <x:conditionalFormatting sqref="L5:L172">
    <x:cfRule type="containsText" dxfId="12" priority="6" operator="containsText" text="有效"/>
    <x:cfRule type="containsText" dxfId="13" priority="7" operator="containsText" text="受限"/>
    <x:cfRule type="containsText" dxfId="14" priority="8" operator="containsText" text="失效"/>
    <x:cfRule type="containsText" dxfId="15" priority="9" operator="containsText" text="非Feed"/>
  </x:conditionalFormatting>
  <x:pageMargins left="0.7" right="0.7" top="0.75" bottom="0.75" header="0.3" footer="0.3"/>
  <x:tableParts count="1">
    <x:tablePart xmlns:r="http://schemas.openxmlformats.org/officeDocument/2006/relationships" r:id="R4b22bb41c932480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8794527-EB9C-2F84-7BC9-A947E5901F7D}">
            <x14:dataBar gradient="1">
              <x14:cfvo type="min"/>
              <x14:cfvo type="max"/>
              <x14:fillColor rgb="FF14B8A6"/>
            </x14:dataBar>
          </x14:cfRule>
          <xm:sqref>B5:B172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22" hidden="0" customWidth="1"/>
    <x:col min="5" max="5" width="28" hidden="0" customWidth="1"/>
    <x:col min="6" max="6" width="30" hidden="0" customWidth="1"/>
    <x:col min="7" max="7" width="22" hidden="0" customWidth="1"/>
    <x:col min="8" max="8" width="22" hidden="0" customWidth="1"/>
    <x:col min="9" max="9" width="9" hidden="0" customWidth="1"/>
    <x:col min="10" max="10" width="12" hidden="0" customWidth="1"/>
    <x:col min="11" max="11" width="11" hidden="0" customWidth="1"/>
    <x:col min="12" max="12" width="17" hidden="0" customWidth="1"/>
    <x:col min="13" max="13" width="38" hidden="0" customWidth="1"/>
    <x:col min="14" max="14" width="42" hidden="0" customWidth="1"/>
    <x:col min="15" max="15" width="18" hidden="0" customWidth="1"/>
    <x:col min="16" max="16" width="9" hidden="0" customWidth="1"/>
    <x:col min="17" max="17" width="9" hidden="0" customWidth="1"/>
    <x:col min="18" max="18" width="11" hidden="0" customWidth="1"/>
    <x:col min="19" max="19" width="9" hidden="0" customWidth="1"/>
    <x:col min="20" max="20" width="15" hidden="0" customWidth="1"/>
    <x:col min="21" max="21" width="9" hidden="0" customWidth="1"/>
    <x:col min="22" max="22" width="9" hidden="0" customWidth="1"/>
    <x:col min="23" max="23" width="34" hidden="0" customWidth="1"/>
    <x:col min="24" max="24" width="46" hidden="0" customWidth="1"/>
    <x:col min="25" max="25" width="52" hidden="0" customWidth="1"/>
    <x:col min="26" max="26" width="12" hidden="0" customWidth="1"/>
    <x:col min="27" max="27" width="12" hidden="0" customWidth="1"/>
    <x:col min="28" max="28" width="34" hidden="0" customWidth="1"/>
    <x:col min="29" max="29" width="40" hidden="0" customWidth="1"/>
    <x:col min="30" max="30" width="13" hidden="0" customWidth="1"/>
    <x:col min="31" max="31" width="9" hidden="0" customWidth="1"/>
    <x:col min="32" max="32" width="42" hidden="0" customWidth="1"/>
    <x:col min="33" max="33" width="34" hidden="0" customWidth="1"/>
  </x:cols>
  <x:sheetData>
    <x:row r="1" ht="34" customHeight="1">
      <x:c r="A1" s="3" t="str">
        <x:v>全部信源主表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评分列 P:V 可直接修改；综合分和优先级会自动重算。Feed 状态是 2026-08-17 的网络层抽检，不代表版权或内容事实已经核验。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2" customHeight="1">
      <x:c r="A4" s="13" t="str">
        <x:v>ID</x:v>
      </x:c>
      <x:c r="B4" s="13" t="str">
        <x:v>优先级</x:v>
      </x:c>
      <x:c r="C4" s="13" t="str">
        <x:v>综合分</x:v>
      </x:c>
      <x:c r="D4" s="13" t="str">
        <x:v>主分类</x:v>
      </x:c>
      <x:c r="E4" s="13" t="str">
        <x:v>子分类</x:v>
      </x:c>
      <x:c r="F4" s="13" t="str">
        <x:v>名称</x:v>
      </x:c>
      <x:c r="G4" s="13" t="str">
        <x:v>作者/机构</x:v>
      </x:c>
      <x:c r="H4" s="13" t="str">
        <x:v>类型</x:v>
      </x:c>
      <x:c r="I4" s="13" t="str">
        <x:v>语言</x:v>
      </x:c>
      <x:c r="J4" s="13" t="str">
        <x:v>引用角色</x:v>
      </x:c>
      <x:c r="K4" s="13" t="str">
        <x:v>访问</x:v>
      </x:c>
      <x:c r="L4" s="13" t="str">
        <x:v>更新频率</x:v>
      </x:c>
      <x:c r="M4" s="13" t="str">
        <x:v>主页URL</x:v>
      </x:c>
      <x:c r="N4" s="13" t="str">
        <x:v>Feed/API URL</x:v>
      </x:c>
      <x:c r="O4" s="13" t="str">
        <x:v>Feed状态</x:v>
      </x:c>
      <x:c r="P4" s="13" t="str">
        <x:v>权威性</x:v>
      </x:c>
      <x:c r="Q4" s="13" t="str">
        <x:v>原创性</x:v>
      </x:c>
      <x:c r="R4" s="13" t="str">
        <x:v>证据密度</x:v>
      </x:c>
      <x:c r="S4" s="13" t="str">
        <x:v>解释力</x:v>
      </x:c>
      <x:c r="T4" s="13" t="str">
        <x:v>视觉/数据潜力</x:v>
      </x:c>
      <x:c r="U4" s="13" t="str">
        <x:v>稳定性</x:v>
      </x:c>
      <x:c r="V4" s="13" t="str">
        <x:v>开放性</x:v>
      </x:c>
      <x:c r="W4" s="13" t="str">
        <x:v>适合X帖型</x:v>
      </x:c>
      <x:c r="X4" s="13" t="str">
        <x:v>为什么值得</x:v>
      </x:c>
      <x:c r="Y4" s="13" t="str">
        <x:v>核验/版权提醒</x:v>
      </x:c>
      <x:c r="Z4" s="13" t="str">
        <x:v>Karpathy共享</x:v>
      </x:c>
      <x:c r="AA4" s="13" t="str">
        <x:v>Karpathy排序</x:v>
      </x:c>
      <x:c r="AB4" s="13" t="str">
        <x:v>来源集合</x:v>
      </x:c>
      <x:c r="AC4" s="13" t="str">
        <x:v>来源/溯源URL</x:v>
      </x:c>
      <x:c r="AD4" s="13" t="str">
        <x:v>核验日期</x:v>
      </x:c>
      <x:c r="AE4" s="13" t="str">
        <x:v>HTTP</x:v>
      </x:c>
      <x:c r="AF4" s="13" t="str">
        <x:v>最终URL</x:v>
      </x:c>
      <x:c r="AG4" s="13" t="str">
        <x:v>主题标签</x:v>
      </x:c>
    </x:row>
    <x:row r="5" ht="44" customHeight="1">
      <x:c r="A5" s="27" t="str">
        <x:v>SRC-001</x:v>
      </x:c>
      <x:c r="B5" s="27" t="str">
        <x:f>IF(C5&gt;=93,"S",IF(C5&gt;=90,"A",IF(C5&gt;=80,"B","C")))</x:f>
        <x:v>S</x:v>
      </x:c>
      <x:c r="C5" s="71" t="n">
        <x:f>ROUND((P5*0.20+Q5*0.18+R5*0.20+S5*0.15+T5*0.12+U5*0.10+V5*0.05)*20,0)</x:f>
        <x:v>95</x:v>
      </x:c>
      <x:c r="D5" s="27" t="str">
        <x:v>AI、科技与工程</x:v>
      </x:c>
      <x:c r="E5" s="27" t="str">
        <x:v>平台工程与开发者体验</x:v>
      </x:c>
      <x:c r="F5" s="27" t="str">
        <x:v>GitHub Engineering</x:v>
      </x:c>
      <x:c r="G5" s="27" t="str"/>
      <x:c r="H5" s="27" t="str">
        <x:v>数据库、可靠性、安全与工程复盘</x:v>
      </x:c>
      <x:c r="I5" s="27" t="str">
        <x:v>en</x:v>
      </x:c>
      <x:c r="J5" s="27" t="str">
        <x:v>证据源</x:v>
      </x:c>
      <x:c r="K5" s="27" t="str">
        <x:v>Open</x:v>
      </x:c>
      <x:c r="L5" s="27" t="str">
        <x:v>每周2至5篇</x:v>
      </x:c>
      <x:c r="M5" s="27" t="str">
        <x:v>https://github.blog/engineering/</x:v>
      </x:c>
      <x:c r="N5" s="27" t="str">
        <x:v>https://github.blog/engineering/feed/</x:v>
      </x:c>
      <x:c r="O5" s="27" t="str">
        <x:v>有效</x:v>
      </x:c>
      <x:c r="P5" s="71" t="n">
        <x:v>5</x:v>
      </x:c>
      <x:c r="Q5" s="71" t="n">
        <x:v>5</x:v>
      </x:c>
      <x:c r="R5" s="71" t="n">
        <x:v>5</x:v>
      </x:c>
      <x:c r="S5" s="71" t="n">
        <x:v>4</x:v>
      </x:c>
      <x:c r="T5" s="71" t="n">
        <x:v>5</x:v>
      </x:c>
      <x:c r="U5" s="71" t="n">
        <x:v>4</x:v>
      </x:c>
      <x:c r="V5" s="71" t="n">
        <x:v>5</x:v>
      </x:c>
      <x:c r="W5" s="27" t="str">
        <x:v>架构拆解、开发者体验、工程效率</x:v>
      </x:c>
      <x:c r="X5" s="27" t="str">
        <x:v>大型代码协作平台的一手架构和工程案例。</x:v>
      </x:c>
      <x:c r="Y5" s="27" t="str">
        <x:v>Engineering分类Feed已核验。</x:v>
      </x:c>
      <x:c r="Z5" s="74" t="b">
        <x:v>0</x:v>
      </x:c>
      <x:c r="AA5" s="27"/>
      <x:c r="AB5" s="27" t="str">
        <x:v>扩展调研：科技、科学与数据</x:v>
      </x:c>
      <x:c r="AC5" s="27" t="str">
        <x:v>https://github.blog/engineering/feed/</x:v>
      </x:c>
      <x:c r="AD5" s="27" t="str">
        <x:v>2026-08-17</x:v>
      </x:c>
      <x:c r="AE5" s="27" t="n">
        <x:v>200</x:v>
      </x:c>
      <x:c r="AF5" s="27" t="str">
        <x:v>https://github.blog/engineering/feed/</x:v>
      </x:c>
      <x:c r="AG5" s="27" t="str"/>
    </x:row>
    <x:row r="6" ht="44" customHeight="1">
      <x:c r="A6" s="29" t="str">
        <x:v>SRC-002</x:v>
      </x:c>
      <x:c r="B6" s="29" t="str">
        <x:f>IF(C6&gt;=93,"S",IF(C6&gt;=90,"A",IF(C6&gt;=80,"B","C")))</x:f>
        <x:v>S</x:v>
      </x:c>
      <x:c r="C6" s="72" t="n">
        <x:f>ROUND((P6*0.20+Q6*0.18+R6*0.20+S6*0.15+T6*0.12+U6*0.10+V6*0.05)*20,0)</x:f>
        <x:v>95</x:v>
      </x:c>
      <x:c r="D6" s="29" t="str">
        <x:v>历史与考古</x:v>
      </x:c>
      <x:c r="E6" s="29" t="str">
        <x:v>汉文佛典</x:v>
      </x:c>
      <x:c r="F6" s="29" t="str">
        <x:v>CBETA Online</x:v>
      </x:c>
      <x:c r="G6" s="29" t="str"/>
      <x:c r="H6" s="29" t="str">
        <x:v>数字佛典数据库</x:v>
      </x:c>
      <x:c r="I6" s="29" t="str">
        <x:v>zh-TW</x:v>
      </x:c>
      <x:c r="J6" s="29" t="str">
        <x:v>证据源</x:v>
      </x:c>
      <x:c r="K6" s="29" t="str">
        <x:v>Open</x:v>
      </x:c>
      <x:c r="L6" s="29" t="str">
        <x:v>持续更新</x:v>
      </x:c>
      <x:c r="M6" s="29" t="str">
        <x:v>https://cbetaonline.dila.edu.tw/</x:v>
      </x:c>
      <x:c r="N6" s="29" t="str"/>
      <x:c r="O6" s="29" t="str">
        <x:v>无RSS/API入口</x:v>
      </x:c>
      <x:c r="P6" s="72" t="n">
        <x:v>5</x:v>
      </x:c>
      <x:c r="Q6" s="72" t="n">
        <x:v>5</x:v>
      </x:c>
      <x:c r="R6" s="72" t="n">
        <x:v>5</x:v>
      </x:c>
      <x:c r="S6" s="72" t="n">
        <x:v>4</x:v>
      </x:c>
      <x:c r="T6" s="72" t="n">
        <x:v>5</x:v>
      </x:c>
      <x:c r="U6" s="72" t="n">
        <x:v>4</x:v>
      </x:c>
      <x:c r="V6" s="72" t="n">
        <x:v>5</x:v>
      </x:c>
      <x:c r="W6" s="29" t="str">
        <x:v>宗教史、概念史、原典引用</x:v>
      </x:c>
      <x:c r="X6" s="29" t="str">
        <x:v>大规模可检索汉文佛教典籍与校勘信息。</x:v>
      </x:c>
      <x:c r="Y6" s="29" t="str">
        <x:v>使用前核对数据口径、更新时间、许可与引用格式。</x:v>
      </x:c>
      <x:c r="Z6" s="75" t="b">
        <x:v>0</x:v>
      </x:c>
      <x:c r="AA6" s="29"/>
      <x:c r="AB6" s="29" t="str">
        <x:v>扩展调研：数据库、资料库与平台</x:v>
      </x:c>
      <x:c r="AC6" s="29" t="str">
        <x:v>https://cbetaonline.dila.edu.tw/</x:v>
      </x:c>
      <x:c r="AD6" s="29" t="str">
        <x:v>2026-08-17</x:v>
      </x:c>
      <x:c r="AE6" s="29"/>
      <x:c r="AF6" s="29" t="str"/>
      <x:c r="AG6" s="29" t="str"/>
    </x:row>
    <x:row r="7" ht="44" customHeight="1">
      <x:c r="A7" s="29" t="str">
        <x:v>SRC-003</x:v>
      </x:c>
      <x:c r="B7" s="29" t="str">
        <x:f>IF(C7&gt;=93,"S",IF(C7&gt;=90,"A",IF(C7&gt;=80,"B","C")))</x:f>
        <x:v>S</x:v>
      </x:c>
      <x:c r="C7" s="72" t="n">
        <x:f>ROUND((P7*0.20+Q7*0.18+R7*0.20+S7*0.15+T7*0.12+U7*0.10+V7*0.05)*20,0)</x:f>
        <x:v>95</x:v>
      </x:c>
      <x:c r="D7" s="29" t="str">
        <x:v>历史与考古</x:v>
      </x:c>
      <x:c r="E7" s="29" t="str">
        <x:v>中国古代典籍</x:v>
      </x:c>
      <x:c r="F7" s="29" t="str">
        <x:v>Chinese Text Project</x:v>
      </x:c>
      <x:c r="G7" s="29" t="str"/>
      <x:c r="H7" s="29" t="str">
        <x:v>古籍数据库 / API</x:v>
      </x:c>
      <x:c r="I7" s="29" t="str">
        <x:v>zh-CN/en</x:v>
      </x:c>
      <x:c r="J7" s="29" t="str">
        <x:v>证据源</x:v>
      </x:c>
      <x:c r="K7" s="29" t="str">
        <x:v>Open</x:v>
      </x:c>
      <x:c r="L7" s="29" t="str">
        <x:v>持续更新</x:v>
      </x:c>
      <x:c r="M7" s="29" t="str">
        <x:v>https://ctext.org/</x:v>
      </x:c>
      <x:c r="N7" s="29" t="str">
        <x:v>https://ctext.org/tools/api</x:v>
      </x:c>
      <x:c r="O7" s="29" t="str">
        <x:v>API入口</x:v>
      </x:c>
      <x:c r="P7" s="72" t="n">
        <x:v>5</x:v>
      </x:c>
      <x:c r="Q7" s="72" t="n">
        <x:v>5</x:v>
      </x:c>
      <x:c r="R7" s="72" t="n">
        <x:v>5</x:v>
      </x:c>
      <x:c r="S7" s="72" t="n">
        <x:v>4</x:v>
      </x:c>
      <x:c r="T7" s="72" t="n">
        <x:v>5</x:v>
      </x:c>
      <x:c r="U7" s="72" t="n">
        <x:v>4</x:v>
      </x:c>
      <x:c r="V7" s="72" t="n">
        <x:v>5</x:v>
      </x:c>
      <x:c r="W7" s="29" t="str">
        <x:v>古典原文、思想史、词频</x:v>
      </x:c>
      <x:c r="X7" s="29" t="str">
        <x:v>可检索、对照和引用先秦至汉代等中文原典。</x:v>
      </x:c>
      <x:c r="Y7" s="29" t="str">
        <x:v>注明版本、篇章与异文；现代整理和译文可能有版权。；未按 RSS/Atom 校验。</x:v>
      </x:c>
      <x:c r="Z7" s="75" t="b">
        <x:v>0</x:v>
      </x:c>
      <x:c r="AA7" s="29"/>
      <x:c r="AB7" s="29" t="str">
        <x:v>扩展调研：数据库、资料库与平台</x:v>
      </x:c>
      <x:c r="AC7" s="29" t="str">
        <x:v>https://ctext.org/</x:v>
      </x:c>
      <x:c r="AD7" s="29" t="str">
        <x:v>2026-08-17</x:v>
      </x:c>
      <x:c r="AE7" s="29"/>
      <x:c r="AF7" s="29" t="str">
        <x:v>https://ctext.org/tools/api</x:v>
      </x:c>
      <x:c r="AG7" s="29" t="str"/>
    </x:row>
    <x:row r="8" ht="44" customHeight="1">
      <x:c r="A8" s="29" t="str">
        <x:v>SRC-004</x:v>
      </x:c>
      <x:c r="B8" s="29" t="str">
        <x:f>IF(C8&gt;=93,"S",IF(C8&gt;=90,"A",IF(C8&gt;=80,"B","C")))</x:f>
        <x:v>S</x:v>
      </x:c>
      <x:c r="C8" s="72" t="n">
        <x:f>ROUND((P8*0.20+Q8*0.18+R8*0.20+S8*0.15+T8*0.12+U8*0.10+V8*0.05)*20,0)</x:f>
        <x:v>95</x:v>
      </x:c>
      <x:c r="D8" s="29" t="str">
        <x:v>历史与考古</x:v>
      </x:c>
      <x:c r="E8" s="29" t="str">
        <x:v>美国历史报纸</x:v>
      </x:c>
      <x:c r="F8" s="29" t="str">
        <x:v>Chronicling America</x:v>
      </x:c>
      <x:c r="G8" s="29" t="str"/>
      <x:c r="H8" s="29" t="str">
        <x:v>报纸档案 / API</x:v>
      </x:c>
      <x:c r="I8" s="29" t="str">
        <x:v>en</x:v>
      </x:c>
      <x:c r="J8" s="29" t="str">
        <x:v>证据源</x:v>
      </x:c>
      <x:c r="K8" s="29" t="str">
        <x:v>Open</x:v>
      </x:c>
      <x:c r="L8" s="29" t="str">
        <x:v>持续更新</x:v>
      </x:c>
      <x:c r="M8" s="29" t="str">
        <x:v>https://www.loc.gov/collections/chronicling-america/</x:v>
      </x:c>
      <x:c r="N8" s="29" t="str">
        <x:v>https://www.loc.gov/collections/chronicling-america/?fo=json</x:v>
      </x:c>
      <x:c r="O8" s="29" t="str">
        <x:v>API入口</x:v>
      </x:c>
      <x:c r="P8" s="72" t="n">
        <x:v>5</x:v>
      </x:c>
      <x:c r="Q8" s="72" t="n">
        <x:v>5</x:v>
      </x:c>
      <x:c r="R8" s="72" t="n">
        <x:v>5</x:v>
      </x:c>
      <x:c r="S8" s="72" t="n">
        <x:v>4</x:v>
      </x:c>
      <x:c r="T8" s="72" t="n">
        <x:v>5</x:v>
      </x:c>
      <x:c r="U8" s="72" t="n">
        <x:v>4</x:v>
      </x:c>
      <x:c r="V8" s="72" t="n">
        <x:v>5</x:v>
      </x:c>
      <x:c r="W8" s="29" t="str">
        <x:v>历史头版、舆论演变、时间线</x:v>
      </x:c>
      <x:c r="X8" s="29" t="str">
        <x:v>美国国会图书馆的可检索历史报纸，适合事件的同时代报道。</x:v>
      </x:c>
      <x:c r="Y8" s="29" t="str">
        <x:v>使用前核对数据口径、更新时间、许可与引用格式。；未按 RSS/Atom 校验。</x:v>
      </x:c>
      <x:c r="Z8" s="75" t="b">
        <x:v>0</x:v>
      </x:c>
      <x:c r="AA8" s="29"/>
      <x:c r="AB8" s="29" t="str">
        <x:v>扩展调研：数据库、资料库与平台</x:v>
      </x:c>
      <x:c r="AC8" s="29" t="str">
        <x:v>https://www.loc.gov/collections/chronicling-america/</x:v>
      </x:c>
      <x:c r="AD8" s="29" t="str">
        <x:v>2026-08-17</x:v>
      </x:c>
      <x:c r="AE8" s="29"/>
      <x:c r="AF8" s="29" t="str">
        <x:v>https://www.loc.gov/collections/chronicling-america/?fo=json</x:v>
      </x:c>
      <x:c r="AG8" s="29" t="str"/>
    </x:row>
    <x:row r="9" ht="44" customHeight="1">
      <x:c r="A9" s="29" t="str">
        <x:v>SRC-005</x:v>
      </x:c>
      <x:c r="B9" s="29" t="str">
        <x:f>IF(C9&gt;=93,"S",IF(C9&gt;=90,"A",IF(C9&gt;=80,"B","C")))</x:f>
        <x:v>S</x:v>
      </x:c>
      <x:c r="C9" s="72" t="n">
        <x:f>ROUND((P9*0.20+Q9*0.18+R9*0.20+S9*0.15+T9*0.12+U9*0.10+V9*0.05)*20,0)</x:f>
        <x:v>95</x:v>
      </x:c>
      <x:c r="D9" s="29" t="str">
        <x:v>历史与考古</x:v>
      </x:c>
      <x:c r="E9" s="29" t="str">
        <x:v>数字图书、音视频与网页档案</x:v>
      </x:c>
      <x:c r="F9" s="29" t="str">
        <x:v>Internet Archive</x:v>
      </x:c>
      <x:c r="G9" s="29" t="str"/>
      <x:c r="H9" s="29" t="str">
        <x:v>数字档案库 / API</x:v>
      </x:c>
      <x:c r="I9" s="29" t="str">
        <x:v>multilingual</x:v>
      </x:c>
      <x:c r="J9" s="29" t="str">
        <x:v>证据源</x:v>
      </x:c>
      <x:c r="K9" s="29" t="str">
        <x:v>Open</x:v>
      </x:c>
      <x:c r="L9" s="29" t="str">
        <x:v>持续更新</x:v>
      </x:c>
      <x:c r="M9" s="29" t="str">
        <x:v>https://archive.org/</x:v>
      </x:c>
      <x:c r="N9" s="29" t="str">
        <x:v>https://archive.org/advancedsearch.php</x:v>
      </x:c>
      <x:c r="O9" s="29" t="str">
        <x:v>API入口</x:v>
      </x:c>
      <x:c r="P9" s="72" t="n">
        <x:v>5</x:v>
      </x:c>
      <x:c r="Q9" s="72" t="n">
        <x:v>5</x:v>
      </x:c>
      <x:c r="R9" s="72" t="n">
        <x:v>5</x:v>
      </x:c>
      <x:c r="S9" s="72" t="n">
        <x:v>4</x:v>
      </x:c>
      <x:c r="T9" s="72" t="n">
        <x:v>5</x:v>
      </x:c>
      <x:c r="U9" s="72" t="n">
        <x:v>4</x:v>
      </x:c>
      <x:c r="V9" s="72" t="n">
        <x:v>5</x:v>
      </x:c>
      <x:c r="W9" s="29" t="str">
        <x:v>原始影像、旧书、网页历史</x:v>
      </x:c>
      <x:c r="X9" s="29" t="str">
        <x:v>海量扫描书、影像、软件和历史网页，是公共领域素材与数字史的重要底座。</x:v>
      </x:c>
      <x:c r="Y9" s="29" t="str">
        <x:v>逐项核对条目权利状态；平台可访问不等于可自由转载。；未按 RSS/Atom 校验。</x:v>
      </x:c>
      <x:c r="Z9" s="75" t="b">
        <x:v>0</x:v>
      </x:c>
      <x:c r="AA9" s="29"/>
      <x:c r="AB9" s="29" t="str">
        <x:v>扩展调研：数据库、资料库与平台</x:v>
      </x:c>
      <x:c r="AC9" s="29" t="str">
        <x:v>https://archive.org/developers/advancedsearch.html</x:v>
      </x:c>
      <x:c r="AD9" s="29" t="str">
        <x:v>2026-08-17</x:v>
      </x:c>
      <x:c r="AE9" s="29"/>
      <x:c r="AF9" s="29" t="str">
        <x:v>https://archive.org/advancedsearch.php</x:v>
      </x:c>
      <x:c r="AG9" s="29" t="str"/>
    </x:row>
    <x:row r="10" ht="44" customHeight="1">
      <x:c r="A10" s="29" t="str">
        <x:v>SRC-006</x:v>
      </x:c>
      <x:c r="B10" s="29" t="str">
        <x:f>IF(C10&gt;=93,"S",IF(C10&gt;=90,"A",IF(C10&gt;=80,"B","C")))</x:f>
        <x:v>S</x:v>
      </x:c>
      <x:c r="C10" s="72" t="n">
        <x:f>ROUND((P10*0.20+Q10*0.18+R10*0.20+S10*0.15+T10*0.12+U10*0.10+V10*0.05)*20,0)</x:f>
        <x:v>95</x:v>
      </x:c>
      <x:c r="D10" s="29" t="str">
        <x:v>历史与考古</x:v>
      </x:c>
      <x:c r="E10" s="29" t="str">
        <x:v>馆藏、地图、照片与法律史</x:v>
      </x:c>
      <x:c r="F10" s="29" t="str">
        <x:v>Library of Congress Blogs</x:v>
      </x:c>
      <x:c r="G10" s="29" t="str"/>
      <x:c r="H10" s="29" t="str">
        <x:v>馆员文章、原始资料、专题博客</x:v>
      </x:c>
      <x:c r="I10" s="29" t="str">
        <x:v>en</x:v>
      </x:c>
      <x:c r="J10" s="29" t="str">
        <x:v>证据源</x:v>
      </x:c>
      <x:c r="K10" s="29" t="str">
        <x:v>Open</x:v>
      </x:c>
      <x:c r="L10" s="29" t="str">
        <x:v>每日多篇</x:v>
      </x:c>
      <x:c r="M10" s="29" t="str">
        <x:v>https://blogs.loc.gov/</x:v>
      </x:c>
      <x:c r="N10" s="29" t="str">
        <x:v>https://blogs.loc.gov/feed/</x:v>
      </x:c>
      <x:c r="O10" s="29" t="str">
        <x:v>有效</x:v>
      </x:c>
      <x:c r="P10" s="72" t="n">
        <x:v>5</x:v>
      </x:c>
      <x:c r="Q10" s="72" t="n">
        <x:v>5</x:v>
      </x:c>
      <x:c r="R10" s="72" t="n">
        <x:v>5</x:v>
      </x:c>
      <x:c r="S10" s="72" t="n">
        <x:v>4</x:v>
      </x:c>
      <x:c r="T10" s="72" t="n">
        <x:v>5</x:v>
      </x:c>
      <x:c r="U10" s="72" t="n">
        <x:v>4</x:v>
      </x:c>
      <x:c r="V10" s="72" t="n">
        <x:v>5</x:v>
      </x:c>
      <x:c r="W10" s="29" t="str">
        <x:v>原始照片、旧报纸、地图和出处明确的史料帖。</x:v>
      </x:c>
      <x:c r="X10" s="29" t="str">
        <x:v>大量内容直接来自美国国会图书馆馆藏，原始照片、地图、旧报刊和文献定位价值高。</x:v>
      </x:c>
      <x:c r="Y10" s="29" t="str">
        <x:v>2026-08-17：官方通用 Feed 路径，网页核验器遇到 403；建议阅读器复验并按子博客过滤。</x:v>
      </x:c>
      <x:c r="Z10" s="75" t="b">
        <x:v>0</x:v>
      </x:c>
      <x:c r="AA10" s="29"/>
      <x:c r="AB10" s="29" t="str">
        <x:v>扩展调研：人文、历史、哲学与设计</x:v>
      </x:c>
      <x:c r="AC10" s="29" t="str">
        <x:v>https://blogs.loc.gov/</x:v>
      </x:c>
      <x:c r="AD10" s="29" t="str">
        <x:v>2026-08-17</x:v>
      </x:c>
      <x:c r="AE10" s="29" t="n">
        <x:v>200</x:v>
      </x:c>
      <x:c r="AF10" s="29" t="str">
        <x:v>https://blogs.loc.gov/feed/</x:v>
      </x:c>
      <x:c r="AG10" s="29" t="str"/>
    </x:row>
    <x:row r="11" ht="44" customHeight="1">
      <x:c r="A11" s="29" t="str">
        <x:v>SRC-007</x:v>
      </x:c>
      <x:c r="B11" s="29" t="str">
        <x:f>IF(C11&gt;=93,"S",IF(C11&gt;=90,"A",IF(C11&gt;=80,"B","C")))</x:f>
        <x:v>S</x:v>
      </x:c>
      <x:c r="C11" s="72" t="n">
        <x:f>ROUND((P11*0.20+Q11*0.18+R11*0.20+S11*0.15+T11*0.12+U11*0.10+V11*0.05)*20,0)</x:f>
        <x:v>95</x:v>
      </x:c>
      <x:c r="D11" s="29" t="str">
        <x:v>历史与考古</x:v>
      </x:c>
      <x:c r="E11" s="29" t="str">
        <x:v>伦敦刑事审判记录</x:v>
      </x:c>
      <x:c r="F11" s="29" t="str">
        <x:v>Old Bailey Online</x:v>
      </x:c>
      <x:c r="G11" s="29" t="str"/>
      <x:c r="H11" s="29" t="str">
        <x:v>历史法庭记录数据库</x:v>
      </x:c>
      <x:c r="I11" s="29" t="str">
        <x:v>en</x:v>
      </x:c>
      <x:c r="J11" s="29" t="str">
        <x:v>证据源</x:v>
      </x:c>
      <x:c r="K11" s="29" t="str">
        <x:v>Open</x:v>
      </x:c>
      <x:c r="L11" s="29" t="str">
        <x:v>静态/阶段更新</x:v>
      </x:c>
      <x:c r="M11" s="29" t="str">
        <x:v>https://www.oldbaileyonline.org/</x:v>
      </x:c>
      <x:c r="N11" s="29" t="str"/>
      <x:c r="O11" s="29" t="str">
        <x:v>无RSS/API入口</x:v>
      </x:c>
      <x:c r="P11" s="72" t="n">
        <x:v>5</x:v>
      </x:c>
      <x:c r="Q11" s="72" t="n">
        <x:v>5</x:v>
      </x:c>
      <x:c r="R11" s="72" t="n">
        <x:v>5</x:v>
      </x:c>
      <x:c r="S11" s="72" t="n">
        <x:v>4</x:v>
      </x:c>
      <x:c r="T11" s="72" t="n">
        <x:v>5</x:v>
      </x:c>
      <x:c r="U11" s="72" t="n">
        <x:v>4</x:v>
      </x:c>
      <x:c r="V11" s="72" t="n">
        <x:v>5</x:v>
      </x:c>
      <x:c r="W11" s="29" t="str">
        <x:v>个案史、社会结构、原始证词</x:v>
      </x:c>
      <x:c r="X11" s="29" t="str">
        <x:v>1674–1913 年审判记录可做社会史、犯罪史和语言史。</x:v>
      </x:c>
      <x:c r="Y11" s="29" t="str">
        <x:v>使用前核对数据口径、更新时间、许可与引用格式。</x:v>
      </x:c>
      <x:c r="Z11" s="75" t="b">
        <x:v>0</x:v>
      </x:c>
      <x:c r="AA11" s="29"/>
      <x:c r="AB11" s="29" t="str">
        <x:v>扩展调研：数据库、资料库与平台</x:v>
      </x:c>
      <x:c r="AC11" s="29" t="str">
        <x:v>https://www.oldbaileyonline.org/</x:v>
      </x:c>
      <x:c r="AD11" s="29" t="str">
        <x:v>2026-08-17</x:v>
      </x:c>
      <x:c r="AE11" s="29"/>
      <x:c r="AF11" s="29" t="str"/>
      <x:c r="AG11" s="29" t="str"/>
    </x:row>
    <x:row r="12" ht="44" customHeight="1">
      <x:c r="A12" s="29" t="str">
        <x:v>SRC-008</x:v>
      </x:c>
      <x:c r="B12" s="29" t="str">
        <x:f>IF(C12&gt;=93,"S",IF(C12&gt;=90,"A",IF(C12&gt;=80,"B","C")))</x:f>
        <x:v>S</x:v>
      </x:c>
      <x:c r="C12" s="72" t="n">
        <x:f>ROUND((P12*0.20+Q12*0.18+R12*0.20+S12*0.15+T12*0.12+U12*0.10+V12*0.05)*20,0)</x:f>
        <x:v>95</x:v>
      </x:c>
      <x:c r="D12" s="29" t="str">
        <x:v>历史与考古</x:v>
      </x:c>
      <x:c r="E12" s="29" t="str">
        <x:v>图书书目与借阅</x:v>
      </x:c>
      <x:c r="F12" s="29" t="str">
        <x:v>Open Library</x:v>
      </x:c>
      <x:c r="G12" s="29" t="str"/>
      <x:c r="H12" s="29" t="str">
        <x:v>开放书目 / API</x:v>
      </x:c>
      <x:c r="I12" s="29" t="str">
        <x:v>multilingual</x:v>
      </x:c>
      <x:c r="J12" s="29" t="str">
        <x:v>证据源</x:v>
      </x:c>
      <x:c r="K12" s="29" t="str">
        <x:v>Open</x:v>
      </x:c>
      <x:c r="L12" s="29" t="str">
        <x:v>持续更新</x:v>
      </x:c>
      <x:c r="M12" s="29" t="str">
        <x:v>https://openlibrary.org/</x:v>
      </x:c>
      <x:c r="N12" s="29" t="str">
        <x:v>https://openlibrary.org/developers/api</x:v>
      </x:c>
      <x:c r="O12" s="29" t="str">
        <x:v>API入口</x:v>
      </x:c>
      <x:c r="P12" s="72" t="n">
        <x:v>5</x:v>
      </x:c>
      <x:c r="Q12" s="72" t="n">
        <x:v>5</x:v>
      </x:c>
      <x:c r="R12" s="72" t="n">
        <x:v>5</x:v>
      </x:c>
      <x:c r="S12" s="72" t="n">
        <x:v>4</x:v>
      </x:c>
      <x:c r="T12" s="72" t="n">
        <x:v>5</x:v>
      </x:c>
      <x:c r="U12" s="72" t="n">
        <x:v>4</x:v>
      </x:c>
      <x:c r="V12" s="72" t="n">
        <x:v>5</x:v>
      </x:c>
      <x:c r="W12" s="29" t="str">
        <x:v>书目清单、版本史</x:v>
      </x:c>
      <x:c r="X12" s="29" t="str">
        <x:v>提供版本、作者、主题和封面数据，可做书目脉络。</x:v>
      </x:c>
      <x:c r="Y12" s="29" t="str">
        <x:v>使用前核对数据口径、更新时间、许可与引用格式。；未按 RSS/Atom 校验。</x:v>
      </x:c>
      <x:c r="Z12" s="75" t="b">
        <x:v>0</x:v>
      </x:c>
      <x:c r="AA12" s="29"/>
      <x:c r="AB12" s="29" t="str">
        <x:v>扩展调研：数据库、资料库与平台</x:v>
      </x:c>
      <x:c r="AC12" s="29" t="str">
        <x:v>https://openlibrary.org/</x:v>
      </x:c>
      <x:c r="AD12" s="29" t="str">
        <x:v>2026-08-17</x:v>
      </x:c>
      <x:c r="AE12" s="29"/>
      <x:c r="AF12" s="29" t="str">
        <x:v>https://openlibrary.org/developers/api</x:v>
      </x:c>
      <x:c r="AG12" s="29" t="str"/>
    </x:row>
    <x:row r="13" ht="44" customHeight="1">
      <x:c r="A13" s="29" t="str">
        <x:v>SRC-009</x:v>
      </x:c>
      <x:c r="B13" s="29" t="str">
        <x:f>IF(C13&gt;=93,"S",IF(C13&gt;=90,"A",IF(C13&gt;=80,"B","C")))</x:f>
        <x:v>S</x:v>
      </x:c>
      <x:c r="C13" s="72" t="n">
        <x:f>ROUND((P13*0.20+Q13*0.18+R13*0.20+S13*0.15+T13*0.12+U13*0.10+V13*0.05)*20,0)</x:f>
        <x:v>95</x:v>
      </x:c>
      <x:c r="D13" s="29" t="str">
        <x:v>历史与考古</x:v>
      </x:c>
      <x:c r="E13" s="29" t="str">
        <x:v>历史、考古与博物馆</x:v>
      </x:c>
      <x:c r="F13" s="29" t="str">
        <x:v>Smithsonian Magazine - History</x:v>
      </x:c>
      <x:c r="G13" s="29" t="str"/>
      <x:c r="H13" s="29" t="str">
        <x:v>历史新闻、馆藏故事、考古报道</x:v>
      </x:c>
      <x:c r="I13" s="29" t="str">
        <x:v>en</x:v>
      </x:c>
      <x:c r="J13" s="29" t="str">
        <x:v>证据源</x:v>
      </x:c>
      <x:c r="K13" s="29" t="str">
        <x:v>Open</x:v>
      </x:c>
      <x:c r="L13" s="29" t="str">
        <x:v>每日更新</x:v>
      </x:c>
      <x:c r="M13" s="29" t="str">
        <x:v>https://www.smithsonianmag.com/history/</x:v>
      </x:c>
      <x:c r="N13" s="29" t="str">
        <x:v>https://www.smithsonianmag.com/rss/history/</x:v>
      </x:c>
      <x:c r="O13" s="29" t="str">
        <x:v>有效</x:v>
      </x:c>
      <x:c r="P13" s="72" t="n">
        <x:v>5</x:v>
      </x:c>
      <x:c r="Q13" s="72" t="n">
        <x:v>5</x:v>
      </x:c>
      <x:c r="R13" s="72" t="n">
        <x:v>5</x:v>
      </x:c>
      <x:c r="S13" s="72" t="n">
        <x:v>4</x:v>
      </x:c>
      <x:c r="T13" s="72" t="n">
        <x:v>5</x:v>
      </x:c>
      <x:c r="U13" s="72" t="n">
        <x:v>4</x:v>
      </x:c>
      <x:c r="V13" s="72" t="n">
        <x:v>5</x:v>
      </x:c>
      <x:c r="W13" s="29" t="str">
        <x:v>纪念日、文物背后的故事和历史误解纠正。</x:v>
      </x:c>
      <x:c r="X13" s="29" t="str">
        <x:v>依托 Smithsonian 机构和专家网络，历史、文物与考古内容来源链较完整。</x:v>
      </x:c>
      <x:c r="Y13" s="29" t="str">
        <x:v>2026-08-17：Smithsonian 官方 RSS 列表含 History，端点返回 application/xml。</x:v>
      </x:c>
      <x:c r="Z13" s="75" t="b">
        <x:v>0</x:v>
      </x:c>
      <x:c r="AA13" s="29"/>
      <x:c r="AB13" s="29" t="str">
        <x:v>扩展调研：人文、历史、哲学与设计</x:v>
      </x:c>
      <x:c r="AC13" s="29" t="str">
        <x:v>https://www.smithsonianmag.com/rss/</x:v>
      </x:c>
      <x:c r="AD13" s="29" t="str">
        <x:v>2026-08-17</x:v>
      </x:c>
      <x:c r="AE13" s="29" t="n">
        <x:v>200</x:v>
      </x:c>
      <x:c r="AF13" s="29" t="str">
        <x:v>https://www.smithsonianmag.com/rss/history/</x:v>
      </x:c>
      <x:c r="AG13" s="29" t="str"/>
    </x:row>
    <x:row r="14" ht="44" customHeight="1">
      <x:c r="A14" s="29" t="str">
        <x:v>SRC-010</x:v>
      </x:c>
      <x:c r="B14" s="29" t="str">
        <x:f>IF(C14&gt;=93,"S",IF(C14&gt;=90,"A",IF(C14&gt;=80,"B","C")))</x:f>
        <x:v>S</x:v>
      </x:c>
      <x:c r="C14" s="72" t="n">
        <x:f>ROUND((P14*0.20+Q14*0.18+R14*0.20+S14*0.15+T14*0.12+U14*0.10+V14*0.05)*20,0)</x:f>
        <x:v>95</x:v>
      </x:c>
      <x:c r="D14" s="29" t="str">
        <x:v>商业、管理与创新</x:v>
      </x:c>
      <x:c r="E14" s="29" t="str">
        <x:v>美国及全球经济时间序列</x:v>
      </x:c>
      <x:c r="F14" s="29" t="str">
        <x:v>FRED</x:v>
      </x:c>
      <x:c r="G14" s="29" t="str"/>
      <x:c r="H14" s="29" t="str">
        <x:v>经济数据库 / API</x:v>
      </x:c>
      <x:c r="I14" s="29" t="str">
        <x:v>en</x:v>
      </x:c>
      <x:c r="J14" s="29" t="str">
        <x:v>证据源</x:v>
      </x:c>
      <x:c r="K14" s="29" t="str">
        <x:v>Open</x:v>
      </x:c>
      <x:c r="L14" s="29" t="str">
        <x:v>每日/持续更新</x:v>
      </x:c>
      <x:c r="M14" s="29" t="str">
        <x:v>https://fred.stlouisfed.org/</x:v>
      </x:c>
      <x:c r="N14" s="29" t="str">
        <x:v>https://api.stlouisfed.org/fred/</x:v>
      </x:c>
      <x:c r="O14" s="29" t="str">
        <x:v>API入口</x:v>
      </x:c>
      <x:c r="P14" s="72" t="n">
        <x:v>5</x:v>
      </x:c>
      <x:c r="Q14" s="72" t="n">
        <x:v>5</x:v>
      </x:c>
      <x:c r="R14" s="72" t="n">
        <x:v>5</x:v>
      </x:c>
      <x:c r="S14" s="72" t="n">
        <x:v>4</x:v>
      </x:c>
      <x:c r="T14" s="72" t="n">
        <x:v>5</x:v>
      </x:c>
      <x:c r="U14" s="72" t="n">
        <x:v>4</x:v>
      </x:c>
      <x:c r="V14" s="72" t="n">
        <x:v>5</x:v>
      </x:c>
      <x:c r="W14" s="29" t="str">
        <x:v>时间序列图、经济周期与政策背景</x:v>
      </x:c>
      <x:c r="X14" s="29" t="str">
        <x:v>时间序列丰富、元数据清晰，适合宏观和市场背景图。</x:v>
      </x:c>
      <x:c r="Y14" s="29" t="str">
        <x:v>API 需免费密钥；不同序列的季调、单位和修订规则要核对。；未按 RSS/Atom 校验。</x:v>
      </x:c>
      <x:c r="Z14" s="75" t="b">
        <x:v>0</x:v>
      </x:c>
      <x:c r="AA14" s="29"/>
      <x:c r="AB14" s="29" t="str">
        <x:v>扩展调研：数据库、资料库与平台</x:v>
      </x:c>
      <x:c r="AC14" s="29" t="str">
        <x:v>https://fred.stlouisfed.org/</x:v>
      </x:c>
      <x:c r="AD14" s="29" t="str">
        <x:v>2026-08-17</x:v>
      </x:c>
      <x:c r="AE14" s="29"/>
      <x:c r="AF14" s="29" t="str">
        <x:v>https://api.stlouisfed.org/fred/</x:v>
      </x:c>
      <x:c r="AG14" s="29" t="str"/>
    </x:row>
    <x:row r="15" ht="44" customHeight="1">
      <x:c r="A15" s="29" t="str">
        <x:v>SRC-011</x:v>
      </x:c>
      <x:c r="B15" s="29" t="str">
        <x:f>IF(C15&gt;=93,"S",IF(C15&gt;=90,"A",IF(C15&gt;=80,"B","C")))</x:f>
        <x:v>S</x:v>
      </x:c>
      <x:c r="C15" s="72" t="n">
        <x:f>ROUND((P15*0.20+Q15*0.18+R15*0.20+S15*0.15+T15*0.12+U15*0.10+V15*0.05)*20,0)</x:f>
        <x:v>95</x:v>
      </x:c>
      <x:c r="D15" s="29" t="str">
        <x:v>商业、管理与创新</x:v>
      </x:c>
      <x:c r="E15" s="29" t="str">
        <x:v>宏观经济与金融</x:v>
      </x:c>
      <x:c r="F15" s="29" t="str">
        <x:v>IMF Data</x:v>
      </x:c>
      <x:c r="G15" s="29" t="str"/>
      <x:c r="H15" s="29" t="str">
        <x:v>国际组织统计 / API</x:v>
      </x:c>
      <x:c r="I15" s="29" t="str">
        <x:v>en</x:v>
      </x:c>
      <x:c r="J15" s="29" t="str">
        <x:v>证据源</x:v>
      </x:c>
      <x:c r="K15" s="29" t="str">
        <x:v>Open</x:v>
      </x:c>
      <x:c r="L15" s="29" t="str">
        <x:v>持续更新</x:v>
      </x:c>
      <x:c r="M15" s="29" t="str">
        <x:v>https://www.imf.org/en/Data</x:v>
      </x:c>
      <x:c r="N15" s="29" t="str">
        <x:v>http://dataservices.imf.org/REST/SDMX_JSON.svc/</x:v>
      </x:c>
      <x:c r="O15" s="29" t="str">
        <x:v>API入口</x:v>
      </x:c>
      <x:c r="P15" s="72" t="n">
        <x:v>5</x:v>
      </x:c>
      <x:c r="Q15" s="72" t="n">
        <x:v>5</x:v>
      </x:c>
      <x:c r="R15" s="72" t="n">
        <x:v>5</x:v>
      </x:c>
      <x:c r="S15" s="72" t="n">
        <x:v>4</x:v>
      </x:c>
      <x:c r="T15" s="72" t="n">
        <x:v>5</x:v>
      </x:c>
      <x:c r="U15" s="72" t="n">
        <x:v>4</x:v>
      </x:c>
      <x:c r="V15" s="72" t="n">
        <x:v>5</x:v>
      </x:c>
      <x:c r="W15" s="29" t="str">
        <x:v>宏观图表、国家与周期比较</x:v>
      </x:c>
      <x:c r="X15" s="29" t="str">
        <x:v>全球宏观、财政、金融和国际收支数据的核心入口。</x:v>
      </x:c>
      <x:c r="Y15" s="29" t="str">
        <x:v>使用前核对数据口径、更新时间、许可与引用格式。；未按 RSS/Atom 校验。</x:v>
      </x:c>
      <x:c r="Z15" s="75" t="b">
        <x:v>0</x:v>
      </x:c>
      <x:c r="AA15" s="29"/>
      <x:c r="AB15" s="29" t="str">
        <x:v>扩展调研：数据库、资料库与平台</x:v>
      </x:c>
      <x:c r="AC15" s="29" t="str">
        <x:v>https://www.imf.org/en/Data</x:v>
      </x:c>
      <x:c r="AD15" s="29" t="str">
        <x:v>2026-08-17</x:v>
      </x:c>
      <x:c r="AE15" s="29"/>
      <x:c r="AF15" s="29" t="str">
        <x:v>http://dataservices.imf.org/REST/SDMX_JSON.svc/</x:v>
      </x:c>
      <x:c r="AG15" s="29" t="str"/>
    </x:row>
    <x:row r="16" ht="44" customHeight="1">
      <x:c r="A16" s="29" t="str">
        <x:v>SRC-012</x:v>
      </x:c>
      <x:c r="B16" s="29" t="str">
        <x:f>IF(C16&gt;=93,"S",IF(C16&gt;=90,"A",IF(C16&gt;=80,"B","C")))</x:f>
        <x:v>S</x:v>
      </x:c>
      <x:c r="C16" s="72" t="n">
        <x:f>ROUND((P16*0.20+Q16*0.18+R16*0.20+S16*0.15+T16*0.12+U16*0.10+V16*0.05)*20,0)</x:f>
        <x:v>95</x:v>
      </x:c>
      <x:c r="D16" s="29" t="str">
        <x:v>商业、管理与创新</x:v>
      </x:c>
      <x:c r="E16" s="29" t="str">
        <x:v>就业、工资与价格</x:v>
      </x:c>
      <x:c r="F16" s="29" t="str">
        <x:v>U.S. Bureau of Labor Statistics</x:v>
      </x:c>
      <x:c r="G16" s="29" t="str"/>
      <x:c r="H16" s="29" t="str">
        <x:v>官方统计 / API</x:v>
      </x:c>
      <x:c r="I16" s="29" t="str">
        <x:v>en</x:v>
      </x:c>
      <x:c r="J16" s="29" t="str">
        <x:v>证据源</x:v>
      </x:c>
      <x:c r="K16" s="29" t="str">
        <x:v>Open</x:v>
      </x:c>
      <x:c r="L16" s="29" t="str">
        <x:v>按月/季度</x:v>
      </x:c>
      <x:c r="M16" s="29" t="str">
        <x:v>https://www.bls.gov/data/</x:v>
      </x:c>
      <x:c r="N16" s="29" t="str">
        <x:v>https://www.bls.gov/developers/</x:v>
      </x:c>
      <x:c r="O16" s="29" t="str">
        <x:v>API入口</x:v>
      </x:c>
      <x:c r="P16" s="72" t="n">
        <x:v>5</x:v>
      </x:c>
      <x:c r="Q16" s="72" t="n">
        <x:v>5</x:v>
      </x:c>
      <x:c r="R16" s="72" t="n">
        <x:v>5</x:v>
      </x:c>
      <x:c r="S16" s="72" t="n">
        <x:v>4</x:v>
      </x:c>
      <x:c r="T16" s="72" t="n">
        <x:v>5</x:v>
      </x:c>
      <x:c r="U16" s="72" t="n">
        <x:v>4</x:v>
      </x:c>
      <x:c r="V16" s="72" t="n">
        <x:v>5</x:v>
      </x:c>
      <x:c r="W16" s="29" t="str">
        <x:v>劳动力、通胀与行业结构</x:v>
      </x:c>
      <x:c r="X16" s="29" t="str">
        <x:v>就业、通胀、生产率和职业数据口径透明。</x:v>
      </x:c>
      <x:c r="Y16" s="29" t="str">
        <x:v>使用前核对数据口径、更新时间、许可与引用格式。；未按 RSS/Atom 校验。</x:v>
      </x:c>
      <x:c r="Z16" s="75" t="b">
        <x:v>0</x:v>
      </x:c>
      <x:c r="AA16" s="29"/>
      <x:c r="AB16" s="29" t="str">
        <x:v>扩展调研：数据库、资料库与平台</x:v>
      </x:c>
      <x:c r="AC16" s="29" t="str">
        <x:v>https://www.bls.gov/data/</x:v>
      </x:c>
      <x:c r="AD16" s="29" t="str">
        <x:v>2026-08-17</x:v>
      </x:c>
      <x:c r="AE16" s="29"/>
      <x:c r="AF16" s="29" t="str">
        <x:v>https://www.bls.gov/developers/</x:v>
      </x:c>
      <x:c r="AG16" s="29" t="str"/>
    </x:row>
    <x:row r="17" ht="44" customHeight="1">
      <x:c r="A17" s="29" t="str">
        <x:v>SRC-013</x:v>
      </x:c>
      <x:c r="B17" s="29" t="str">
        <x:f>IF(C17&gt;=93,"S",IF(C17&gt;=90,"A",IF(C17&gt;=80,"B","C")))</x:f>
        <x:v>S</x:v>
      </x:c>
      <x:c r="C17" s="72" t="n">
        <x:f>ROUND((P17*0.20+Q17*0.18+R17*0.20+S17*0.15+T17*0.12+U17*0.10+V17*0.05)*20,0)</x:f>
        <x:v>95</x:v>
      </x:c>
      <x:c r="D17" s="29" t="str">
        <x:v>地球、地理与城市</x:v>
      </x:c>
      <x:c r="E17" s="29" t="str">
        <x:v>欧洲卫星遥感</x:v>
      </x:c>
      <x:c r="F17" s="29" t="str">
        <x:v>Copernicus Browser</x:v>
      </x:c>
      <x:c r="G17" s="29" t="str"/>
      <x:c r="H17" s="29" t="str">
        <x:v>Sentinel卫星影像、地表、气候和灾害数据</x:v>
      </x:c>
      <x:c r="I17" s="29" t="str">
        <x:v>en</x:v>
      </x:c>
      <x:c r="J17" s="29" t="str">
        <x:v>证据源</x:v>
      </x:c>
      <x:c r="K17" s="29" t="str">
        <x:v>Open</x:v>
      </x:c>
      <x:c r="L17" s="29" t="str">
        <x:v>近实时，随卫星过境</x:v>
      </x:c>
      <x:c r="M17" s="29" t="str">
        <x:v>https://browser.dataspace.copernicus.eu/</x:v>
      </x:c>
      <x:c r="N17" s="29" t="str"/>
      <x:c r="O17" s="29" t="str">
        <x:v>无RSS/API入口</x:v>
      </x:c>
      <x:c r="P17" s="72" t="n">
        <x:v>5</x:v>
      </x:c>
      <x:c r="Q17" s="72" t="n">
        <x:v>5</x:v>
      </x:c>
      <x:c r="R17" s="72" t="n">
        <x:v>5</x:v>
      </x:c>
      <x:c r="S17" s="72" t="n">
        <x:v>4</x:v>
      </x:c>
      <x:c r="T17" s="72" t="n">
        <x:v>5</x:v>
      </x:c>
      <x:c r="U17" s="72" t="n">
        <x:v>4</x:v>
      </x:c>
      <x:c r="V17" s="72" t="n">
        <x:v>5</x:v>
      </x:c>
      <x:c r="W17" s="29" t="str">
        <x:v>灾害前后对比、城市变化、地理图像</x:v>
      </x:c>
      <x:c r="X17" s="29" t="str">
        <x:v>可按地点和日期对比，适合生成一手地理视觉。</x:v>
      </x:c>
      <x:c r="Y17" s="29" t="str">
        <x:v>平台服务而非RSS；下载和发布时应附卫星、产品、日期和处理级别。</x:v>
      </x:c>
      <x:c r="Z17" s="75" t="b">
        <x:v>0</x:v>
      </x:c>
      <x:c r="AA17" s="29"/>
      <x:c r="AB17" s="29" t="str">
        <x:v>扩展调研：科技、科学与数据</x:v>
      </x:c>
      <x:c r="AC17" s="29" t="str">
        <x:v>https://browser.dataspace.copernicus.eu/</x:v>
      </x:c>
      <x:c r="AD17" s="29" t="str">
        <x:v>2026-08-17</x:v>
      </x:c>
      <x:c r="AE17" s="29"/>
      <x:c r="AF17" s="29" t="str"/>
      <x:c r="AG17" s="29" t="str"/>
    </x:row>
    <x:row r="18" ht="44" customHeight="1">
      <x:c r="A18" s="29" t="str">
        <x:v>SRC-014</x:v>
      </x:c>
      <x:c r="B18" s="29" t="str">
        <x:f>IF(C18&gt;=93,"S",IF(C18&gt;=90,"A",IF(C18&gt;=80,"B","C")))</x:f>
        <x:v>S</x:v>
      </x:c>
      <x:c r="C18" s="72" t="n">
        <x:f>ROUND((P18*0.20+Q18*0.18+R18*0.20+S18*0.15+T18*0.12+U18*0.10+V18*0.05)*20,0)</x:f>
        <x:v>95</x:v>
      </x:c>
      <x:c r="D18" s="29" t="str">
        <x:v>地球、地理与城市</x:v>
      </x:c>
      <x:c r="E18" s="29" t="str">
        <x:v>ERA5 与气候再分析</x:v>
      </x:c>
      <x:c r="F18" s="29" t="str">
        <x:v>Copernicus Climate Data Store</x:v>
      </x:c>
      <x:c r="G18" s="29" t="str"/>
      <x:c r="H18" s="29" t="str">
        <x:v>气候数据平台 / API</x:v>
      </x:c>
      <x:c r="I18" s="29" t="str">
        <x:v>en</x:v>
      </x:c>
      <x:c r="J18" s="29" t="str">
        <x:v>证据源</x:v>
      </x:c>
      <x:c r="K18" s="29" t="str">
        <x:v>Open</x:v>
      </x:c>
      <x:c r="L18" s="29" t="str">
        <x:v>持续更新</x:v>
      </x:c>
      <x:c r="M18" s="29" t="str">
        <x:v>https://cds.climate.copernicus.eu/</x:v>
      </x:c>
      <x:c r="N18" s="29" t="str">
        <x:v>https://cds.climate.copernicus.eu/api-how-to</x:v>
      </x:c>
      <x:c r="O18" s="29" t="str">
        <x:v>API入口</x:v>
      </x:c>
      <x:c r="P18" s="72" t="n">
        <x:v>5</x:v>
      </x:c>
      <x:c r="Q18" s="72" t="n">
        <x:v>5</x:v>
      </x:c>
      <x:c r="R18" s="72" t="n">
        <x:v>5</x:v>
      </x:c>
      <x:c r="S18" s="72" t="n">
        <x:v>4</x:v>
      </x:c>
      <x:c r="T18" s="72" t="n">
        <x:v>5</x:v>
      </x:c>
      <x:c r="U18" s="72" t="n">
        <x:v>4</x:v>
      </x:c>
      <x:c r="V18" s="72" t="n">
        <x:v>5</x:v>
      </x:c>
      <x:c r="W18" s="29" t="str">
        <x:v>气候异常、时间序列与地图</x:v>
      </x:c>
      <x:c r="X18" s="29" t="str">
        <x:v>ERA5 等权威气候再分析与预测数据入口。</x:v>
      </x:c>
      <x:c r="Y18" s="29" t="str">
        <x:v>使用前核对数据口径、更新时间、许可与引用格式。；未按 RSS/Atom 校验。</x:v>
      </x:c>
      <x:c r="Z18" s="75" t="b">
        <x:v>0</x:v>
      </x:c>
      <x:c r="AA18" s="29"/>
      <x:c r="AB18" s="29" t="str">
        <x:v>扩展调研：数据库、资料库与平台</x:v>
      </x:c>
      <x:c r="AC18" s="29" t="str">
        <x:v>https://cds.climate.copernicus.eu/</x:v>
      </x:c>
      <x:c r="AD18" s="29" t="str">
        <x:v>2026-08-17</x:v>
      </x:c>
      <x:c r="AE18" s="29"/>
      <x:c r="AF18" s="29" t="str">
        <x:v>https://cds.climate.copernicus.eu/api-how-to</x:v>
      </x:c>
      <x:c r="AG18" s="29" t="str"/>
    </x:row>
    <x:row r="19" ht="44" customHeight="1">
      <x:c r="A19" s="29" t="str">
        <x:v>SRC-015</x:v>
      </x:c>
      <x:c r="B19" s="29" t="str">
        <x:f>IF(C19&gt;=93,"S",IF(C19&gt;=90,"A",IF(C19&gt;=80,"B","C")))</x:f>
        <x:v>S</x:v>
      </x:c>
      <x:c r="C19" s="72" t="n">
        <x:f>ROUND((P19*0.20+Q19*0.18+R19*0.20+S19*0.15+T19*0.12+U19*0.10+V19*0.05)*20,0)</x:f>
        <x:v>95</x:v>
      </x:c>
      <x:c r="D19" s="29" t="str">
        <x:v>地球、地理与城市</x:v>
      </x:c>
      <x:c r="E19" s="29" t="str">
        <x:v>Sentinel 卫星数据</x:v>
      </x:c>
      <x:c r="F19" s="29" t="str">
        <x:v>Copernicus Data Space Ecosystem</x:v>
      </x:c>
      <x:c r="G19" s="29" t="str"/>
      <x:c r="H19" s="29" t="str">
        <x:v>遥感数据平台 / API</x:v>
      </x:c>
      <x:c r="I19" s="29" t="str">
        <x:v>en</x:v>
      </x:c>
      <x:c r="J19" s="29" t="str">
        <x:v>证据源</x:v>
      </x:c>
      <x:c r="K19" s="29" t="str">
        <x:v>Open</x:v>
      </x:c>
      <x:c r="L19" s="29" t="str">
        <x:v>持续更新</x:v>
      </x:c>
      <x:c r="M19" s="29" t="str">
        <x:v>https://dataspace.copernicus.eu/</x:v>
      </x:c>
      <x:c r="N19" s="29" t="str">
        <x:v>https://dataspace.copernicus.eu/analyse/apis</x:v>
      </x:c>
      <x:c r="O19" s="29" t="str">
        <x:v>API入口</x:v>
      </x:c>
      <x:c r="P19" s="72" t="n">
        <x:v>5</x:v>
      </x:c>
      <x:c r="Q19" s="72" t="n">
        <x:v>5</x:v>
      </x:c>
      <x:c r="R19" s="72" t="n">
        <x:v>5</x:v>
      </x:c>
      <x:c r="S19" s="72" t="n">
        <x:v>4</x:v>
      </x:c>
      <x:c r="T19" s="72" t="n">
        <x:v>5</x:v>
      </x:c>
      <x:c r="U19" s="72" t="n">
        <x:v>4</x:v>
      </x:c>
      <x:c r="V19" s="72" t="n">
        <x:v>5</x:v>
      </x:c>
      <x:c r="W19" s="29" t="str">
        <x:v>洪水、火灾、农业与城市变化</x:v>
      </x:c>
      <x:c r="X19" s="29" t="str">
        <x:v>欧洲 Sentinel 数据的官方发现、处理与下载入口。</x:v>
      </x:c>
      <x:c r="Y19" s="29" t="str">
        <x:v>使用前核对数据口径、更新时间、许可与引用格式。；未按 RSS/Atom 校验。</x:v>
      </x:c>
      <x:c r="Z19" s="75" t="b">
        <x:v>0</x:v>
      </x:c>
      <x:c r="AA19" s="29"/>
      <x:c r="AB19" s="29" t="str">
        <x:v>扩展调研：数据库、资料库与平台</x:v>
      </x:c>
      <x:c r="AC19" s="29" t="str">
        <x:v>https://dataspace.copernicus.eu/</x:v>
      </x:c>
      <x:c r="AD19" s="29" t="str">
        <x:v>2026-08-17</x:v>
      </x:c>
      <x:c r="AE19" s="29"/>
      <x:c r="AF19" s="29" t="str">
        <x:v>https://dataspace.copernicus.eu/analyse/apis</x:v>
      </x:c>
      <x:c r="AG19" s="29" t="str"/>
    </x:row>
    <x:row r="20" ht="44" customHeight="1">
      <x:c r="A20" s="29" t="str">
        <x:v>SRC-016</x:v>
      </x:c>
      <x:c r="B20" s="29" t="str">
        <x:f>IF(C20&gt;=93,"S",IF(C20&gt;=90,"A",IF(C20&gt;=80,"B","C")))</x:f>
        <x:v>S</x:v>
      </x:c>
      <x:c r="C20" s="72" t="n">
        <x:f>ROUND((P20*0.20+Q20*0.18+R20*0.20+S20*0.15+T20*0.12+U20*0.10+V20*0.05)*20,0)</x:f>
        <x:v>95</x:v>
      </x:c>
      <x:c r="D20" s="29" t="str">
        <x:v>地球、地理与城市</x:v>
      </x:c>
      <x:c r="E20" s="29" t="str">
        <x:v>全球生物多样性记录</x:v>
      </x:c>
      <x:c r="F20" s="29" t="str">
        <x:v>GBIF</x:v>
      </x:c>
      <x:c r="G20" s="29" t="str"/>
      <x:c r="H20" s="29" t="str">
        <x:v>生物多样性数据库 / API</x:v>
      </x:c>
      <x:c r="I20" s="29" t="str">
        <x:v>multilingual</x:v>
      </x:c>
      <x:c r="J20" s="29" t="str">
        <x:v>证据源</x:v>
      </x:c>
      <x:c r="K20" s="29" t="str">
        <x:v>Open</x:v>
      </x:c>
      <x:c r="L20" s="29" t="str">
        <x:v>持续更新</x:v>
      </x:c>
      <x:c r="M20" s="29" t="str">
        <x:v>https://www.gbif.org/</x:v>
      </x:c>
      <x:c r="N20" s="29" t="str">
        <x:v>https://techdocs.gbif.org/en/openapi/</x:v>
      </x:c>
      <x:c r="O20" s="29" t="str">
        <x:v>API入口</x:v>
      </x:c>
      <x:c r="P20" s="72" t="n">
        <x:v>5</x:v>
      </x:c>
      <x:c r="Q20" s="72" t="n">
        <x:v>5</x:v>
      </x:c>
      <x:c r="R20" s="72" t="n">
        <x:v>5</x:v>
      </x:c>
      <x:c r="S20" s="72" t="n">
        <x:v>4</x:v>
      </x:c>
      <x:c r="T20" s="72" t="n">
        <x:v>5</x:v>
      </x:c>
      <x:c r="U20" s="72" t="n">
        <x:v>4</x:v>
      </x:c>
      <x:c r="V20" s="72" t="n">
        <x:v>5</x:v>
      </x:c>
      <x:c r="W20" s="29" t="str">
        <x:v>物种地图、生态变化、采样偏差</x:v>
      </x:c>
      <x:c r="X20" s="29" t="str">
        <x:v>亿级物种出现记录，可做分布、迁徙和采样偏差图。</x:v>
      </x:c>
      <x:c r="Y20" s="29" t="str">
        <x:v>记录质量和采样强度不均；使用过滤并引用数据集 DOI。；未按 RSS/Atom 校验。</x:v>
      </x:c>
      <x:c r="Z20" s="75" t="b">
        <x:v>0</x:v>
      </x:c>
      <x:c r="AA20" s="29"/>
      <x:c r="AB20" s="29" t="str">
        <x:v>扩展调研：数据库、资料库与平台</x:v>
      </x:c>
      <x:c r="AC20" s="29" t="str">
        <x:v>https://www.gbif.org/</x:v>
      </x:c>
      <x:c r="AD20" s="29" t="str">
        <x:v>2026-08-17</x:v>
      </x:c>
      <x:c r="AE20" s="29"/>
      <x:c r="AF20" s="29" t="str">
        <x:v>https://techdocs.gbif.org/en/openapi/</x:v>
      </x:c>
      <x:c r="AG20" s="29" t="str"/>
    </x:row>
    <x:row r="21" ht="44" customHeight="1">
      <x:c r="A21" s="29" t="str">
        <x:v>SRC-017</x:v>
      </x:c>
      <x:c r="B21" s="29" t="str">
        <x:f>IF(C21&gt;=93,"S",IF(C21&gt;=90,"A",IF(C21&gt;=80,"B","C")))</x:f>
        <x:v>S</x:v>
      </x:c>
      <x:c r="C21" s="72" t="n">
        <x:f>ROUND((P21*0.20+Q21*0.18+R21*0.20+S21*0.15+T21*0.12+U21*0.10+V21*0.05)*20,0)</x:f>
        <x:v>95</x:v>
      </x:c>
      <x:c r="D21" s="29" t="str">
        <x:v>地球、地理与城市</x:v>
      </x:c>
      <x:c r="E21" s="29" t="str">
        <x:v>地图、照片、录音与手稿</x:v>
      </x:c>
      <x:c r="F21" s="29" t="str">
        <x:v>Library of Congress Digital Collections</x:v>
      </x:c>
      <x:c r="G21" s="29" t="str"/>
      <x:c r="H21" s="29" t="str">
        <x:v>国家馆藏 / API</x:v>
      </x:c>
      <x:c r="I21" s="29" t="str">
        <x:v>en</x:v>
      </x:c>
      <x:c r="J21" s="29" t="str">
        <x:v>证据源</x:v>
      </x:c>
      <x:c r="K21" s="29" t="str">
        <x:v>Open</x:v>
      </x:c>
      <x:c r="L21" s="29" t="str">
        <x:v>持续更新</x:v>
      </x:c>
      <x:c r="M21" s="29" t="str">
        <x:v>https://www.loc.gov/collections/</x:v>
      </x:c>
      <x:c r="N21" s="29" t="str">
        <x:v>https://www.loc.gov/collections/?fo=json</x:v>
      </x:c>
      <x:c r="O21" s="29" t="str">
        <x:v>API入口</x:v>
      </x:c>
      <x:c r="P21" s="72" t="n">
        <x:v>5</x:v>
      </x:c>
      <x:c r="Q21" s="72" t="n">
        <x:v>5</x:v>
      </x:c>
      <x:c r="R21" s="72" t="n">
        <x:v>5</x:v>
      </x:c>
      <x:c r="S21" s="72" t="n">
        <x:v>4</x:v>
      </x:c>
      <x:c r="T21" s="72" t="n">
        <x:v>5</x:v>
      </x:c>
      <x:c r="U21" s="72" t="n">
        <x:v>4</x:v>
      </x:c>
      <x:c r="V21" s="72" t="n">
        <x:v>5</x:v>
      </x:c>
      <x:c r="W21" s="29" t="str">
        <x:v>历史图卡、地图与原始文献</x:v>
      </x:c>
      <x:c r="X21" s="29" t="str">
        <x:v>高质量一手图像、地图、录音和文献，并附权利说明。</x:v>
      </x:c>
      <x:c r="Y21" s="29" t="str">
        <x:v>逐项阅读 Rights &amp; Access；馆藏机构不一定拥有版权。；未按 RSS/Atom 校验。</x:v>
      </x:c>
      <x:c r="Z21" s="75" t="b">
        <x:v>0</x:v>
      </x:c>
      <x:c r="AA21" s="29"/>
      <x:c r="AB21" s="29" t="str">
        <x:v>扩展调研：数据库、资料库与平台</x:v>
      </x:c>
      <x:c r="AC21" s="29" t="str">
        <x:v>https://www.loc.gov/apis/</x:v>
      </x:c>
      <x:c r="AD21" s="29" t="str">
        <x:v>2026-08-17</x:v>
      </x:c>
      <x:c r="AE21" s="29"/>
      <x:c r="AF21" s="29" t="str">
        <x:v>https://www.loc.gov/collections/?fo=json</x:v>
      </x:c>
      <x:c r="AG21" s="29" t="str"/>
    </x:row>
    <x:row r="22" ht="44" customHeight="1">
      <x:c r="A22" s="29" t="str">
        <x:v>SRC-018</x:v>
      </x:c>
      <x:c r="B22" s="29" t="str">
        <x:f>IF(C22&gt;=93,"S",IF(C22&gt;=90,"A",IF(C22&gt;=80,"B","C")))</x:f>
        <x:v>S</x:v>
      </x:c>
      <x:c r="C22" s="72" t="n">
        <x:f>ROUND((P22*0.20+Q22*0.18+R22*0.20+S22*0.15+T22*0.12+U22*0.10+V22*0.05)*20,0)</x:f>
        <x:v>95</x:v>
      </x:c>
      <x:c r="D22" s="29" t="str">
        <x:v>地球、地理与城市</x:v>
      </x:c>
      <x:c r="E22" s="29" t="str">
        <x:v>地球遥感与卫星图像</x:v>
      </x:c>
      <x:c r="F22" s="29" t="str">
        <x:v>NASA Earth Observatory</x:v>
      </x:c>
      <x:c r="G22" s="29" t="str"/>
      <x:c r="H22" s="29" t="str">
        <x:v>每日卫星图、气候与灾害科学说明</x:v>
      </x:c>
      <x:c r="I22" s="29" t="str">
        <x:v>en</x:v>
      </x:c>
      <x:c r="J22" s="29" t="str">
        <x:v>证据源</x:v>
      </x:c>
      <x:c r="K22" s="29" t="str">
        <x:v>Open</x:v>
      </x:c>
      <x:c r="L22" s="29" t="str">
        <x:v>近每日</x:v>
      </x:c>
      <x:c r="M22" s="29" t="str">
        <x:v>https://earthobservatory.nasa.gov/</x:v>
      </x:c>
      <x:c r="N22" s="29" t="str">
        <x:v>https://science.nasa.gov/feed/?science_org=19791%2C22453</x:v>
      </x:c>
      <x:c r="O22" s="29" t="str">
        <x:v>重定向后有效</x:v>
      </x:c>
      <x:c r="P22" s="72" t="n">
        <x:v>5</x:v>
      </x:c>
      <x:c r="Q22" s="72" t="n">
        <x:v>5</x:v>
      </x:c>
      <x:c r="R22" s="72" t="n">
        <x:v>5</x:v>
      </x:c>
      <x:c r="S22" s="72" t="n">
        <x:v>4</x:v>
      </x:c>
      <x:c r="T22" s="72" t="n">
        <x:v>5</x:v>
      </x:c>
      <x:c r="U22" s="72" t="n">
        <x:v>4</x:v>
      </x:c>
      <x:c r="V22" s="72" t="n">
        <x:v>5</x:v>
      </x:c>
      <x:c r="W22" s="29" t="str">
        <x:v>卫星图解、地理冷知识、气候事件</x:v>
      </x:c>
      <x:c r="X22" s="29" t="str">
        <x:v>图像传播力强，同时附科学背景和数据出处。</x:v>
      </x:c>
      <x:c r="Y22" s="29" t="str">
        <x:v>旧Feed已核验会重定向到NASA Science的限定Feed；保留旧URL便于兼容阅读器。</x:v>
      </x:c>
      <x:c r="Z22" s="75" t="b">
        <x:v>0</x:v>
      </x:c>
      <x:c r="AA22" s="29"/>
      <x:c r="AB22" s="29" t="str">
        <x:v>扩展调研：科技、科学与数据</x:v>
      </x:c>
      <x:c r="AC22" s="29" t="str">
        <x:v>https://earthobservatory.nasa.gov/feeds/image-of-the-day.rss</x:v>
      </x:c>
      <x:c r="AD22" s="29" t="str">
        <x:v>2026-08-17</x:v>
      </x:c>
      <x:c r="AE22" s="29" t="n">
        <x:v>200</x:v>
      </x:c>
      <x:c r="AF22" s="29" t="str">
        <x:v>https://science.nasa.gov/feed/?science_org=19791%2C22453</x:v>
      </x:c>
      <x:c r="AG22" s="29" t="str"/>
    </x:row>
    <x:row r="23" ht="44" customHeight="1">
      <x:c r="A23" s="29" t="str">
        <x:v>SRC-019</x:v>
      </x:c>
      <x:c r="B23" s="29" t="str">
        <x:f>IF(C23&gt;=93,"S",IF(C23&gt;=90,"A",IF(C23&gt;=80,"B","C")))</x:f>
        <x:v>S</x:v>
      </x:c>
      <x:c r="C23" s="72" t="n">
        <x:f>ROUND((P23*0.20+Q23*0.18+R23*0.20+S23*0.15+T23*0.12+U23*0.10+V23*0.05)*20,0)</x:f>
        <x:v>95</x:v>
      </x:c>
      <x:c r="D23" s="29" t="str">
        <x:v>地球、地理与城市</x:v>
      </x:c>
      <x:c r="E23" s="29" t="str">
        <x:v>地球观测数据目录</x:v>
      </x:c>
      <x:c r="F23" s="29" t="str">
        <x:v>NASA Earthdata</x:v>
      </x:c>
      <x:c r="G23" s="29" t="str"/>
      <x:c r="H23" s="29" t="str">
        <x:v>地球科学数据平台 / API</x:v>
      </x:c>
      <x:c r="I23" s="29" t="str">
        <x:v>en</x:v>
      </x:c>
      <x:c r="J23" s="29" t="str">
        <x:v>证据源</x:v>
      </x:c>
      <x:c r="K23" s="29" t="str">
        <x:v>Open</x:v>
      </x:c>
      <x:c r="L23" s="29" t="str">
        <x:v>持续更新</x:v>
      </x:c>
      <x:c r="M23" s="29" t="str">
        <x:v>https://www.earthdata.nasa.gov/</x:v>
      </x:c>
      <x:c r="N23" s="29" t="str">
        <x:v>https://cmr.earthdata.nasa.gov/search/</x:v>
      </x:c>
      <x:c r="O23" s="29" t="str">
        <x:v>API入口</x:v>
      </x:c>
      <x:c r="P23" s="72" t="n">
        <x:v>5</x:v>
      </x:c>
      <x:c r="Q23" s="72" t="n">
        <x:v>5</x:v>
      </x:c>
      <x:c r="R23" s="72" t="n">
        <x:v>5</x:v>
      </x:c>
      <x:c r="S23" s="72" t="n">
        <x:v>4</x:v>
      </x:c>
      <x:c r="T23" s="72" t="n">
        <x:v>5</x:v>
      </x:c>
      <x:c r="U23" s="72" t="n">
        <x:v>4</x:v>
      </x:c>
      <x:c r="V23" s="72" t="n">
        <x:v>5</x:v>
      </x:c>
      <x:c r="W23" s="29" t="str">
        <x:v>卫星数据、气候与灾害图</x:v>
      </x:c>
      <x:c r="X23" s="29" t="str">
        <x:v>跨任务检索卫星、气候、海洋和陆地数据。</x:v>
      </x:c>
      <x:c r="Y23" s="29" t="str">
        <x:v>使用前核对数据口径、更新时间、许可与引用格式。；未按 RSS/Atom 校验。</x:v>
      </x:c>
      <x:c r="Z23" s="75" t="b">
        <x:v>0</x:v>
      </x:c>
      <x:c r="AA23" s="29"/>
      <x:c r="AB23" s="29" t="str">
        <x:v>扩展调研：数据库、资料库与平台</x:v>
      </x:c>
      <x:c r="AC23" s="29" t="str">
        <x:v>https://www.earthdata.nasa.gov/</x:v>
      </x:c>
      <x:c r="AD23" s="29" t="str">
        <x:v>2026-08-17</x:v>
      </x:c>
      <x:c r="AE23" s="29"/>
      <x:c r="AF23" s="29" t="str">
        <x:v>https://cmr.earthdata.nasa.gov/search/</x:v>
      </x:c>
      <x:c r="AG23" s="29" t="str"/>
    </x:row>
    <x:row r="24" ht="44" customHeight="1">
      <x:c r="A24" s="29" t="str">
        <x:v>SRC-020</x:v>
      </x:c>
      <x:c r="B24" s="29" t="str">
        <x:f>IF(C24&gt;=93,"S",IF(C24&gt;=90,"A",IF(C24&gt;=80,"B","C")))</x:f>
        <x:v>S</x:v>
      </x:c>
      <x:c r="C24" s="72" t="n">
        <x:f>ROUND((P24*0.20+Q24*0.18+R24*0.20+S24*0.15+T24*0.12+U24*0.10+V24*0.05)*20,0)</x:f>
        <x:v>95</x:v>
      </x:c>
      <x:c r="D24" s="29" t="str">
        <x:v>地球、地理与城市</x:v>
      </x:c>
      <x:c r="E24" s="29" t="str">
        <x:v>近实时火灾热点</x:v>
      </x:c>
      <x:c r="F24" s="29" t="str">
        <x:v>NASA FIRMS</x:v>
      </x:c>
      <x:c r="G24" s="29" t="str"/>
      <x:c r="H24" s="29" t="str">
        <x:v>卫星灾害数据 / API</x:v>
      </x:c>
      <x:c r="I24" s="29" t="str">
        <x:v>en</x:v>
      </x:c>
      <x:c r="J24" s="29" t="str">
        <x:v>证据源</x:v>
      </x:c>
      <x:c r="K24" s="29" t="str">
        <x:v>Open</x:v>
      </x:c>
      <x:c r="L24" s="29" t="str">
        <x:v>近实时</x:v>
      </x:c>
      <x:c r="M24" s="29" t="str">
        <x:v>https://firms.modaps.eosdis.nasa.gov/</x:v>
      </x:c>
      <x:c r="N24" s="29" t="str">
        <x:v>https://firms.modaps.eosdis.nasa.gov/api/</x:v>
      </x:c>
      <x:c r="O24" s="29" t="str">
        <x:v>API入口</x:v>
      </x:c>
      <x:c r="P24" s="72" t="n">
        <x:v>5</x:v>
      </x:c>
      <x:c r="Q24" s="72" t="n">
        <x:v>5</x:v>
      </x:c>
      <x:c r="R24" s="72" t="n">
        <x:v>5</x:v>
      </x:c>
      <x:c r="S24" s="72" t="n">
        <x:v>4</x:v>
      </x:c>
      <x:c r="T24" s="72" t="n">
        <x:v>5</x:v>
      </x:c>
      <x:c r="U24" s="72" t="n">
        <x:v>4</x:v>
      </x:c>
      <x:c r="V24" s="72" t="n">
        <x:v>5</x:v>
      </x:c>
      <x:c r="W24" s="29" t="str">
        <x:v>野火地图、灾害解释与时间线</x:v>
      </x:c>
      <x:c r="X24" s="29" t="str">
        <x:v>近实时全球火点数据，适合灾害态势和区域比较。</x:v>
      </x:c>
      <x:c r="Y24" s="29" t="str">
        <x:v>使用前核对数据口径、更新时间、许可与引用格式。；未按 RSS/Atom 校验。</x:v>
      </x:c>
      <x:c r="Z24" s="75" t="b">
        <x:v>0</x:v>
      </x:c>
      <x:c r="AA24" s="29"/>
      <x:c r="AB24" s="29" t="str">
        <x:v>扩展调研：数据库、资料库与平台</x:v>
      </x:c>
      <x:c r="AC24" s="29" t="str">
        <x:v>https://firms.modaps.eosdis.nasa.gov/</x:v>
      </x:c>
      <x:c r="AD24" s="29" t="str">
        <x:v>2026-08-17</x:v>
      </x:c>
      <x:c r="AE24" s="29"/>
      <x:c r="AF24" s="29" t="str">
        <x:v>https://firms.modaps.eosdis.nasa.gov/api/</x:v>
      </x:c>
      <x:c r="AG24" s="29" t="str"/>
    </x:row>
    <x:row r="25" ht="44" customHeight="1">
      <x:c r="A25" s="29" t="str">
        <x:v>SRC-021</x:v>
      </x:c>
      <x:c r="B25" s="29" t="str">
        <x:f>IF(C25&gt;=93,"S",IF(C25&gt;=90,"A",IF(C25&gt;=80,"B","C")))</x:f>
        <x:v>S</x:v>
      </x:c>
      <x:c r="C25" s="72" t="n">
        <x:f>ROUND((P25*0.20+Q25*0.18+R25*0.20+S25*0.15+T25*0.12+U25*0.10+V25*0.05)*20,0)</x:f>
        <x:v>95</x:v>
      </x:c>
      <x:c r="D25" s="29" t="str">
        <x:v>地球、地理与城市</x:v>
      </x:c>
      <x:c r="E25" s="29" t="str">
        <x:v>公共领域底图数据</x:v>
      </x:c>
      <x:c r="F25" s="29" t="str">
        <x:v>Natural Earth</x:v>
      </x:c>
      <x:c r="G25" s="29" t="str"/>
      <x:c r="H25" s="29" t="str">
        <x:v>地图数据集</x:v>
      </x:c>
      <x:c r="I25" s="29" t="str">
        <x:v>en</x:v>
      </x:c>
      <x:c r="J25" s="29" t="str">
        <x:v>证据源</x:v>
      </x:c>
      <x:c r="K25" s="29" t="str">
        <x:v>Open</x:v>
      </x:c>
      <x:c r="L25" s="29" t="str">
        <x:v>版本发布</x:v>
      </x:c>
      <x:c r="M25" s="29" t="str">
        <x:v>https://www.naturalearthdata.com/</x:v>
      </x:c>
      <x:c r="N25" s="29" t="str"/>
      <x:c r="O25" s="29" t="str">
        <x:v>无RSS/API入口</x:v>
      </x:c>
      <x:c r="P25" s="72" t="n">
        <x:v>5</x:v>
      </x:c>
      <x:c r="Q25" s="72" t="n">
        <x:v>5</x:v>
      </x:c>
      <x:c r="R25" s="72" t="n">
        <x:v>5</x:v>
      </x:c>
      <x:c r="S25" s="72" t="n">
        <x:v>4</x:v>
      </x:c>
      <x:c r="T25" s="72" t="n">
        <x:v>5</x:v>
      </x:c>
      <x:c r="U25" s="72" t="n">
        <x:v>4</x:v>
      </x:c>
      <x:c r="V25" s="72" t="n">
        <x:v>5</x:v>
      </x:c>
      <x:c r="W25" s="29" t="str">
        <x:v>世界地图、地缘与地理图卡</x:v>
      </x:c>
      <x:c r="X25" s="29" t="str">
        <x:v>制图友好的国家、城市、河流与地形矢量/栅格数据。</x:v>
      </x:c>
      <x:c r="Y25" s="29" t="str">
        <x:v>地图边界是制图资料，不代表任何政治立场；标明版本和尺度。</x:v>
      </x:c>
      <x:c r="Z25" s="75" t="b">
        <x:v>0</x:v>
      </x:c>
      <x:c r="AA25" s="29"/>
      <x:c r="AB25" s="29" t="str">
        <x:v>扩展调研：数据库、资料库与平台</x:v>
      </x:c>
      <x:c r="AC25" s="29" t="str">
        <x:v>https://www.naturalearthdata.com/</x:v>
      </x:c>
      <x:c r="AD25" s="29" t="str">
        <x:v>2026-08-17</x:v>
      </x:c>
      <x:c r="AE25" s="29"/>
      <x:c r="AF25" s="29" t="str"/>
      <x:c r="AG25" s="29" t="str"/>
    </x:row>
    <x:row r="26" ht="44" customHeight="1">
      <x:c r="A26" s="29" t="str">
        <x:v>SRC-022</x:v>
      </x:c>
      <x:c r="B26" s="29" t="str">
        <x:f>IF(C26&gt;=93,"S",IF(C26&gt;=90,"A",IF(C26&gt;=80,"B","C")))</x:f>
        <x:v>S</x:v>
      </x:c>
      <x:c r="C26" s="72" t="n">
        <x:f>ROUND((P26*0.20+Q26*0.18+R26*0.20+S26*0.15+T26*0.12+U26*0.10+V26*0.05)*20,0)</x:f>
        <x:v>95</x:v>
      </x:c>
      <x:c r="D26" s="29" t="str">
        <x:v>地球、地理与城市</x:v>
      </x:c>
      <x:c r="E26" s="29" t="str">
        <x:v>气候、海洋与环境数据</x:v>
      </x:c>
      <x:c r="F26" s="29" t="str">
        <x:v>NOAA NCEI</x:v>
      </x:c>
      <x:c r="G26" s="29" t="str"/>
      <x:c r="H26" s="29" t="str">
        <x:v>官方环境数据 / API</x:v>
      </x:c>
      <x:c r="I26" s="29" t="str">
        <x:v>en</x:v>
      </x:c>
      <x:c r="J26" s="29" t="str">
        <x:v>证据源</x:v>
      </x:c>
      <x:c r="K26" s="29" t="str">
        <x:v>Open</x:v>
      </x:c>
      <x:c r="L26" s="29" t="str">
        <x:v>持续更新</x:v>
      </x:c>
      <x:c r="M26" s="29" t="str">
        <x:v>https://www.ncei.noaa.gov/</x:v>
      </x:c>
      <x:c r="N26" s="29" t="str">
        <x:v>https://www.ncei.noaa.gov/access/services/data/v1</x:v>
      </x:c>
      <x:c r="O26" s="29" t="str">
        <x:v>API入口</x:v>
      </x:c>
      <x:c r="P26" s="72" t="n">
        <x:v>5</x:v>
      </x:c>
      <x:c r="Q26" s="72" t="n">
        <x:v>5</x:v>
      </x:c>
      <x:c r="R26" s="72" t="n">
        <x:v>5</x:v>
      </x:c>
      <x:c r="S26" s="72" t="n">
        <x:v>4</x:v>
      </x:c>
      <x:c r="T26" s="72" t="n">
        <x:v>5</x:v>
      </x:c>
      <x:c r="U26" s="72" t="n">
        <x:v>4</x:v>
      </x:c>
      <x:c r="V26" s="72" t="n">
        <x:v>5</x:v>
      </x:c>
      <x:c r="W26" s="29" t="str">
        <x:v>极端天气、长期趋势与地区比较</x:v>
      </x:c>
      <x:c r="X26" s="29" t="str">
        <x:v>长期气候和天气观测的权威档案。</x:v>
      </x:c>
      <x:c r="Y26" s="29" t="str">
        <x:v>使用前核对数据口径、更新时间、许可与引用格式。；未按 RSS/Atom 校验。</x:v>
      </x:c>
      <x:c r="Z26" s="75" t="b">
        <x:v>0</x:v>
      </x:c>
      <x:c r="AA26" s="29"/>
      <x:c r="AB26" s="29" t="str">
        <x:v>扩展调研：数据库、资料库与平台</x:v>
      </x:c>
      <x:c r="AC26" s="29" t="str">
        <x:v>https://www.ncei.noaa.gov/</x:v>
      </x:c>
      <x:c r="AD26" s="29" t="str">
        <x:v>2026-08-17</x:v>
      </x:c>
      <x:c r="AE26" s="29"/>
      <x:c r="AF26" s="29" t="str">
        <x:v>https://www.ncei.noaa.gov/access/services/data/v1</x:v>
      </x:c>
      <x:c r="AG26" s="29" t="str"/>
    </x:row>
    <x:row r="27" ht="44" customHeight="1">
      <x:c r="A27" s="29" t="str">
        <x:v>SRC-023</x:v>
      </x:c>
      <x:c r="B27" s="29" t="str">
        <x:f>IF(C27&gt;=93,"S",IF(C27&gt;=90,"A",IF(C27&gt;=80,"B","C")))</x:f>
        <x:v>S</x:v>
      </x:c>
      <x:c r="C27" s="72" t="n">
        <x:f>ROUND((P27*0.20+Q27*0.18+R27*0.20+S27*0.15+T27*0.12+U27*0.10+V27*0.05)*20,0)</x:f>
        <x:v>95</x:v>
      </x:c>
      <x:c r="D27" s="29" t="str">
        <x:v>地球、地理与城市</x:v>
      </x:c>
      <x:c r="E27" s="29" t="str">
        <x:v>开放协作地图</x:v>
      </x:c>
      <x:c r="F27" s="29" t="str">
        <x:v>OpenStreetMap</x:v>
      </x:c>
      <x:c r="G27" s="29" t="str"/>
      <x:c r="H27" s="29" t="str">
        <x:v>地理数据库 / Overpass API</x:v>
      </x:c>
      <x:c r="I27" s="29" t="str">
        <x:v>multilingual</x:v>
      </x:c>
      <x:c r="J27" s="29" t="str">
        <x:v>证据源</x:v>
      </x:c>
      <x:c r="K27" s="29" t="str">
        <x:v>Open</x:v>
      </x:c>
      <x:c r="L27" s="29" t="str">
        <x:v>实时/持续更新</x:v>
      </x:c>
      <x:c r="M27" s="29" t="str">
        <x:v>https://www.openstreetmap.org/</x:v>
      </x:c>
      <x:c r="N27" s="29" t="str">
        <x:v>https://overpass-api.de/api/interpreter</x:v>
      </x:c>
      <x:c r="O27" s="29" t="str">
        <x:v>API入口</x:v>
      </x:c>
      <x:c r="P27" s="72" t="n">
        <x:v>5</x:v>
      </x:c>
      <x:c r="Q27" s="72" t="n">
        <x:v>5</x:v>
      </x:c>
      <x:c r="R27" s="72" t="n">
        <x:v>5</x:v>
      </x:c>
      <x:c r="S27" s="72" t="n">
        <x:v>4</x:v>
      </x:c>
      <x:c r="T27" s="72" t="n">
        <x:v>5</x:v>
      </x:c>
      <x:c r="U27" s="72" t="n">
        <x:v>4</x:v>
      </x:c>
      <x:c r="V27" s="72" t="n">
        <x:v>5</x:v>
      </x:c>
      <x:c r="W27" s="29" t="str">
        <x:v>城市结构、服务可达性、路线图</x:v>
      </x:c>
      <x:c r="X27" s="29" t="str">
        <x:v>细粒度道路、建筑和设施数据，适合城市与交通分析。</x:v>
      </x:c>
      <x:c r="Y27" s="29" t="str">
        <x:v>遵守 ODbL 署名和衍生数据库要求；数据完整度地区差异大。；未按 RSS/Atom 校验。</x:v>
      </x:c>
      <x:c r="Z27" s="75" t="b">
        <x:v>0</x:v>
      </x:c>
      <x:c r="AA27" s="29"/>
      <x:c r="AB27" s="29" t="str">
        <x:v>扩展调研：数据库、资料库与平台</x:v>
      </x:c>
      <x:c r="AC27" s="29" t="str">
        <x:v>https://wiki.openstreetmap.org/wiki/Overpass_API</x:v>
      </x:c>
      <x:c r="AD27" s="29" t="str">
        <x:v>2026-08-17</x:v>
      </x:c>
      <x:c r="AE27" s="29"/>
      <x:c r="AF27" s="29" t="str">
        <x:v>https://overpass-api.de/api/interpreter</x:v>
      </x:c>
      <x:c r="AG27" s="29" t="str"/>
    </x:row>
    <x:row r="28" ht="44" customHeight="1">
      <x:c r="A28" s="29" t="str">
        <x:v>SRC-024</x:v>
      </x:c>
      <x:c r="B28" s="29" t="str">
        <x:f>IF(C28&gt;=93,"S",IF(C28&gt;=90,"A",IF(C28&gt;=80,"B","C")))</x:f>
        <x:v>S</x:v>
      </x:c>
      <x:c r="C28" s="72" t="n">
        <x:f>ROUND((P28*0.20+Q28*0.18+R28*0.20+S28*0.15+T28*0.12+U28*0.10+V28*0.05)*20,0)</x:f>
        <x:v>95</x:v>
      </x:c>
      <x:c r="D28" s="29" t="str">
        <x:v>天文与太空</x:v>
      </x:c>
      <x:c r="E28" s="29" t="str">
        <x:v>银河系测量与恒星目录</x:v>
      </x:c>
      <x:c r="F28" s="29" t="str">
        <x:v>ESA Gaia Archive</x:v>
      </x:c>
      <x:c r="G28" s="29" t="str"/>
      <x:c r="H28" s="29" t="str">
        <x:v>天文数据档案 / TAP API</x:v>
      </x:c>
      <x:c r="I28" s="29" t="str">
        <x:v>en</x:v>
      </x:c>
      <x:c r="J28" s="29" t="str">
        <x:v>证据源</x:v>
      </x:c>
      <x:c r="K28" s="29" t="str">
        <x:v>Open</x:v>
      </x:c>
      <x:c r="L28" s="29" t="str">
        <x:v>版本发布</x:v>
      </x:c>
      <x:c r="M28" s="29" t="str">
        <x:v>https://gea.esac.esa.int/archive/</x:v>
      </x:c>
      <x:c r="N28" s="29" t="str">
        <x:v>https://gea.esac.esa.int/tap-server/tap</x:v>
      </x:c>
      <x:c r="O28" s="29" t="str">
        <x:v>API入口</x:v>
      </x:c>
      <x:c r="P28" s="72" t="n">
        <x:v>5</x:v>
      </x:c>
      <x:c r="Q28" s="72" t="n">
        <x:v>5</x:v>
      </x:c>
      <x:c r="R28" s="72" t="n">
        <x:v>5</x:v>
      </x:c>
      <x:c r="S28" s="72" t="n">
        <x:v>4</x:v>
      </x:c>
      <x:c r="T28" s="72" t="n">
        <x:v>5</x:v>
      </x:c>
      <x:c r="U28" s="72" t="n">
        <x:v>4</x:v>
      </x:c>
      <x:c r="V28" s="72" t="n">
        <x:v>5</x:v>
      </x:c>
      <x:c r="W28" s="29" t="str">
        <x:v>银河系地图、恒星运动与距离</x:v>
      </x:c>
      <x:c r="X28" s="29" t="str">
        <x:v>Gaia 恒星位置、距离和运动数据是银河系可视化的核心。</x:v>
      </x:c>
      <x:c r="Y28" s="29" t="str">
        <x:v>使用前核对数据口径、更新时间、许可与引用格式。；未按 RSS/Atom 校验。</x:v>
      </x:c>
      <x:c r="Z28" s="75" t="b">
        <x:v>0</x:v>
      </x:c>
      <x:c r="AA28" s="29"/>
      <x:c r="AB28" s="29" t="str">
        <x:v>扩展调研：数据库、资料库与平台</x:v>
      </x:c>
      <x:c r="AC28" s="29" t="str">
        <x:v>https://gea.esac.esa.int/archive/</x:v>
      </x:c>
      <x:c r="AD28" s="29" t="str">
        <x:v>2026-08-17</x:v>
      </x:c>
      <x:c r="AE28" s="29"/>
      <x:c r="AF28" s="29" t="str">
        <x:v>https://gea.esac.esa.int/tap-server/tap</x:v>
      </x:c>
      <x:c r="AG28" s="29" t="str"/>
    </x:row>
    <x:row r="29" ht="44" customHeight="1">
      <x:c r="A29" s="29" t="str">
        <x:v>SRC-025</x:v>
      </x:c>
      <x:c r="B29" s="29" t="str">
        <x:f>IF(C29&gt;=93,"S",IF(C29&gt;=90,"A",IF(C29&gt;=80,"B","C")))</x:f>
        <x:v>S</x:v>
      </x:c>
      <x:c r="C29" s="72" t="n">
        <x:f>ROUND((P29*0.20+Q29*0.18+R29*0.20+S29*0.15+T29*0.12+U29*0.10+V29*0.05)*20,0)</x:f>
        <x:v>95</x:v>
      </x:c>
      <x:c r="D29" s="29" t="str">
        <x:v>天文与太空</x:v>
      </x:c>
      <x:c r="E29" s="29" t="str">
        <x:v>太阳系天体历表</x:v>
      </x:c>
      <x:c r="F29" s="29" t="str">
        <x:v>JPL Horizons</x:v>
      </x:c>
      <x:c r="G29" s="29" t="str"/>
      <x:c r="H29" s="29" t="str">
        <x:v>天体历算 API</x:v>
      </x:c>
      <x:c r="I29" s="29" t="str">
        <x:v>en</x:v>
      </x:c>
      <x:c r="J29" s="29" t="str">
        <x:v>证据源</x:v>
      </x:c>
      <x:c r="K29" s="29" t="str">
        <x:v>Open</x:v>
      </x:c>
      <x:c r="L29" s="29" t="str">
        <x:v>持续更新</x:v>
      </x:c>
      <x:c r="M29" s="29" t="str">
        <x:v>https://ssd.jpl.nasa.gov/horizons/</x:v>
      </x:c>
      <x:c r="N29" s="29" t="str">
        <x:v>https://ssd.jpl.nasa.gov/api/horizons.api</x:v>
      </x:c>
      <x:c r="O29" s="29" t="str">
        <x:v>API入口</x:v>
      </x:c>
      <x:c r="P29" s="72" t="n">
        <x:v>5</x:v>
      </x:c>
      <x:c r="Q29" s="72" t="n">
        <x:v>5</x:v>
      </x:c>
      <x:c r="R29" s="72" t="n">
        <x:v>5</x:v>
      </x:c>
      <x:c r="S29" s="72" t="n">
        <x:v>4</x:v>
      </x:c>
      <x:c r="T29" s="72" t="n">
        <x:v>5</x:v>
      </x:c>
      <x:c r="U29" s="72" t="n">
        <x:v>4</x:v>
      </x:c>
      <x:c r="V29" s="72" t="n">
        <x:v>5</x:v>
      </x:c>
      <x:c r="W29" s="29" t="str">
        <x:v>天象时间线、轨道与位置图</x:v>
      </x:c>
      <x:c r="X29" s="29" t="str">
        <x:v>获取行星、小天体和航天器的高精度位置与轨道。</x:v>
      </x:c>
      <x:c r="Y29" s="29" t="str">
        <x:v>使用前核对数据口径、更新时间、许可与引用格式。；未按 RSS/Atom 校验。</x:v>
      </x:c>
      <x:c r="Z29" s="75" t="b">
        <x:v>0</x:v>
      </x:c>
      <x:c r="AA29" s="29"/>
      <x:c r="AB29" s="29" t="str">
        <x:v>扩展调研：数据库、资料库与平台</x:v>
      </x:c>
      <x:c r="AC29" s="29" t="str">
        <x:v>https://ssd.jpl.nasa.gov/horizons/</x:v>
      </x:c>
      <x:c r="AD29" s="29" t="str">
        <x:v>2026-08-17</x:v>
      </x:c>
      <x:c r="AE29" s="29"/>
      <x:c r="AF29" s="29" t="str">
        <x:v>https://ssd.jpl.nasa.gov/api/horizons.api</x:v>
      </x:c>
      <x:c r="AG29" s="29" t="str"/>
    </x:row>
    <x:row r="30" ht="44" customHeight="1">
      <x:c r="A30" s="29" t="str">
        <x:v>SRC-026</x:v>
      </x:c>
      <x:c r="B30" s="29" t="str">
        <x:f>IF(C30&gt;=93,"S",IF(C30&gt;=90,"A",IF(C30&gt;=80,"B","C")))</x:f>
        <x:v>S</x:v>
      </x:c>
      <x:c r="C30" s="72" t="n">
        <x:f>ROUND((P30*0.20+Q30*0.18+R30*0.20+S30*0.15+T30*0.12+U30*0.10+V30*0.05)*20,0)</x:f>
        <x:v>95</x:v>
      </x:c>
      <x:c r="D30" s="29" t="str">
        <x:v>天文与太空</x:v>
      </x:c>
      <x:c r="E30" s="29" t="str">
        <x:v>空间望远镜档案</x:v>
      </x:c>
      <x:c r="F30" s="29" t="str">
        <x:v>MAST</x:v>
      </x:c>
      <x:c r="G30" s="29" t="str"/>
      <x:c r="H30" s="29" t="str">
        <x:v>任务数据档案 / API</x:v>
      </x:c>
      <x:c r="I30" s="29" t="str">
        <x:v>en</x:v>
      </x:c>
      <x:c r="J30" s="29" t="str">
        <x:v>证据源</x:v>
      </x:c>
      <x:c r="K30" s="29" t="str">
        <x:v>Open</x:v>
      </x:c>
      <x:c r="L30" s="29" t="str">
        <x:v>持续更新</x:v>
      </x:c>
      <x:c r="M30" s="29" t="str">
        <x:v>https://mast.stsci.edu/</x:v>
      </x:c>
      <x:c r="N30" s="29" t="str">
        <x:v>https://mast.stsci.edu/api/v0/</x:v>
      </x:c>
      <x:c r="O30" s="29" t="str">
        <x:v>API入口</x:v>
      </x:c>
      <x:c r="P30" s="72" t="n">
        <x:v>5</x:v>
      </x:c>
      <x:c r="Q30" s="72" t="n">
        <x:v>5</x:v>
      </x:c>
      <x:c r="R30" s="72" t="n">
        <x:v>5</x:v>
      </x:c>
      <x:c r="S30" s="72" t="n">
        <x:v>4</x:v>
      </x:c>
      <x:c r="T30" s="72" t="n">
        <x:v>5</x:v>
      </x:c>
      <x:c r="U30" s="72" t="n">
        <x:v>4</x:v>
      </x:c>
      <x:c r="V30" s="72" t="n">
        <x:v>5</x:v>
      </x:c>
      <x:c r="W30" s="29" t="str">
        <x:v>任务观测、原始图像与光变曲线</x:v>
      </x:c>
      <x:c r="X30" s="29" t="str">
        <x:v>Hubble、JWST、TESS 等任务数据和观测产品的重要入口。</x:v>
      </x:c>
      <x:c r="Y30" s="29" t="str">
        <x:v>使用前核对数据口径、更新时间、许可与引用格式。；未按 RSS/Atom 校验。</x:v>
      </x:c>
      <x:c r="Z30" s="75" t="b">
        <x:v>0</x:v>
      </x:c>
      <x:c r="AA30" s="29"/>
      <x:c r="AB30" s="29" t="str">
        <x:v>扩展调研：数据库、资料库与平台</x:v>
      </x:c>
      <x:c r="AC30" s="29" t="str">
        <x:v>https://mast.stsci.edu/</x:v>
      </x:c>
      <x:c r="AD30" s="29" t="str">
        <x:v>2026-08-17</x:v>
      </x:c>
      <x:c r="AE30" s="29"/>
      <x:c r="AF30" s="29" t="str">
        <x:v>https://mast.stsci.edu/api/v0/</x:v>
      </x:c>
      <x:c r="AG30" s="29" t="str"/>
    </x:row>
    <x:row r="31" ht="44" customHeight="1">
      <x:c r="A31" s="29" t="str">
        <x:v>SRC-027</x:v>
      </x:c>
      <x:c r="B31" s="29" t="str">
        <x:f>IF(C31&gt;=93,"S",IF(C31&gt;=90,"A",IF(C31&gt;=80,"B","C")))</x:f>
        <x:v>S</x:v>
      </x:c>
      <x:c r="C31" s="72" t="n">
        <x:f>ROUND((P31*0.20+Q31*0.18+R31*0.20+S31*0.15+T31*0.12+U31*0.10+V31*0.05)*20,0)</x:f>
        <x:v>95</x:v>
      </x:c>
      <x:c r="D31" s="29" t="str">
        <x:v>天文与太空</x:v>
      </x:c>
      <x:c r="E31" s="29" t="str">
        <x:v>天文物理论文数据库</x:v>
      </x:c>
      <x:c r="F31" s="29" t="str">
        <x:v>NASA ADS</x:v>
      </x:c>
      <x:c r="G31" s="29" t="str"/>
      <x:c r="H31" s="29" t="str">
        <x:v>论文元数据、摘要、引文网络与检索</x:v>
      </x:c>
      <x:c r="I31" s="29" t="str">
        <x:v>en</x:v>
      </x:c>
      <x:c r="J31" s="29" t="str">
        <x:v>证据源</x:v>
      </x:c>
      <x:c r="K31" s="29" t="str">
        <x:v>Open</x:v>
      </x:c>
      <x:c r="L31" s="29" t="str">
        <x:v>持续索引</x:v>
      </x:c>
      <x:c r="M31" s="29" t="str">
        <x:v>https://ui.adsabs.harvard.edu/</x:v>
      </x:c>
      <x:c r="N31" s="29" t="str">
        <x:v>https://api.adsabs.harvard.edu/v1/</x:v>
      </x:c>
      <x:c r="O31" s="29" t="str">
        <x:v>API入口</x:v>
      </x:c>
      <x:c r="P31" s="72" t="n">
        <x:v>5</x:v>
      </x:c>
      <x:c r="Q31" s="72" t="n">
        <x:v>5</x:v>
      </x:c>
      <x:c r="R31" s="72" t="n">
        <x:v>5</x:v>
      </x:c>
      <x:c r="S31" s="72" t="n">
        <x:v>4</x:v>
      </x:c>
      <x:c r="T31" s="72" t="n">
        <x:v>5</x:v>
      </x:c>
      <x:c r="U31" s="72" t="n">
        <x:v>4</x:v>
      </x:c>
      <x:c r="V31" s="72" t="n">
        <x:v>5</x:v>
      </x:c>
      <x:c r="W31" s="29" t="str">
        <x:v>文献谱系、引用网络、研究史</x:v>
      </x:c>
      <x:c r="X31" s="29" t="str">
        <x:v>查作者、引用、相关论文和研究历史脉络能力强。</x:v>
      </x:c>
      <x:c r="Y31" s="29" t="str">
        <x:v>无公共统一RSS；支持个人检索提醒和需令牌的官方API。；未按 RSS/Atom 校验。</x:v>
      </x:c>
      <x:c r="Z31" s="75" t="b">
        <x:v>0</x:v>
      </x:c>
      <x:c r="AA31" s="29"/>
      <x:c r="AB31" s="29" t="str">
        <x:v>扩展调研：科技、科学与数据</x:v>
      </x:c>
      <x:c r="AC31" s="29" t="str">
        <x:v>https://ui.adsabs.harvard.edu/help/api/</x:v>
      </x:c>
      <x:c r="AD31" s="29" t="str">
        <x:v>2026-08-17</x:v>
      </x:c>
      <x:c r="AE31" s="29"/>
      <x:c r="AF31" s="29" t="str">
        <x:v>https://api.adsabs.harvard.edu/v1/</x:v>
      </x:c>
      <x:c r="AG31" s="29" t="str"/>
    </x:row>
    <x:row r="32" ht="44" customHeight="1">
      <x:c r="A32" s="29" t="str">
        <x:v>SRC-028</x:v>
      </x:c>
      <x:c r="B32" s="29" t="str">
        <x:f>IF(C32&gt;=93,"S",IF(C32&gt;=90,"A",IF(C32&gt;=80,"B","C")))</x:f>
        <x:v>S</x:v>
      </x:c>
      <x:c r="C32" s="72" t="n">
        <x:f>ROUND((P32*0.20+Q32*0.18+R32*0.20+S32*0.15+T32*0.12+U32*0.10+V32*0.05)*20,0)</x:f>
        <x:v>95</x:v>
      </x:c>
      <x:c r="D32" s="29" t="str">
        <x:v>天文与太空</x:v>
      </x:c>
      <x:c r="E32" s="29" t="str">
        <x:v>系外行星数据库</x:v>
      </x:c>
      <x:c r="F32" s="29" t="str">
        <x:v>NASA Exoplanet Archive</x:v>
      </x:c>
      <x:c r="G32" s="29" t="str"/>
      <x:c r="H32" s="29" t="str">
        <x:v>系外行星、恒星、确认状态和参数表</x:v>
      </x:c>
      <x:c r="I32" s="29" t="str">
        <x:v>en</x:v>
      </x:c>
      <x:c r="J32" s="29" t="str">
        <x:v>证据源</x:v>
      </x:c>
      <x:c r="K32" s="29" t="str">
        <x:v>Open</x:v>
      </x:c>
      <x:c r="L32" s="29" t="str">
        <x:v>持续更新</x:v>
      </x:c>
      <x:c r="M32" s="29" t="str">
        <x:v>https://exoplanetarchive.ipac.caltech.edu/</x:v>
      </x:c>
      <x:c r="N32" s="29" t="str">
        <x:v>https://exoplanetarchive.ipac.caltech.edu/TAP/</x:v>
      </x:c>
      <x:c r="O32" s="29" t="str">
        <x:v>API入口</x:v>
      </x:c>
      <x:c r="P32" s="72" t="n">
        <x:v>5</x:v>
      </x:c>
      <x:c r="Q32" s="72" t="n">
        <x:v>5</x:v>
      </x:c>
      <x:c r="R32" s="72" t="n">
        <x:v>5</x:v>
      </x:c>
      <x:c r="S32" s="72" t="n">
        <x:v>4</x:v>
      </x:c>
      <x:c r="T32" s="72" t="n">
        <x:v>5</x:v>
      </x:c>
      <x:c r="U32" s="72" t="n">
        <x:v>4</x:v>
      </x:c>
      <x:c r="V32" s="72" t="n">
        <x:v>5</x:v>
      </x:c>
      <x:c r="W32" s="29" t="str">
        <x:v>新行星数据卡、排行、可视化、事实核验</x:v>
      </x:c>
      <x:c r="X32" s="29" t="str">
        <x:v>权威结构化数据，可直接制作排行、卡片和图表。</x:v>
      </x:c>
      <x:c r="Y32" s="29" t="str">
        <x:v>无统一RSS；官方TAP API文档和端点可用。；未按 RSS/Atom 校验。</x:v>
      </x:c>
      <x:c r="Z32" s="75" t="b">
        <x:v>0</x:v>
      </x:c>
      <x:c r="AA32" s="29"/>
      <x:c r="AB32" s="29" t="str">
        <x:v>扩展调研：科技、科学与数据</x:v>
      </x:c>
      <x:c r="AC32" s="29" t="str">
        <x:v>https://exoplanetarchive.ipac.caltech.edu/docs/TAP/usingTAP.html</x:v>
      </x:c>
      <x:c r="AD32" s="29" t="str">
        <x:v>2026-08-17</x:v>
      </x:c>
      <x:c r="AE32" s="29"/>
      <x:c r="AF32" s="29" t="str">
        <x:v>https://exoplanetarchive.ipac.caltech.edu/TAP/</x:v>
      </x:c>
      <x:c r="AG32" s="29" t="str"/>
    </x:row>
    <x:row r="33" ht="44" customHeight="1">
      <x:c r="A33" s="29" t="str">
        <x:v>SRC-029</x:v>
      </x:c>
      <x:c r="B33" s="29" t="str">
        <x:f>IF(C33&gt;=93,"S",IF(C33&gt;=90,"A",IF(C33&gt;=80,"B","C")))</x:f>
        <x:v>S</x:v>
      </x:c>
      <x:c r="C33" s="72" t="n">
        <x:f>ROUND((P33*0.20+Q33*0.18+R33*0.20+S33*0.15+T33*0.12+U33*0.10+V33*0.05)*20,0)</x:f>
        <x:v>95</x:v>
      </x:c>
      <x:c r="D33" s="29" t="str">
        <x:v>天文与太空</x:v>
      </x:c>
      <x:c r="E33" s="29" t="str">
        <x:v>高能天体物理档案</x:v>
      </x:c>
      <x:c r="F33" s="29" t="str">
        <x:v>NASA HEASARC</x:v>
      </x:c>
      <x:c r="G33" s="29" t="str"/>
      <x:c r="H33" s="29" t="str">
        <x:v>任务数据档案 / API</x:v>
      </x:c>
      <x:c r="I33" s="29" t="str">
        <x:v>en</x:v>
      </x:c>
      <x:c r="J33" s="29" t="str">
        <x:v>证据源</x:v>
      </x:c>
      <x:c r="K33" s="29" t="str">
        <x:v>Open</x:v>
      </x:c>
      <x:c r="L33" s="29" t="str">
        <x:v>持续更新</x:v>
      </x:c>
      <x:c r="M33" s="29" t="str">
        <x:v>https://heasarc.gsfc.nasa.gov/</x:v>
      </x:c>
      <x:c r="N33" s="29" t="str">
        <x:v>https://heasarc.gsfc.nasa.gov/xamin/vo/tap</x:v>
      </x:c>
      <x:c r="O33" s="29" t="str">
        <x:v>API入口</x:v>
      </x:c>
      <x:c r="P33" s="72" t="n">
        <x:v>5</x:v>
      </x:c>
      <x:c r="Q33" s="72" t="n">
        <x:v>5</x:v>
      </x:c>
      <x:c r="R33" s="72" t="n">
        <x:v>5</x:v>
      </x:c>
      <x:c r="S33" s="72" t="n">
        <x:v>4</x:v>
      </x:c>
      <x:c r="T33" s="72" t="n">
        <x:v>5</x:v>
      </x:c>
      <x:c r="U33" s="72" t="n">
        <x:v>4</x:v>
      </x:c>
      <x:c r="V33" s="72" t="n">
        <x:v>5</x:v>
      </x:c>
      <x:c r="W33" s="29" t="str">
        <x:v>黑洞、中子星与高能事件</x:v>
      </x:c>
      <x:c r="X33" s="29" t="str">
        <x:v>X 射线和伽马射线任务数据、目录与工具集中入口。</x:v>
      </x:c>
      <x:c r="Y33" s="29" t="str">
        <x:v>使用前核对数据口径、更新时间、许可与引用格式。；未按 RSS/Atom 校验。</x:v>
      </x:c>
      <x:c r="Z33" s="75" t="b">
        <x:v>0</x:v>
      </x:c>
      <x:c r="AA33" s="29"/>
      <x:c r="AB33" s="29" t="str">
        <x:v>扩展调研：数据库、资料库与平台</x:v>
      </x:c>
      <x:c r="AC33" s="29" t="str">
        <x:v>https://heasarc.gsfc.nasa.gov/</x:v>
      </x:c>
      <x:c r="AD33" s="29" t="str">
        <x:v>2026-08-17</x:v>
      </x:c>
      <x:c r="AE33" s="29"/>
      <x:c r="AF33" s="29" t="str">
        <x:v>https://heasarc.gsfc.nasa.gov/xamin/vo/tap</x:v>
      </x:c>
      <x:c r="AG33" s="29" t="str"/>
    </x:row>
    <x:row r="34" ht="44" customHeight="1">
      <x:c r="A34" s="29" t="str">
        <x:v>SRC-030</x:v>
      </x:c>
      <x:c r="B34" s="29" t="str">
        <x:f>IF(C34&gt;=93,"S",IF(C34&gt;=90,"A",IF(C34&gt;=80,"B","C")))</x:f>
        <x:v>S</x:v>
      </x:c>
      <x:c r="C34" s="72" t="n">
        <x:f>ROUND((P34*0.20+Q34*0.18+R34*0.20+S34*0.15+T34*0.12+U34*0.10+V34*0.05)*20,0)</x:f>
        <x:v>95</x:v>
      </x:c>
      <x:c r="D34" s="29" t="str">
        <x:v>天文与太空</x:v>
      </x:c>
      <x:c r="E34" s="29" t="str">
        <x:v>河外天体与红移数据</x:v>
      </x:c>
      <x:c r="F34" s="29" t="str">
        <x:v>NASA/IPAC Extragalactic Database</x:v>
      </x:c>
      <x:c r="G34" s="29" t="str"/>
      <x:c r="H34" s="29" t="str">
        <x:v>天文数据库 / TAP API</x:v>
      </x:c>
      <x:c r="I34" s="29" t="str">
        <x:v>en</x:v>
      </x:c>
      <x:c r="J34" s="29" t="str">
        <x:v>证据源</x:v>
      </x:c>
      <x:c r="K34" s="29" t="str">
        <x:v>Open</x:v>
      </x:c>
      <x:c r="L34" s="29" t="str">
        <x:v>持续更新</x:v>
      </x:c>
      <x:c r="M34" s="29" t="str">
        <x:v>https://ned.ipac.caltech.edu/</x:v>
      </x:c>
      <x:c r="N34" s="29" t="str">
        <x:v>https://ned.ipac.caltech.edu/tap</x:v>
      </x:c>
      <x:c r="O34" s="29" t="str">
        <x:v>API入口</x:v>
      </x:c>
      <x:c r="P34" s="72" t="n">
        <x:v>5</x:v>
      </x:c>
      <x:c r="Q34" s="72" t="n">
        <x:v>5</x:v>
      </x:c>
      <x:c r="R34" s="72" t="n">
        <x:v>5</x:v>
      </x:c>
      <x:c r="S34" s="72" t="n">
        <x:v>4</x:v>
      </x:c>
      <x:c r="T34" s="72" t="n">
        <x:v>5</x:v>
      </x:c>
      <x:c r="U34" s="72" t="n">
        <x:v>4</x:v>
      </x:c>
      <x:c r="V34" s="72" t="n">
        <x:v>5</x:v>
      </x:c>
      <x:c r="W34" s="29" t="str">
        <x:v>星系数据、距离与红移解释</x:v>
      </x:c>
      <x:c r="X34" s="29" t="str">
        <x:v>星系、类星体等河外天体的交叉标识、红移与文献入口。</x:v>
      </x:c>
      <x:c r="Y34" s="29" t="str">
        <x:v>使用前核对数据口径、更新时间、许可与引用格式。；未按 RSS/Atom 校验。</x:v>
      </x:c>
      <x:c r="Z34" s="75" t="b">
        <x:v>0</x:v>
      </x:c>
      <x:c r="AA34" s="29"/>
      <x:c r="AB34" s="29" t="str">
        <x:v>扩展调研：数据库、资料库与平台</x:v>
      </x:c>
      <x:c r="AC34" s="29" t="str">
        <x:v>https://ned.ipac.caltech.edu/</x:v>
      </x:c>
      <x:c r="AD34" s="29" t="str">
        <x:v>2026-08-17</x:v>
      </x:c>
      <x:c r="AE34" s="29"/>
      <x:c r="AF34" s="29" t="str">
        <x:v>https://ned.ipac.caltech.edu/tap</x:v>
      </x:c>
      <x:c r="AG34" s="29" t="str"/>
    </x:row>
    <x:row r="35" ht="44" customHeight="1">
      <x:c r="A35" s="29" t="str">
        <x:v>SRC-031</x:v>
      </x:c>
      <x:c r="B35" s="29" t="str">
        <x:f>IF(C35&gt;=93,"S",IF(C35&gt;=90,"A",IF(C35&gt;=80,"B","C")))</x:f>
        <x:v>S</x:v>
      </x:c>
      <x:c r="C35" s="72" t="n">
        <x:f>ROUND((P35*0.20+Q35*0.18+R35*0.20+S35*0.15+T35*0.12+U35*0.10+V35*0.05)*20,0)</x:f>
        <x:v>95</x:v>
      </x:c>
      <x:c r="D35" s="29" t="str">
        <x:v>天文与太空</x:v>
      </x:c>
      <x:c r="E35" s="29" t="str">
        <x:v>天体标识与文献</x:v>
      </x:c>
      <x:c r="F35" s="29" t="str">
        <x:v>SIMBAD Astronomical Database</x:v>
      </x:c>
      <x:c r="G35" s="29" t="str"/>
      <x:c r="H35" s="29" t="str">
        <x:v>天文数据库 / TAP API</x:v>
      </x:c>
      <x:c r="I35" s="29" t="str">
        <x:v>en</x:v>
      </x:c>
      <x:c r="J35" s="29" t="str">
        <x:v>证据源</x:v>
      </x:c>
      <x:c r="K35" s="29" t="str">
        <x:v>Open</x:v>
      </x:c>
      <x:c r="L35" s="29" t="str">
        <x:v>持续更新</x:v>
      </x:c>
      <x:c r="M35" s="29" t="str">
        <x:v>https://simbad.cds.unistra.fr/</x:v>
      </x:c>
      <x:c r="N35" s="29" t="str">
        <x:v>https://simbad.cds.unistra.fr/simbad/sim-tap</x:v>
      </x:c>
      <x:c r="O35" s="29" t="str">
        <x:v>API入口</x:v>
      </x:c>
      <x:c r="P35" s="72" t="n">
        <x:v>5</x:v>
      </x:c>
      <x:c r="Q35" s="72" t="n">
        <x:v>5</x:v>
      </x:c>
      <x:c r="R35" s="72" t="n">
        <x:v>5</x:v>
      </x:c>
      <x:c r="S35" s="72" t="n">
        <x:v>4</x:v>
      </x:c>
      <x:c r="T35" s="72" t="n">
        <x:v>5</x:v>
      </x:c>
      <x:c r="U35" s="72" t="n">
        <x:v>4</x:v>
      </x:c>
      <x:c r="V35" s="72" t="n">
        <x:v>5</x:v>
      </x:c>
      <x:c r="W35" s="29" t="str">
        <x:v>天体档案、名称辨析、坐标图</x:v>
      </x:c>
      <x:c r="X35" s="29" t="str">
        <x:v>查天体名称、坐标、类型与参考文献的权威入口。</x:v>
      </x:c>
      <x:c r="Y35" s="29" t="str">
        <x:v>使用前核对数据口径、更新时间、许可与引用格式。；未按 RSS/Atom 校验。</x:v>
      </x:c>
      <x:c r="Z35" s="75" t="b">
        <x:v>0</x:v>
      </x:c>
      <x:c r="AA35" s="29"/>
      <x:c r="AB35" s="29" t="str">
        <x:v>扩展调研：数据库、资料库与平台</x:v>
      </x:c>
      <x:c r="AC35" s="29" t="str">
        <x:v>https://simbad.cds.unistra.fr/</x:v>
      </x:c>
      <x:c r="AD35" s="29" t="str">
        <x:v>2026-08-17</x:v>
      </x:c>
      <x:c r="AE35" s="29"/>
      <x:c r="AF35" s="29" t="str">
        <x:v>https://simbad.cds.unistra.fr/simbad/sim-tap</x:v>
      </x:c>
      <x:c r="AG35" s="29" t="str"/>
    </x:row>
    <x:row r="36" ht="44" customHeight="1">
      <x:c r="A36" s="29" t="str">
        <x:v>SRC-032</x:v>
      </x:c>
      <x:c r="B36" s="29" t="str">
        <x:f>IF(C36&gt;=93,"S",IF(C36&gt;=90,"A",IF(C36&gt;=80,"B","C")))</x:f>
        <x:v>S</x:v>
      </x:c>
      <x:c r="C36" s="72" t="n">
        <x:f>ROUND((P36*0.20+Q36*0.18+R36*0.20+S36*0.15+T36*0.12+U36*0.10+V36*0.05)*20,0)</x:f>
        <x:v>95</x:v>
      </x:c>
      <x:c r="D36" s="29" t="str">
        <x:v>天文与太空</x:v>
      </x:c>
      <x:c r="E36" s="29" t="str">
        <x:v>天文星表与巡天目录</x:v>
      </x:c>
      <x:c r="F36" s="29" t="str">
        <x:v>VizieR</x:v>
      </x:c>
      <x:c r="G36" s="29" t="str"/>
      <x:c r="H36" s="29" t="str">
        <x:v>天文数据服务 / TAP API</x:v>
      </x:c>
      <x:c r="I36" s="29" t="str">
        <x:v>en</x:v>
      </x:c>
      <x:c r="J36" s="29" t="str">
        <x:v>证据源</x:v>
      </x:c>
      <x:c r="K36" s="29" t="str">
        <x:v>Open</x:v>
      </x:c>
      <x:c r="L36" s="29" t="str">
        <x:v>持续更新</x:v>
      </x:c>
      <x:c r="M36" s="29" t="str">
        <x:v>https://vizier.cds.unistra.fr/</x:v>
      </x:c>
      <x:c r="N36" s="29" t="str">
        <x:v>https://tapvizier.cds.unistra.fr/TAPVizieR/tap</x:v>
      </x:c>
      <x:c r="O36" s="29" t="str">
        <x:v>API入口</x:v>
      </x:c>
      <x:c r="P36" s="72" t="n">
        <x:v>5</x:v>
      </x:c>
      <x:c r="Q36" s="72" t="n">
        <x:v>5</x:v>
      </x:c>
      <x:c r="R36" s="72" t="n">
        <x:v>5</x:v>
      </x:c>
      <x:c r="S36" s="72" t="n">
        <x:v>4</x:v>
      </x:c>
      <x:c r="T36" s="72" t="n">
        <x:v>5</x:v>
      </x:c>
      <x:c r="U36" s="72" t="n">
        <x:v>4</x:v>
      </x:c>
      <x:c r="V36" s="72" t="n">
        <x:v>5</x:v>
      </x:c>
      <x:c r="W36" s="29" t="str">
        <x:v>星表可视化、巡天比较</x:v>
      </x:c>
      <x:c r="X36" s="29" t="str">
        <x:v>将已发表星表集中为可查询数据，适合可视化和复核数值。</x:v>
      </x:c>
      <x:c r="Y36" s="29" t="str">
        <x:v>使用前核对数据口径、更新时间、许可与引用格式。；未按 RSS/Atom 校验。</x:v>
      </x:c>
      <x:c r="Z36" s="75" t="b">
        <x:v>0</x:v>
      </x:c>
      <x:c r="AA36" s="29"/>
      <x:c r="AB36" s="29" t="str">
        <x:v>扩展调研：数据库、资料库与平台</x:v>
      </x:c>
      <x:c r="AC36" s="29" t="str">
        <x:v>https://vizier.cds.unistra.fr/</x:v>
      </x:c>
      <x:c r="AD36" s="29" t="str">
        <x:v>2026-08-17</x:v>
      </x:c>
      <x:c r="AE36" s="29"/>
      <x:c r="AF36" s="29" t="str">
        <x:v>https://tapvizier.cds.unistra.fr/TAPVizieR/tap</x:v>
      </x:c>
      <x:c r="AG36" s="29" t="str"/>
    </x:row>
    <x:row r="37" ht="44" customHeight="1">
      <x:c r="A37" s="29" t="str">
        <x:v>SRC-033</x:v>
      </x:c>
      <x:c r="B37" s="29" t="str">
        <x:f>IF(C37&gt;=93,"S",IF(C37&gt;=90,"A",IF(C37&gt;=80,"B","C")))</x:f>
        <x:v>S</x:v>
      </x:c>
      <x:c r="C37" s="72" t="n">
        <x:f>ROUND((P37*0.20+Q37*0.18+R37*0.20+S37*0.15+T37*0.12+U37*0.10+V37*0.05)*20,0)</x:f>
        <x:v>95</x:v>
      </x:c>
      <x:c r="D37" s="29" t="str">
        <x:v>数据与可视化</x:v>
      </x:c>
      <x:c r="E37" s="29" t="str">
        <x:v>欧盟官方统计</x:v>
      </x:c>
      <x:c r="F37" s="29" t="str">
        <x:v>Eurostat</x:v>
      </x:c>
      <x:c r="G37" s="29" t="str"/>
      <x:c r="H37" s="29" t="str">
        <x:v>官方统计 / API</x:v>
      </x:c>
      <x:c r="I37" s="29" t="str">
        <x:v>multilingual</x:v>
      </x:c>
      <x:c r="J37" s="29" t="str">
        <x:v>证据源</x:v>
      </x:c>
      <x:c r="K37" s="29" t="str">
        <x:v>Open</x:v>
      </x:c>
      <x:c r="L37" s="29" t="str">
        <x:v>持续更新</x:v>
      </x:c>
      <x:c r="M37" s="29" t="str">
        <x:v>https://ec.europa.eu/eurostat/</x:v>
      </x:c>
      <x:c r="N37" s="29" t="str">
        <x:v>https://ec.europa.eu/eurostat/api/dissemination/statistics/1.0/data/</x:v>
      </x:c>
      <x:c r="O37" s="29" t="str">
        <x:v>API入口</x:v>
      </x:c>
      <x:c r="P37" s="72" t="n">
        <x:v>5</x:v>
      </x:c>
      <x:c r="Q37" s="72" t="n">
        <x:v>5</x:v>
      </x:c>
      <x:c r="R37" s="72" t="n">
        <x:v>5</x:v>
      </x:c>
      <x:c r="S37" s="72" t="n">
        <x:v>4</x:v>
      </x:c>
      <x:c r="T37" s="72" t="n">
        <x:v>5</x:v>
      </x:c>
      <x:c r="U37" s="72" t="n">
        <x:v>4</x:v>
      </x:c>
      <x:c r="V37" s="72" t="n">
        <x:v>5</x:v>
      </x:c>
      <x:c r="W37" s="29" t="str">
        <x:v>欧洲比较、地区地图与政策图表</x:v>
      </x:c>
      <x:c r="X37" s="29" t="str">
        <x:v>欧盟人口、经济、能源、环境和地区数据的标准入口。</x:v>
      </x:c>
      <x:c r="Y37" s="29" t="str">
        <x:v>使用前核对数据口径、更新时间、许可与引用格式。；未按 RSS/Atom 校验。</x:v>
      </x:c>
      <x:c r="Z37" s="75" t="b">
        <x:v>0</x:v>
      </x:c>
      <x:c r="AA37" s="29"/>
      <x:c r="AB37" s="29" t="str">
        <x:v>扩展调研：数据库、资料库与平台</x:v>
      </x:c>
      <x:c r="AC37" s="29" t="str">
        <x:v>https://ec.europa.eu/eurostat/</x:v>
      </x:c>
      <x:c r="AD37" s="29" t="str">
        <x:v>2026-08-17</x:v>
      </x:c>
      <x:c r="AE37" s="29"/>
      <x:c r="AF37" s="29" t="str">
        <x:v>https://ec.europa.eu/eurostat/api/dissemination/statistics/1.0/data/</x:v>
      </x:c>
      <x:c r="AG37" s="29" t="str"/>
    </x:row>
    <x:row r="38" ht="44" customHeight="1">
      <x:c r="A38" s="29" t="str">
        <x:v>SRC-034</x:v>
      </x:c>
      <x:c r="B38" s="29" t="str">
        <x:f>IF(C38&gt;=93,"S",IF(C38&gt;=90,"A",IF(C38&gt;=80,"B","C")))</x:f>
        <x:v>S</x:v>
      </x:c>
      <x:c r="C38" s="72" t="n">
        <x:f>ROUND((P38*0.20+Q38*0.18+R38*0.20+S38*0.15+T38*0.12+U38*0.10+V38*0.05)*20,0)</x:f>
        <x:v>95</x:v>
      </x:c>
      <x:c r="D38" s="29" t="str">
        <x:v>数据与可视化</x:v>
      </x:c>
      <x:c r="E38" s="29" t="str">
        <x:v>现代艺术开放数据</x:v>
      </x:c>
      <x:c r="F38" s="29" t="str">
        <x:v>MoMA Collection Data</x:v>
      </x:c>
      <x:c r="G38" s="29" t="str"/>
      <x:c r="H38" s="29" t="str">
        <x:v>馆藏数据集</x:v>
      </x:c>
      <x:c r="I38" s="29" t="str">
        <x:v>en</x:v>
      </x:c>
      <x:c r="J38" s="29" t="str">
        <x:v>证据源</x:v>
      </x:c>
      <x:c r="K38" s="29" t="str">
        <x:v>Open</x:v>
      </x:c>
      <x:c r="L38" s="29" t="str">
        <x:v>阶段更新</x:v>
      </x:c>
      <x:c r="M38" s="29" t="str">
        <x:v>https://www.moma.org/collection/</x:v>
      </x:c>
      <x:c r="N38" s="29" t="str">
        <x:v>https://github.com/MuseumofModernArt/collection</x:v>
      </x:c>
      <x:c r="O38" s="29" t="str">
        <x:v>平台入口</x:v>
      </x:c>
      <x:c r="P38" s="72" t="n">
        <x:v>5</x:v>
      </x:c>
      <x:c r="Q38" s="72" t="n">
        <x:v>5</x:v>
      </x:c>
      <x:c r="R38" s="72" t="n">
        <x:v>5</x:v>
      </x:c>
      <x:c r="S38" s="72" t="n">
        <x:v>4</x:v>
      </x:c>
      <x:c r="T38" s="72" t="n">
        <x:v>5</x:v>
      </x:c>
      <x:c r="U38" s="72" t="n">
        <x:v>4</x:v>
      </x:c>
      <x:c r="V38" s="72" t="n">
        <x:v>5</x:v>
      </x:c>
      <x:c r="W38" s="29" t="str">
        <x:v>现代艺术数据图、馆藏结构</x:v>
      </x:c>
      <x:c r="X38" s="29" t="str">
        <x:v>可下载艺术家与作品元数据，适合统计和可视化。</x:v>
      </x:c>
      <x:c r="Y38" s="29" t="str">
        <x:v>数据许可与作品图像版权分开核对。；未按 RSS/Atom 校验。</x:v>
      </x:c>
      <x:c r="Z38" s="75" t="b">
        <x:v>0</x:v>
      </x:c>
      <x:c r="AA38" s="29"/>
      <x:c r="AB38" s="29" t="str">
        <x:v>扩展调研：数据库、资料库与平台</x:v>
      </x:c>
      <x:c r="AC38" s="29" t="str">
        <x:v>https://www.moma.org/collection/</x:v>
      </x:c>
      <x:c r="AD38" s="29" t="str">
        <x:v>2026-08-17</x:v>
      </x:c>
      <x:c r="AE38" s="29"/>
      <x:c r="AF38" s="29" t="str">
        <x:v>https://github.com/MuseumofModernArt/collection</x:v>
      </x:c>
      <x:c r="AG38" s="29" t="str"/>
    </x:row>
    <x:row r="39" ht="44" customHeight="1">
      <x:c r="A39" s="29" t="str">
        <x:v>SRC-035</x:v>
      </x:c>
      <x:c r="B39" s="29" t="str">
        <x:f>IF(C39&gt;=93,"S",IF(C39&gt;=90,"A",IF(C39&gt;=80,"B","C")))</x:f>
        <x:v>S</x:v>
      </x:c>
      <x:c r="C39" s="72" t="n">
        <x:f>ROUND((P39*0.20+Q39*0.18+R39*0.20+S39*0.15+T39*0.12+U39*0.10+V39*0.05)*20,0)</x:f>
        <x:v>95</x:v>
      </x:c>
      <x:c r="D39" s="29" t="str">
        <x:v>数据与可视化</x:v>
      </x:c>
      <x:c r="E39" s="29" t="str">
        <x:v>OECD 统计与政策指标</x:v>
      </x:c>
      <x:c r="F39" s="29" t="str">
        <x:v>OECD Data Explorer</x:v>
      </x:c>
      <x:c r="G39" s="29" t="str"/>
      <x:c r="H39" s="29" t="str">
        <x:v>官方统计 / SDMX API</x:v>
      </x:c>
      <x:c r="I39" s="29" t="str">
        <x:v>en</x:v>
      </x:c>
      <x:c r="J39" s="29" t="str">
        <x:v>证据源</x:v>
      </x:c>
      <x:c r="K39" s="29" t="str">
        <x:v>Open</x:v>
      </x:c>
      <x:c r="L39" s="29" t="str">
        <x:v>持续更新</x:v>
      </x:c>
      <x:c r="M39" s="29" t="str">
        <x:v>https://data-explorer.oecd.org/</x:v>
      </x:c>
      <x:c r="N39" s="29" t="str">
        <x:v>https://sdmx.oecd.org/public/rest/v1/</x:v>
      </x:c>
      <x:c r="O39" s="29" t="str">
        <x:v>API入口</x:v>
      </x:c>
      <x:c r="P39" s="72" t="n">
        <x:v>5</x:v>
      </x:c>
      <x:c r="Q39" s="72" t="n">
        <x:v>5</x:v>
      </x:c>
      <x:c r="R39" s="72" t="n">
        <x:v>5</x:v>
      </x:c>
      <x:c r="S39" s="72" t="n">
        <x:v>4</x:v>
      </x:c>
      <x:c r="T39" s="72" t="n">
        <x:v>5</x:v>
      </x:c>
      <x:c r="U39" s="72" t="n">
        <x:v>4</x:v>
      </x:c>
      <x:c r="V39" s="72" t="n">
        <x:v>5</x:v>
      </x:c>
      <x:c r="W39" s="29" t="str">
        <x:v>政策比较、国家排名与趋势</x:v>
      </x:c>
      <x:c r="X39" s="29" t="str">
        <x:v>发达经济体政策、教育、生产率和社会指标口径较完整。</x:v>
      </x:c>
      <x:c r="Y39" s="29" t="str">
        <x:v>使用前核对数据口径、更新时间、许可与引用格式。；未按 RSS/Atom 校验。</x:v>
      </x:c>
      <x:c r="Z39" s="75" t="b">
        <x:v>0</x:v>
      </x:c>
      <x:c r="AA39" s="29"/>
      <x:c r="AB39" s="29" t="str">
        <x:v>扩展调研：数据库、资料库与平台</x:v>
      </x:c>
      <x:c r="AC39" s="29" t="str">
        <x:v>https://data-explorer.oecd.org/</x:v>
      </x:c>
      <x:c r="AD39" s="29" t="str">
        <x:v>2026-08-17</x:v>
      </x:c>
      <x:c r="AE39" s="29"/>
      <x:c r="AF39" s="29" t="str">
        <x:v>https://sdmx.oecd.org/public/rest/v1/</x:v>
      </x:c>
      <x:c r="AG39" s="29" t="str"/>
    </x:row>
    <x:row r="40" ht="44" customHeight="1">
      <x:c r="A40" s="29" t="str">
        <x:v>SRC-036</x:v>
      </x:c>
      <x:c r="B40" s="29" t="str">
        <x:f>IF(C40&gt;=93,"S",IF(C40&gt;=90,"A",IF(C40&gt;=80,"B","C")))</x:f>
        <x:v>S</x:v>
      </x:c>
      <x:c r="C40" s="72" t="n">
        <x:f>ROUND((P40*0.20+Q40*0.18+R40*0.20+S40*0.15+T40*0.12+U40*0.10+V40*0.05)*20,0)</x:f>
        <x:v>95</x:v>
      </x:c>
      <x:c r="D40" s="29" t="str">
        <x:v>数据与可视化</x:v>
      </x:c>
      <x:c r="E40" s="29" t="str">
        <x:v>英国艺术馆藏开放数据</x:v>
      </x:c>
      <x:c r="F40" s="29" t="str">
        <x:v>Tate Collection Data</x:v>
      </x:c>
      <x:c r="G40" s="29" t="str"/>
      <x:c r="H40" s="29" t="str">
        <x:v>馆藏数据集</x:v>
      </x:c>
      <x:c r="I40" s="29" t="str">
        <x:v>en</x:v>
      </x:c>
      <x:c r="J40" s="29" t="str">
        <x:v>证据源</x:v>
      </x:c>
      <x:c r="K40" s="29" t="str">
        <x:v>Open</x:v>
      </x:c>
      <x:c r="L40" s="29" t="str">
        <x:v>阶段更新</x:v>
      </x:c>
      <x:c r="M40" s="29" t="str">
        <x:v>https://www.tate.org.uk/art</x:v>
      </x:c>
      <x:c r="N40" s="29" t="str">
        <x:v>https://github.com/tategallery/collection</x:v>
      </x:c>
      <x:c r="O40" s="29" t="str">
        <x:v>平台入口</x:v>
      </x:c>
      <x:c r="P40" s="72" t="n">
        <x:v>5</x:v>
      </x:c>
      <x:c r="Q40" s="72" t="n">
        <x:v>5</x:v>
      </x:c>
      <x:c r="R40" s="72" t="n">
        <x:v>5</x:v>
      </x:c>
      <x:c r="S40" s="72" t="n">
        <x:v>4</x:v>
      </x:c>
      <x:c r="T40" s="72" t="n">
        <x:v>5</x:v>
      </x:c>
      <x:c r="U40" s="72" t="n">
        <x:v>4</x:v>
      </x:c>
      <x:c r="V40" s="72" t="n">
        <x:v>5</x:v>
      </x:c>
      <x:c r="W40" s="29" t="str">
        <x:v>艺术家网络、媒介与年代图</x:v>
      </x:c>
      <x:c r="X40" s="29" t="str">
        <x:v>艺术家与作品元数据可下载，适合网络图和时间线。</x:v>
      </x:c>
      <x:c r="Y40" s="29" t="str">
        <x:v>使用前核对数据口径、更新时间、许可与引用格式。；未按 RSS/Atom 校验。</x:v>
      </x:c>
      <x:c r="Z40" s="75" t="b">
        <x:v>0</x:v>
      </x:c>
      <x:c r="AA40" s="29"/>
      <x:c r="AB40" s="29" t="str">
        <x:v>扩展调研：数据库、资料库与平台</x:v>
      </x:c>
      <x:c r="AC40" s="29" t="str">
        <x:v>https://www.tate.org.uk/art</x:v>
      </x:c>
      <x:c r="AD40" s="29" t="str">
        <x:v>2026-08-17</x:v>
      </x:c>
      <x:c r="AE40" s="29"/>
      <x:c r="AF40" s="29" t="str">
        <x:v>https://github.com/tategallery/collection</x:v>
      </x:c>
      <x:c r="AG40" s="29" t="str"/>
    </x:row>
    <x:row r="41" ht="44" customHeight="1">
      <x:c r="A41" s="29" t="str">
        <x:v>SRC-037</x:v>
      </x:c>
      <x:c r="B41" s="29" t="str">
        <x:f>IF(C41&gt;=93,"S",IF(C41&gt;=90,"A",IF(C41&gt;=80,"B","C")))</x:f>
        <x:v>S</x:v>
      </x:c>
      <x:c r="C41" s="72" t="n">
        <x:f>ROUND((P41*0.20+Q41*0.18+R41*0.20+S41*0.15+T41*0.12+U41*0.10+V41*0.05)*20,0)</x:f>
        <x:v>95</x:v>
      </x:c>
      <x:c r="D41" s="29" t="str">
        <x:v>数据与可视化</x:v>
      </x:c>
      <x:c r="E41" s="29" t="str">
        <x:v>人口、住房与经济统计</x:v>
      </x:c>
      <x:c r="F41" s="29" t="str">
        <x:v>U.S. Census Data</x:v>
      </x:c>
      <x:c r="G41" s="29" t="str"/>
      <x:c r="H41" s="29" t="str">
        <x:v>官方统计 / API</x:v>
      </x:c>
      <x:c r="I41" s="29" t="str">
        <x:v>en</x:v>
      </x:c>
      <x:c r="J41" s="29" t="str">
        <x:v>证据源</x:v>
      </x:c>
      <x:c r="K41" s="29" t="str">
        <x:v>Open</x:v>
      </x:c>
      <x:c r="L41" s="29" t="str">
        <x:v>持续更新</x:v>
      </x:c>
      <x:c r="M41" s="29" t="str">
        <x:v>https://data.census.gov/</x:v>
      </x:c>
      <x:c r="N41" s="29" t="str">
        <x:v>https://api.census.gov/data.html</x:v>
      </x:c>
      <x:c r="O41" s="29" t="str">
        <x:v>API入口</x:v>
      </x:c>
      <x:c r="P41" s="72" t="n">
        <x:v>5</x:v>
      </x:c>
      <x:c r="Q41" s="72" t="n">
        <x:v>5</x:v>
      </x:c>
      <x:c r="R41" s="72" t="n">
        <x:v>5</x:v>
      </x:c>
      <x:c r="S41" s="72" t="n">
        <x:v>4</x:v>
      </x:c>
      <x:c r="T41" s="72" t="n">
        <x:v>5</x:v>
      </x:c>
      <x:c r="U41" s="72" t="n">
        <x:v>4</x:v>
      </x:c>
      <x:c r="V41" s="72" t="n">
        <x:v>5</x:v>
      </x:c>
      <x:c r="W41" s="29" t="str">
        <x:v>人口结构、地区差异与地图</x:v>
      </x:c>
      <x:c r="X41" s="29" t="str">
        <x:v>美国人口普查和社区调查的权威入口。</x:v>
      </x:c>
      <x:c r="Y41" s="29" t="str">
        <x:v>使用前核对数据口径、更新时间、许可与引用格式。；未按 RSS/Atom 校验。</x:v>
      </x:c>
      <x:c r="Z41" s="75" t="b">
        <x:v>0</x:v>
      </x:c>
      <x:c r="AA41" s="29"/>
      <x:c r="AB41" s="29" t="str">
        <x:v>扩展调研：数据库、资料库与平台</x:v>
      </x:c>
      <x:c r="AC41" s="29" t="str">
        <x:v>https://data.census.gov/</x:v>
      </x:c>
      <x:c r="AD41" s="29" t="str">
        <x:v>2026-08-17</x:v>
      </x:c>
      <x:c r="AE41" s="29"/>
      <x:c r="AF41" s="29" t="str">
        <x:v>https://api.census.gov/data.html</x:v>
      </x:c>
      <x:c r="AG41" s="29" t="str"/>
    </x:row>
    <x:row r="42" ht="44" customHeight="1">
      <x:c r="A42" s="29" t="str">
        <x:v>SRC-038</x:v>
      </x:c>
      <x:c r="B42" s="29" t="str">
        <x:f>IF(C42&gt;=93,"S",IF(C42&gt;=90,"A",IF(C42&gt;=80,"B","C")))</x:f>
        <x:v>S</x:v>
      </x:c>
      <x:c r="C42" s="72" t="n">
        <x:f>ROUND((P42*0.20+Q42*0.18+R42*0.20+S42*0.15+T42*0.12+U42*0.10+V42*0.05)*20,0)</x:f>
        <x:v>95</x:v>
      </x:c>
      <x:c r="D42" s="29" t="str">
        <x:v>数据与可视化</x:v>
      </x:c>
      <x:c r="E42" s="29" t="str">
        <x:v>联合国统计数据库</x:v>
      </x:c>
      <x:c r="F42" s="29" t="str">
        <x:v>UN Data</x:v>
      </x:c>
      <x:c r="G42" s="29" t="str"/>
      <x:c r="H42" s="29" t="str">
        <x:v>官方统计门户</x:v>
      </x:c>
      <x:c r="I42" s="29" t="str">
        <x:v>en</x:v>
      </x:c>
      <x:c r="J42" s="29" t="str">
        <x:v>证据源</x:v>
      </x:c>
      <x:c r="K42" s="29" t="str">
        <x:v>Open</x:v>
      </x:c>
      <x:c r="L42" s="29" t="str">
        <x:v>持续更新</x:v>
      </x:c>
      <x:c r="M42" s="29" t="str">
        <x:v>https://data.un.org/</x:v>
      </x:c>
      <x:c r="N42" s="29" t="str"/>
      <x:c r="O42" s="29" t="str">
        <x:v>无RSS/API入口</x:v>
      </x:c>
      <x:c r="P42" s="72" t="n">
        <x:v>5</x:v>
      </x:c>
      <x:c r="Q42" s="72" t="n">
        <x:v>5</x:v>
      </x:c>
      <x:c r="R42" s="72" t="n">
        <x:v>5</x:v>
      </x:c>
      <x:c r="S42" s="72" t="n">
        <x:v>4</x:v>
      </x:c>
      <x:c r="T42" s="72" t="n">
        <x:v>5</x:v>
      </x:c>
      <x:c r="U42" s="72" t="n">
        <x:v>4</x:v>
      </x:c>
      <x:c r="V42" s="72" t="n">
        <x:v>5</x:v>
      </x:c>
      <x:c r="W42" s="29" t="str">
        <x:v>国家比较、长期趋势</x:v>
      </x:c>
      <x:c r="X42" s="29" t="str">
        <x:v>跨人口、经济、环境和社会指标的联合国数据入口。</x:v>
      </x:c>
      <x:c r="Y42" s="29" t="str">
        <x:v>使用前核对数据口径、更新时间、许可与引用格式。</x:v>
      </x:c>
      <x:c r="Z42" s="75" t="b">
        <x:v>0</x:v>
      </x:c>
      <x:c r="AA42" s="29"/>
      <x:c r="AB42" s="29" t="str">
        <x:v>扩展调研：数据库、资料库与平台</x:v>
      </x:c>
      <x:c r="AC42" s="29" t="str">
        <x:v>https://data.un.org/</x:v>
      </x:c>
      <x:c r="AD42" s="29" t="str">
        <x:v>2026-08-17</x:v>
      </x:c>
      <x:c r="AE42" s="29"/>
      <x:c r="AF42" s="29" t="str"/>
      <x:c r="AG42" s="29" t="str"/>
    </x:row>
    <x:row r="43" ht="44" customHeight="1">
      <x:c r="A43" s="29" t="str">
        <x:v>SRC-039</x:v>
      </x:c>
      <x:c r="B43" s="29" t="str">
        <x:f>IF(C43&gt;=93,"S",IF(C43&gt;=90,"A",IF(C43&gt;=80,"B","C")))</x:f>
        <x:v>S</x:v>
      </x:c>
      <x:c r="C43" s="72" t="n">
        <x:f>ROUND((P43*0.20+Q43*0.18+R43*0.20+S43*0.15+T43*0.12+U43*0.10+V43*0.05)*20,0)</x:f>
        <x:v>95</x:v>
      </x:c>
      <x:c r="D43" s="29" t="str">
        <x:v>新闻与调查</x:v>
      </x:c>
      <x:c r="E43" s="29" t="str">
        <x:v>军费、武器转移与和平安全</x:v>
      </x:c>
      <x:c r="F43" s="29" t="str">
        <x:v>SIPRI Databases</x:v>
      </x:c>
      <x:c r="G43" s="29" t="str"/>
      <x:c r="H43" s="29" t="str">
        <x:v>研究机构数据库</x:v>
      </x:c>
      <x:c r="I43" s="29" t="str">
        <x:v>en</x:v>
      </x:c>
      <x:c r="J43" s="29" t="str">
        <x:v>证据源</x:v>
      </x:c>
      <x:c r="K43" s="29" t="str">
        <x:v>Open</x:v>
      </x:c>
      <x:c r="L43" s="29" t="str">
        <x:v>年度/持续更新</x:v>
      </x:c>
      <x:c r="M43" s="29" t="str">
        <x:v>https://www.sipri.org/databases</x:v>
      </x:c>
      <x:c r="N43" s="29" t="str"/>
      <x:c r="O43" s="29" t="str">
        <x:v>无RSS/API入口</x:v>
      </x:c>
      <x:c r="P43" s="72" t="n">
        <x:v>5</x:v>
      </x:c>
      <x:c r="Q43" s="72" t="n">
        <x:v>5</x:v>
      </x:c>
      <x:c r="R43" s="72" t="n">
        <x:v>5</x:v>
      </x:c>
      <x:c r="S43" s="72" t="n">
        <x:v>4</x:v>
      </x:c>
      <x:c r="T43" s="72" t="n">
        <x:v>5</x:v>
      </x:c>
      <x:c r="U43" s="72" t="n">
        <x:v>4</x:v>
      </x:c>
      <x:c r="V43" s="72" t="n">
        <x:v>5</x:v>
      </x:c>
      <x:c r="W43" s="29" t="str">
        <x:v>国防数据、长期趋势与国家比较</x:v>
      </x:c>
      <x:c r="X43" s="29" t="str">
        <x:v>军费、武器转移和维和数据的权威入口。</x:v>
      </x:c>
      <x:c r="Y43" s="29" t="str">
        <x:v>使用前核对数据口径、更新时间、许可与引用格式。</x:v>
      </x:c>
      <x:c r="Z43" s="75" t="b">
        <x:v>0</x:v>
      </x:c>
      <x:c r="AA43" s="29"/>
      <x:c r="AB43" s="29" t="str">
        <x:v>扩展调研：数据库、资料库与平台</x:v>
      </x:c>
      <x:c r="AC43" s="29" t="str">
        <x:v>https://www.sipri.org/databases</x:v>
      </x:c>
      <x:c r="AD43" s="29" t="str">
        <x:v>2026-08-17</x:v>
      </x:c>
      <x:c r="AE43" s="29"/>
      <x:c r="AF43" s="29" t="str"/>
      <x:c r="AG43" s="29" t="str"/>
    </x:row>
    <x:row r="44" ht="44" customHeight="1">
      <x:c r="A44" s="29" t="str">
        <x:v>SRC-040</x:v>
      </x:c>
      <x:c r="B44" s="29" t="str">
        <x:f>IF(C44&gt;=93,"S",IF(C44&gt;=90,"A",IF(C44&gt;=80,"B","C")))</x:f>
        <x:v>S</x:v>
      </x:c>
      <x:c r="C44" s="72" t="n">
        <x:f>ROUND((P44*0.20+Q44*0.18+R44*0.20+S44*0.15+T44*0.12+U44*0.10+V44*0.05)*20,0)</x:f>
        <x:v>95</x:v>
      </x:c>
      <x:c r="D44" s="29" t="str">
        <x:v>新闻与调查</x:v>
      </x:c>
      <x:c r="E44" s="29" t="str">
        <x:v>武装冲突数据</x:v>
      </x:c>
      <x:c r="F44" s="29" t="str">
        <x:v>UCDP</x:v>
      </x:c>
      <x:c r="G44" s="29" t="str"/>
      <x:c r="H44" s="29" t="str">
        <x:v>学术冲突数据库 / API</x:v>
      </x:c>
      <x:c r="I44" s="29" t="str">
        <x:v>en</x:v>
      </x:c>
      <x:c r="J44" s="29" t="str">
        <x:v>证据源</x:v>
      </x:c>
      <x:c r="K44" s="29" t="str">
        <x:v>Open</x:v>
      </x:c>
      <x:c r="L44" s="29" t="str">
        <x:v>版本发布</x:v>
      </x:c>
      <x:c r="M44" s="29" t="str">
        <x:v>https://ucdp.uu.se/</x:v>
      </x:c>
      <x:c r="N44" s="29" t="str">
        <x:v>https://ucdp.uu.se/apidocs/</x:v>
      </x:c>
      <x:c r="O44" s="29" t="str">
        <x:v>API入口</x:v>
      </x:c>
      <x:c r="P44" s="72" t="n">
        <x:v>5</x:v>
      </x:c>
      <x:c r="Q44" s="72" t="n">
        <x:v>5</x:v>
      </x:c>
      <x:c r="R44" s="72" t="n">
        <x:v>5</x:v>
      </x:c>
      <x:c r="S44" s="72" t="n">
        <x:v>4</x:v>
      </x:c>
      <x:c r="T44" s="72" t="n">
        <x:v>5</x:v>
      </x:c>
      <x:c r="U44" s="72" t="n">
        <x:v>4</x:v>
      </x:c>
      <x:c r="V44" s="72" t="n">
        <x:v>5</x:v>
      </x:c>
      <x:c r="W44" s="29" t="str">
        <x:v>战争趋势、冲突定义与长期比较</x:v>
      </x:c>
      <x:c r="X44" s="29" t="str">
        <x:v>定义明确、长期可比的国家和事件级冲突数据。</x:v>
      </x:c>
      <x:c r="Y44" s="29" t="str">
        <x:v>使用前核对数据口径、更新时间、许可与引用格式。；未按 RSS/Atom 校验。</x:v>
      </x:c>
      <x:c r="Z44" s="75" t="b">
        <x:v>0</x:v>
      </x:c>
      <x:c r="AA44" s="29"/>
      <x:c r="AB44" s="29" t="str">
        <x:v>扩展调研：数据库、资料库与平台</x:v>
      </x:c>
      <x:c r="AC44" s="29" t="str">
        <x:v>https://ucdp.uu.se/</x:v>
      </x:c>
      <x:c r="AD44" s="29" t="str">
        <x:v>2026-08-17</x:v>
      </x:c>
      <x:c r="AE44" s="29"/>
      <x:c r="AF44" s="29" t="str">
        <x:v>https://ucdp.uu.se/apidocs/</x:v>
      </x:c>
      <x:c r="AG44" s="29" t="str"/>
    </x:row>
    <x:row r="45" ht="44" customHeight="1">
      <x:c r="A45" s="29" t="str">
        <x:v>SRC-041</x:v>
      </x:c>
      <x:c r="B45" s="29" t="str">
        <x:f>IF(C45&gt;=93,"S",IF(C45&gt;=90,"A",IF(C45&gt;=80,"B","C")))</x:f>
        <x:v>S</x:v>
      </x:c>
      <x:c r="C45" s="72" t="n">
        <x:f>ROUND((P45*0.20+Q45*0.18+R45*0.20+S45*0.15+T45*0.12+U45*0.10+V45*0.05)*20,0)</x:f>
        <x:v>95</x:v>
      </x:c>
      <x:c r="D45" s="29" t="str">
        <x:v>科学与数学</x:v>
      </x:c>
      <x:c r="E45" s="29" t="str">
        <x:v>开放获取论文聚合</x:v>
      </x:c>
      <x:c r="F45" s="29" t="str">
        <x:v>CORE</x:v>
      </x:c>
      <x:c r="G45" s="29" t="str"/>
      <x:c r="H45" s="29" t="str">
        <x:v>开放论文数据库 / API</x:v>
      </x:c>
      <x:c r="I45" s="29" t="str">
        <x:v>en</x:v>
      </x:c>
      <x:c r="J45" s="29" t="str">
        <x:v>证据源</x:v>
      </x:c>
      <x:c r="K45" s="29" t="str">
        <x:v>Open</x:v>
      </x:c>
      <x:c r="L45" s="29" t="str">
        <x:v>持续更新</x:v>
      </x:c>
      <x:c r="M45" s="29" t="str">
        <x:v>https://core.ac.uk/</x:v>
      </x:c>
      <x:c r="N45" s="29" t="str">
        <x:v>https://core.ac.uk/services/api</x:v>
      </x:c>
      <x:c r="O45" s="29" t="str">
        <x:v>API入口</x:v>
      </x:c>
      <x:c r="P45" s="72" t="n">
        <x:v>5</x:v>
      </x:c>
      <x:c r="Q45" s="72" t="n">
        <x:v>5</x:v>
      </x:c>
      <x:c r="R45" s="72" t="n">
        <x:v>5</x:v>
      </x:c>
      <x:c r="S45" s="72" t="n">
        <x:v>4</x:v>
      </x:c>
      <x:c r="T45" s="72" t="n">
        <x:v>5</x:v>
      </x:c>
      <x:c r="U45" s="72" t="n">
        <x:v>4</x:v>
      </x:c>
      <x:c r="V45" s="72" t="n">
        <x:v>5</x:v>
      </x:c>
      <x:c r="W45" s="29" t="str">
        <x:v>开放全文、研究综述</x:v>
      </x:c>
      <x:c r="X45" s="29" t="str">
        <x:v>聚合全球机构库与开放全文，可补足付费墙后的合法开放版本。</x:v>
      </x:c>
      <x:c r="Y45" s="29" t="str">
        <x:v>使用前核对数据口径、更新时间、许可与引用格式。；未按 RSS/Atom 校验。</x:v>
      </x:c>
      <x:c r="Z45" s="75" t="b">
        <x:v>0</x:v>
      </x:c>
      <x:c r="AA45" s="29"/>
      <x:c r="AB45" s="29" t="str">
        <x:v>扩展调研：数据库、资料库与平台</x:v>
      </x:c>
      <x:c r="AC45" s="29" t="str">
        <x:v>https://core.ac.uk/</x:v>
      </x:c>
      <x:c r="AD45" s="29" t="str">
        <x:v>2026-08-17</x:v>
      </x:c>
      <x:c r="AE45" s="29"/>
      <x:c r="AF45" s="29" t="str">
        <x:v>https://core.ac.uk/services/api</x:v>
      </x:c>
      <x:c r="AG45" s="29" t="str"/>
    </x:row>
    <x:row r="46" ht="44" customHeight="1">
      <x:c r="A46" s="29" t="str">
        <x:v>SRC-042</x:v>
      </x:c>
      <x:c r="B46" s="29" t="str">
        <x:f>IF(C46&gt;=93,"S",IF(C46&gt;=90,"A",IF(C46&gt;=80,"B","C")))</x:f>
        <x:v>S</x:v>
      </x:c>
      <x:c r="C46" s="72" t="n">
        <x:f>ROUND((P46*0.20+Q46*0.18+R46*0.20+S46*0.15+T46*0.12+U46*0.10+V46*0.05)*20,0)</x:f>
        <x:v>95</x:v>
      </x:c>
      <x:c r="D46" s="29" t="str">
        <x:v>科学与数学</x:v>
      </x:c>
      <x:c r="E46" s="29" t="str">
        <x:v>论文 DOI 与元数据</x:v>
      </x:c>
      <x:c r="F46" s="29" t="str">
        <x:v>Crossref REST API</x:v>
      </x:c>
      <x:c r="G46" s="29" t="str"/>
      <x:c r="H46" s="29" t="str">
        <x:v>学术元数据 API</x:v>
      </x:c>
      <x:c r="I46" s="29" t="str">
        <x:v>en</x:v>
      </x:c>
      <x:c r="J46" s="29" t="str">
        <x:v>证据源</x:v>
      </x:c>
      <x:c r="K46" s="29" t="str">
        <x:v>Open</x:v>
      </x:c>
      <x:c r="L46" s="29" t="str">
        <x:v>持续更新</x:v>
      </x:c>
      <x:c r="M46" s="29" t="str">
        <x:v>https://www.crossref.org/</x:v>
      </x:c>
      <x:c r="N46" s="29" t="str">
        <x:v>https://api.crossref.org/works</x:v>
      </x:c>
      <x:c r="O46" s="29" t="str">
        <x:v>API入口</x:v>
      </x:c>
      <x:c r="P46" s="72" t="n">
        <x:v>5</x:v>
      </x:c>
      <x:c r="Q46" s="72" t="n">
        <x:v>5</x:v>
      </x:c>
      <x:c r="R46" s="72" t="n">
        <x:v>5</x:v>
      </x:c>
      <x:c r="S46" s="72" t="n">
        <x:v>4</x:v>
      </x:c>
      <x:c r="T46" s="72" t="n">
        <x:v>5</x:v>
      </x:c>
      <x:c r="U46" s="72" t="n">
        <x:v>4</x:v>
      </x:c>
      <x:c r="V46" s="72" t="n">
        <x:v>5</x:v>
      </x:c>
      <x:c r="W46" s="29" t="str">
        <x:v>论文溯源、引用网络、研究趋势</x:v>
      </x:c>
      <x:c r="X46" s="29" t="str">
        <x:v>用 DOI、作者、期刊和参考文献追到正式出版记录。</x:v>
      </x:c>
      <x:c r="Y46" s="29" t="str">
        <x:v>使用前核对数据口径、更新时间、许可与引用格式。；未按 RSS/Atom 校验。</x:v>
      </x:c>
      <x:c r="Z46" s="75" t="b">
        <x:v>0</x:v>
      </x:c>
      <x:c r="AA46" s="29"/>
      <x:c r="AB46" s="29" t="str">
        <x:v>扩展调研：数据库、资料库与平台</x:v>
      </x:c>
      <x:c r="AC46" s="29" t="str">
        <x:v>https://www.crossref.org/</x:v>
      </x:c>
      <x:c r="AD46" s="29" t="str">
        <x:v>2026-08-17</x:v>
      </x:c>
      <x:c r="AE46" s="29"/>
      <x:c r="AF46" s="29" t="str">
        <x:v>https://api.crossref.org/works</x:v>
      </x:c>
      <x:c r="AG46" s="29" t="str"/>
    </x:row>
    <x:row r="47" ht="44" customHeight="1">
      <x:c r="A47" s="29" t="str">
        <x:v>SRC-043</x:v>
      </x:c>
      <x:c r="B47" s="29" t="str">
        <x:f>IF(C47&gt;=93,"S",IF(C47&gt;=90,"A",IF(C47&gt;=80,"B","C")))</x:f>
        <x:v>S</x:v>
      </x:c>
      <x:c r="C47" s="72" t="n">
        <x:f>ROUND((P47*0.20+Q47*0.18+R47*0.20+S47*0.15+T47*0.12+U47*0.10+V47*0.05)*20,0)</x:f>
        <x:v>95</x:v>
      </x:c>
      <x:c r="D47" s="29" t="str">
        <x:v>科学与数学</x:v>
      </x:c>
      <x:c r="E47" s="29" t="str">
        <x:v>研究对象 DOI</x:v>
      </x:c>
      <x:c r="F47" s="29" t="str">
        <x:v>DataCite Commons</x:v>
      </x:c>
      <x:c r="G47" s="29" t="str"/>
      <x:c r="H47" s="29" t="str">
        <x:v>研究元数据图谱 / API</x:v>
      </x:c>
      <x:c r="I47" s="29" t="str">
        <x:v>en</x:v>
      </x:c>
      <x:c r="J47" s="29" t="str">
        <x:v>证据源</x:v>
      </x:c>
      <x:c r="K47" s="29" t="str">
        <x:v>Open</x:v>
      </x:c>
      <x:c r="L47" s="29" t="str">
        <x:v>持续更新</x:v>
      </x:c>
      <x:c r="M47" s="29" t="str">
        <x:v>https://commons.datacite.org/</x:v>
      </x:c>
      <x:c r="N47" s="29" t="str">
        <x:v>https://api.datacite.org/</x:v>
      </x:c>
      <x:c r="O47" s="29" t="str">
        <x:v>API入口</x:v>
      </x:c>
      <x:c r="P47" s="72" t="n">
        <x:v>5</x:v>
      </x:c>
      <x:c r="Q47" s="72" t="n">
        <x:v>5</x:v>
      </x:c>
      <x:c r="R47" s="72" t="n">
        <x:v>5</x:v>
      </x:c>
      <x:c r="S47" s="72" t="n">
        <x:v>4</x:v>
      </x:c>
      <x:c r="T47" s="72" t="n">
        <x:v>5</x:v>
      </x:c>
      <x:c r="U47" s="72" t="n">
        <x:v>4</x:v>
      </x:c>
      <x:c r="V47" s="72" t="n">
        <x:v>5</x:v>
      </x:c>
      <x:c r="W47" s="29" t="str">
        <x:v>数据 DOI、作者与机构图谱</x:v>
      </x:c>
      <x:c r="X47" s="29" t="str">
        <x:v>追踪数据集、软件、机构与研究者的 DOI 关系。</x:v>
      </x:c>
      <x:c r="Y47" s="29" t="str">
        <x:v>使用前核对数据口径、更新时间、许可与引用格式。；未按 RSS/Atom 校验。</x:v>
      </x:c>
      <x:c r="Z47" s="75" t="b">
        <x:v>0</x:v>
      </x:c>
      <x:c r="AA47" s="29"/>
      <x:c r="AB47" s="29" t="str">
        <x:v>扩展调研：数据库、资料库与平台</x:v>
      </x:c>
      <x:c r="AC47" s="29" t="str">
        <x:v>https://commons.datacite.org/</x:v>
      </x:c>
      <x:c r="AD47" s="29" t="str">
        <x:v>2026-08-17</x:v>
      </x:c>
      <x:c r="AE47" s="29"/>
      <x:c r="AF47" s="29" t="str">
        <x:v>https://api.datacite.org/</x:v>
      </x:c>
      <x:c r="AG47" s="29" t="str"/>
    </x:row>
    <x:row r="48" ht="44" customHeight="1">
      <x:c r="A48" s="29" t="str">
        <x:v>SRC-044</x:v>
      </x:c>
      <x:c r="B48" s="29" t="str">
        <x:f>IF(C48&gt;=93,"S",IF(C48&gt;=90,"A",IF(C48&gt;=80,"B","C")))</x:f>
        <x:v>S</x:v>
      </x:c>
      <x:c r="C48" s="72" t="n">
        <x:f>ROUND((P48*0.20+Q48*0.18+R48*0.20+S48*0.15+T48*0.12+U48*0.10+V48*0.05)*20,0)</x:f>
        <x:v>95</x:v>
      </x:c>
      <x:c r="D48" s="29" t="str">
        <x:v>科学与数学</x:v>
      </x:c>
      <x:c r="E48" s="29" t="str">
        <x:v>开放获取期刊目录</x:v>
      </x:c>
      <x:c r="F48" s="29" t="str">
        <x:v>DOAJ</x:v>
      </x:c>
      <x:c r="G48" s="29" t="str"/>
      <x:c r="H48" s="29" t="str">
        <x:v>期刊目录 / API</x:v>
      </x:c>
      <x:c r="I48" s="29" t="str">
        <x:v>en</x:v>
      </x:c>
      <x:c r="J48" s="29" t="str">
        <x:v>证据源</x:v>
      </x:c>
      <x:c r="K48" s="29" t="str">
        <x:v>Open</x:v>
      </x:c>
      <x:c r="L48" s="29" t="str">
        <x:v>持续更新</x:v>
      </x:c>
      <x:c r="M48" s="29" t="str">
        <x:v>https://doaj.org/</x:v>
      </x:c>
      <x:c r="N48" s="29" t="str">
        <x:v>https://doaj.org/api/</x:v>
      </x:c>
      <x:c r="O48" s="29" t="str">
        <x:v>API入口</x:v>
      </x:c>
      <x:c r="P48" s="72" t="n">
        <x:v>5</x:v>
      </x:c>
      <x:c r="Q48" s="72" t="n">
        <x:v>5</x:v>
      </x:c>
      <x:c r="R48" s="72" t="n">
        <x:v>5</x:v>
      </x:c>
      <x:c r="S48" s="72" t="n">
        <x:v>4</x:v>
      </x:c>
      <x:c r="T48" s="72" t="n">
        <x:v>5</x:v>
      </x:c>
      <x:c r="U48" s="72" t="n">
        <x:v>4</x:v>
      </x:c>
      <x:c r="V48" s="72" t="n">
        <x:v>5</x:v>
      </x:c>
      <x:c r="W48" s="29" t="str">
        <x:v>开放期刊清单、许可核验</x:v>
      </x:c>
      <x:c r="X48" s="29" t="str">
        <x:v>筛选开放获取期刊并查看基础质量与许可信息。</x:v>
      </x:c>
      <x:c r="Y48" s="29" t="str">
        <x:v>使用前核对数据口径、更新时间、许可与引用格式。；未按 RSS/Atom 校验。</x:v>
      </x:c>
      <x:c r="Z48" s="75" t="b">
        <x:v>0</x:v>
      </x:c>
      <x:c r="AA48" s="29"/>
      <x:c r="AB48" s="29" t="str">
        <x:v>扩展调研：数据库、资料库与平台</x:v>
      </x:c>
      <x:c r="AC48" s="29" t="str">
        <x:v>https://doaj.org/</x:v>
      </x:c>
      <x:c r="AD48" s="29" t="str">
        <x:v>2026-08-17</x:v>
      </x:c>
      <x:c r="AE48" s="29"/>
      <x:c r="AF48" s="29" t="str">
        <x:v>https://doaj.org/api/</x:v>
      </x:c>
      <x:c r="AG48" s="29" t="str"/>
    </x:row>
    <x:row r="49" ht="44" customHeight="1">
      <x:c r="A49" s="29" t="str">
        <x:v>SRC-045</x:v>
      </x:c>
      <x:c r="B49" s="29" t="str">
        <x:f>IF(C49&gt;=93,"S",IF(C49&gt;=90,"A",IF(C49&gt;=80,"B","C")))</x:f>
        <x:v>S</x:v>
      </x:c>
      <x:c r="C49" s="72" t="n">
        <x:f>ROUND((P49*0.20+Q49*0.18+R49*0.20+S49*0.15+T49*0.12+U49*0.10+V49*0.05)*20,0)</x:f>
        <x:v>95</x:v>
      </x:c>
      <x:c r="D49" s="29" t="str">
        <x:v>科学与数学</x:v>
      </x:c>
      <x:c r="E49" s="29" t="str">
        <x:v>生命科学全文与资助信息</x:v>
      </x:c>
      <x:c r="F49" s="29" t="str">
        <x:v>Europe PMC</x:v>
      </x:c>
      <x:c r="G49" s="29" t="str"/>
      <x:c r="H49" s="29" t="str">
        <x:v>文献数据库 / API</x:v>
      </x:c>
      <x:c r="I49" s="29" t="str">
        <x:v>en</x:v>
      </x:c>
      <x:c r="J49" s="29" t="str">
        <x:v>证据源</x:v>
      </x:c>
      <x:c r="K49" s="29" t="str">
        <x:v>Open</x:v>
      </x:c>
      <x:c r="L49" s="29" t="str">
        <x:v>每日</x:v>
      </x:c>
      <x:c r="M49" s="29" t="str">
        <x:v>https://europepmc.org/</x:v>
      </x:c>
      <x:c r="N49" s="29" t="str">
        <x:v>https://www.ebi.ac.uk/europepmc/webservices/rest/</x:v>
      </x:c>
      <x:c r="O49" s="29" t="str">
        <x:v>API入口</x:v>
      </x:c>
      <x:c r="P49" s="72" t="n">
        <x:v>5</x:v>
      </x:c>
      <x:c r="Q49" s="72" t="n">
        <x:v>5</x:v>
      </x:c>
      <x:c r="R49" s="72" t="n">
        <x:v>5</x:v>
      </x:c>
      <x:c r="S49" s="72" t="n">
        <x:v>4</x:v>
      </x:c>
      <x:c r="T49" s="72" t="n">
        <x:v>5</x:v>
      </x:c>
      <x:c r="U49" s="72" t="n">
        <x:v>4</x:v>
      </x:c>
      <x:c r="V49" s="72" t="n">
        <x:v>5</x:v>
      </x:c>
      <x:c r="W49" s="29" t="str">
        <x:v>开放全文、资助与引用脉络</x:v>
      </x:c>
      <x:c r="X49" s="29" t="str">
        <x:v>连接论文、开放全文、资助与引用，适合生命科学证据链。</x:v>
      </x:c>
      <x:c r="Y49" s="29" t="str">
        <x:v>使用前核对数据口径、更新时间、许可与引用格式。；未按 RSS/Atom 校验。</x:v>
      </x:c>
      <x:c r="Z49" s="75" t="b">
        <x:v>0</x:v>
      </x:c>
      <x:c r="AA49" s="29"/>
      <x:c r="AB49" s="29" t="str">
        <x:v>扩展调研：数据库、资料库与平台</x:v>
      </x:c>
      <x:c r="AC49" s="29" t="str">
        <x:v>https://europepmc.org/</x:v>
      </x:c>
      <x:c r="AD49" s="29" t="str">
        <x:v>2026-08-17</x:v>
      </x:c>
      <x:c r="AE49" s="29"/>
      <x:c r="AF49" s="29" t="str">
        <x:v>https://www.ebi.ac.uk/europepmc/webservices/rest/</x:v>
      </x:c>
      <x:c r="AG49" s="29" t="str"/>
    </x:row>
    <x:row r="50" ht="44" customHeight="1">
      <x:c r="A50" s="29" t="str">
        <x:v>SRC-046</x:v>
      </x:c>
      <x:c r="B50" s="29" t="str">
        <x:f>IF(C50&gt;=93,"S",IF(C50&gt;=90,"A",IF(C50&gt;=80,"B","C")))</x:f>
        <x:v>S</x:v>
      </x:c>
      <x:c r="C50" s="72" t="n">
        <x:f>ROUND((P50*0.20+Q50*0.18+R50*0.20+S50*0.15+T50*0.12+U50*0.10+V50*0.05)*20,0)</x:f>
        <x:v>95</x:v>
      </x:c>
      <x:c r="D50" s="29" t="str">
        <x:v>科学与数学</x:v>
      </x:c>
      <x:c r="E50" s="29" t="str">
        <x:v>开放学术图谱</x:v>
      </x:c>
      <x:c r="F50" s="29" t="str">
        <x:v>OpenAlex</x:v>
      </x:c>
      <x:c r="G50" s="29" t="str"/>
      <x:c r="H50" s="29" t="str">
        <x:v>学术知识图谱 / API</x:v>
      </x:c>
      <x:c r="I50" s="29" t="str">
        <x:v>en</x:v>
      </x:c>
      <x:c r="J50" s="29" t="str">
        <x:v>证据源</x:v>
      </x:c>
      <x:c r="K50" s="29" t="str">
        <x:v>Open</x:v>
      </x:c>
      <x:c r="L50" s="29" t="str">
        <x:v>持续更新</x:v>
      </x:c>
      <x:c r="M50" s="29" t="str">
        <x:v>https://openalex.org/</x:v>
      </x:c>
      <x:c r="N50" s="29" t="str">
        <x:v>https://api.openalex.org/</x:v>
      </x:c>
      <x:c r="O50" s="29" t="str">
        <x:v>API入口</x:v>
      </x:c>
      <x:c r="P50" s="72" t="n">
        <x:v>5</x:v>
      </x:c>
      <x:c r="Q50" s="72" t="n">
        <x:v>5</x:v>
      </x:c>
      <x:c r="R50" s="72" t="n">
        <x:v>5</x:v>
      </x:c>
      <x:c r="S50" s="72" t="n">
        <x:v>4</x:v>
      </x:c>
      <x:c r="T50" s="72" t="n">
        <x:v>5</x:v>
      </x:c>
      <x:c r="U50" s="72" t="n">
        <x:v>4</x:v>
      </x:c>
      <x:c r="V50" s="72" t="n">
        <x:v>5</x:v>
      </x:c>
      <x:c r="W50" s="29" t="str">
        <x:v>领域地图、机构比较、引用趋势</x:v>
      </x:c>
      <x:c r="X50" s="29" t="str">
        <x:v>覆盖论文、作者、机构、主题与引用关系，适合做研究版图。</x:v>
      </x:c>
      <x:c r="Y50" s="29" t="str">
        <x:v>使用前核对数据口径、更新时间、许可与引用格式。；未按 RSS/Atom 校验。</x:v>
      </x:c>
      <x:c r="Z50" s="75" t="b">
        <x:v>0</x:v>
      </x:c>
      <x:c r="AA50" s="29"/>
      <x:c r="AB50" s="29" t="str">
        <x:v>扩展调研：数据库、资料库与平台</x:v>
      </x:c>
      <x:c r="AC50" s="29" t="str">
        <x:v>https://openalex.org/</x:v>
      </x:c>
      <x:c r="AD50" s="29" t="str">
        <x:v>2026-08-17</x:v>
      </x:c>
      <x:c r="AE50" s="29"/>
      <x:c r="AF50" s="29" t="str">
        <x:v>https://api.openalex.org/</x:v>
      </x:c>
      <x:c r="AG50" s="29" t="str"/>
    </x:row>
    <x:row r="51" ht="44" customHeight="1">
      <x:c r="A51" s="29" t="str">
        <x:v>SRC-047</x:v>
      </x:c>
      <x:c r="B51" s="29" t="str">
        <x:f>IF(C51&gt;=93,"S",IF(C51&gt;=90,"A",IF(C51&gt;=80,"B","C")))</x:f>
        <x:v>S</x:v>
      </x:c>
      <x:c r="C51" s="72" t="n">
        <x:f>ROUND((P51*0.20+Q51*0.18+R51*0.20+S51*0.15+T51*0.12+U51*0.10+V51*0.05)*20,0)</x:f>
        <x:v>95</x:v>
      </x:c>
      <x:c r="D51" s="29" t="str">
        <x:v>科学与数学</x:v>
      </x:c>
      <x:c r="E51" s="29" t="str">
        <x:v>开放科学项目仓储</x:v>
      </x:c>
      <x:c r="F51" s="29" t="str">
        <x:v>OSF</x:v>
      </x:c>
      <x:c r="G51" s="29" t="str"/>
      <x:c r="H51" s="29" t="str">
        <x:v>项目仓储 / API</x:v>
      </x:c>
      <x:c r="I51" s="29" t="str">
        <x:v>en</x:v>
      </x:c>
      <x:c r="J51" s="29" t="str">
        <x:v>证据源</x:v>
      </x:c>
      <x:c r="K51" s="29" t="str">
        <x:v>Open</x:v>
      </x:c>
      <x:c r="L51" s="29" t="str">
        <x:v>持续更新</x:v>
      </x:c>
      <x:c r="M51" s="29" t="str">
        <x:v>https://osf.io/</x:v>
      </x:c>
      <x:c r="N51" s="29" t="str">
        <x:v>https://api.osf.io/v2/</x:v>
      </x:c>
      <x:c r="O51" s="29" t="str">
        <x:v>API入口</x:v>
      </x:c>
      <x:c r="P51" s="72" t="n">
        <x:v>5</x:v>
      </x:c>
      <x:c r="Q51" s="72" t="n">
        <x:v>5</x:v>
      </x:c>
      <x:c r="R51" s="72" t="n">
        <x:v>5</x:v>
      </x:c>
      <x:c r="S51" s="72" t="n">
        <x:v>4</x:v>
      </x:c>
      <x:c r="T51" s="72" t="n">
        <x:v>5</x:v>
      </x:c>
      <x:c r="U51" s="72" t="n">
        <x:v>4</x:v>
      </x:c>
      <x:c r="V51" s="72" t="n">
        <x:v>5</x:v>
      </x:c>
      <x:c r="W51" s="29" t="str">
        <x:v>研究方法、预注册、复现材料</x:v>
      </x:c>
      <x:c r="X51" s="29" t="str">
        <x:v>可查看预注册、材料、数据和版本历史，帮助判断研究透明度。</x:v>
      </x:c>
      <x:c r="Y51" s="29" t="str">
        <x:v>使用前核对数据口径、更新时间、许可与引用格式。；未按 RSS/Atom 校验。</x:v>
      </x:c>
      <x:c r="Z51" s="75" t="b">
        <x:v>0</x:v>
      </x:c>
      <x:c r="AA51" s="29"/>
      <x:c r="AB51" s="29" t="str">
        <x:v>扩展调研：数据库、资料库与平台</x:v>
      </x:c>
      <x:c r="AC51" s="29" t="str">
        <x:v>https://osf.io/</x:v>
      </x:c>
      <x:c r="AD51" s="29" t="str">
        <x:v>2026-08-17</x:v>
      </x:c>
      <x:c r="AE51" s="29"/>
      <x:c r="AF51" s="29" t="str">
        <x:v>https://api.osf.io/v2/</x:v>
      </x:c>
      <x:c r="AG51" s="29" t="str"/>
    </x:row>
    <x:row r="52" ht="44" customHeight="1">
      <x:c r="A52" s="29" t="str">
        <x:v>SRC-048</x:v>
      </x:c>
      <x:c r="B52" s="29" t="str">
        <x:f>IF(C52&gt;=93,"S",IF(C52&gt;=90,"A",IF(C52&gt;=80,"B","C")))</x:f>
        <x:v>S</x:v>
      </x:c>
      <x:c r="C52" s="72" t="n">
        <x:f>ROUND((P52*0.20+Q52*0.18+R52*0.20+S52*0.15+T52*0.12+U52*0.10+V52*0.05)*20,0)</x:f>
        <x:v>95</x:v>
      </x:c>
      <x:c r="D52" s="29" t="str">
        <x:v>科学与数学</x:v>
      </x:c>
      <x:c r="E52" s="29" t="str">
        <x:v>研究数据与软件仓储</x:v>
      </x:c>
      <x:c r="F52" s="29" t="str">
        <x:v>Zenodo</x:v>
      </x:c>
      <x:c r="G52" s="29" t="str"/>
      <x:c r="H52" s="29" t="str">
        <x:v>开放仓储 / API</x:v>
      </x:c>
      <x:c r="I52" s="29" t="str">
        <x:v>multilingual</x:v>
      </x:c>
      <x:c r="J52" s="29" t="str">
        <x:v>证据源</x:v>
      </x:c>
      <x:c r="K52" s="29" t="str">
        <x:v>Open</x:v>
      </x:c>
      <x:c r="L52" s="29" t="str">
        <x:v>持续更新</x:v>
      </x:c>
      <x:c r="M52" s="29" t="str">
        <x:v>https://zenodo.org/</x:v>
      </x:c>
      <x:c r="N52" s="29" t="str">
        <x:v>https://zenodo.org/api/records</x:v>
      </x:c>
      <x:c r="O52" s="29" t="str">
        <x:v>API入口</x:v>
      </x:c>
      <x:c r="P52" s="72" t="n">
        <x:v>5</x:v>
      </x:c>
      <x:c r="Q52" s="72" t="n">
        <x:v>5</x:v>
      </x:c>
      <x:c r="R52" s="72" t="n">
        <x:v>5</x:v>
      </x:c>
      <x:c r="S52" s="72" t="n">
        <x:v>4</x:v>
      </x:c>
      <x:c r="T52" s="72" t="n">
        <x:v>5</x:v>
      </x:c>
      <x:c r="U52" s="72" t="n">
        <x:v>4</x:v>
      </x:c>
      <x:c r="V52" s="72" t="n">
        <x:v>5</x:v>
      </x:c>
      <x:c r="W52" s="29" t="str">
        <x:v>原始数据、代码和方法附件</x:v>
      </x:c>
      <x:c r="X52" s="29" t="str">
        <x:v>论文之外还能找到数据、代码、海报与可引用 DOI。</x:v>
      </x:c>
      <x:c r="Y52" s="29" t="str">
        <x:v>使用前核对数据口径、更新时间、许可与引用格式。；未按 RSS/Atom 校验。</x:v>
      </x:c>
      <x:c r="Z52" s="75" t="b">
        <x:v>0</x:v>
      </x:c>
      <x:c r="AA52" s="29"/>
      <x:c r="AB52" s="29" t="str">
        <x:v>扩展调研：数据库、资料库与平台</x:v>
      </x:c>
      <x:c r="AC52" s="29" t="str">
        <x:v>https://zenodo.org/</x:v>
      </x:c>
      <x:c r="AD52" s="29" t="str">
        <x:v>2026-08-17</x:v>
      </x:c>
      <x:c r="AE52" s="29"/>
      <x:c r="AF52" s="29" t="str">
        <x:v>https://zenodo.org/api/records</x:v>
      </x:c>
      <x:c r="AG52" s="29" t="str"/>
    </x:row>
    <x:row r="53" ht="44" customHeight="1">
      <x:c r="A53" s="29" t="str">
        <x:v>SRC-049</x:v>
      </x:c>
      <x:c r="B53" s="29" t="str">
        <x:f>IF(C53&gt;=93,"S",IF(C53&gt;=90,"A",IF(C53&gt;=80,"B","C")))</x:f>
        <x:v>S</x:v>
      </x:c>
      <x:c r="C53" s="72" t="n">
        <x:f>ROUND((P53*0.20+Q53*0.18+R53*0.20+S53*0.15+T53*0.12+U53*0.10+V53*0.05)*20,0)</x:f>
        <x:v>95</x:v>
      </x:c>
      <x:c r="D53" s="29" t="str">
        <x:v>艺术、设计与建筑</x:v>
      </x:c>
      <x:c r="E53" s="29" t="str">
        <x:v>艺术馆藏与 IIIF</x:v>
      </x:c>
      <x:c r="F53" s="29" t="str">
        <x:v>Art Institute of Chicago API</x:v>
      </x:c>
      <x:c r="G53" s="29" t="str"/>
      <x:c r="H53" s="29" t="str">
        <x:v>博物馆馆藏 API</x:v>
      </x:c>
      <x:c r="I53" s="29" t="str">
        <x:v>en</x:v>
      </x:c>
      <x:c r="J53" s="29" t="str">
        <x:v>证据源</x:v>
      </x:c>
      <x:c r="K53" s="29" t="str">
        <x:v>Open</x:v>
      </x:c>
      <x:c r="L53" s="29" t="str">
        <x:v>持续更新</x:v>
      </x:c>
      <x:c r="M53" s="29" t="str">
        <x:v>https://www.artic.edu/collection</x:v>
      </x:c>
      <x:c r="N53" s="29" t="str">
        <x:v>https://api.artic.edu/docs/</x:v>
      </x:c>
      <x:c r="O53" s="29" t="str">
        <x:v>API入口</x:v>
      </x:c>
      <x:c r="P53" s="72" t="n">
        <x:v>5</x:v>
      </x:c>
      <x:c r="Q53" s="72" t="n">
        <x:v>5</x:v>
      </x:c>
      <x:c r="R53" s="72" t="n">
        <x:v>5</x:v>
      </x:c>
      <x:c r="S53" s="72" t="n">
        <x:v>4</x:v>
      </x:c>
      <x:c r="T53" s="72" t="n">
        <x:v>5</x:v>
      </x:c>
      <x:c r="U53" s="72" t="n">
        <x:v>4</x:v>
      </x:c>
      <x:c r="V53" s="72" t="n">
        <x:v>5</x:v>
      </x:c>
      <x:c r="W53" s="29" t="str">
        <x:v>作品图卡、策展主题、IIIF 图像</x:v>
      </x:c>
      <x:c r="X53" s="29" t="str">
        <x:v>开放 API 与 IIIF 图像接口清晰，方便做可追溯视觉素材。</x:v>
      </x:c>
      <x:c r="Y53" s="29" t="str">
        <x:v>使用前核对数据口径、更新时间、许可与引用格式。；未按 RSS/Atom 校验。</x:v>
      </x:c>
      <x:c r="Z53" s="75" t="b">
        <x:v>0</x:v>
      </x:c>
      <x:c r="AA53" s="29"/>
      <x:c r="AB53" s="29" t="str">
        <x:v>扩展调研：数据库、资料库与平台</x:v>
      </x:c>
      <x:c r="AC53" s="29" t="str">
        <x:v>https://www.artic.edu/collection</x:v>
      </x:c>
      <x:c r="AD53" s="29" t="str">
        <x:v>2026-08-17</x:v>
      </x:c>
      <x:c r="AE53" s="29"/>
      <x:c r="AF53" s="29" t="str">
        <x:v>https://api.artic.edu/docs/</x:v>
      </x:c>
      <x:c r="AG53" s="29" t="str"/>
    </x:row>
    <x:row r="54" ht="44" customHeight="1">
      <x:c r="A54" s="29" t="str">
        <x:v>SRC-050</x:v>
      </x:c>
      <x:c r="B54" s="29" t="str">
        <x:f>IF(C54&gt;=93,"S",IF(C54&gt;=90,"A",IF(C54&gt;=80,"B","C")))</x:f>
        <x:v>S</x:v>
      </x:c>
      <x:c r="C54" s="72" t="n">
        <x:f>ROUND((P54*0.20+Q54*0.18+R54*0.20+S54*0.15+T54*0.12+U54*0.10+V54*0.05)*20,0)</x:f>
        <x:v>95</x:v>
      </x:c>
      <x:c r="D54" s="29" t="str">
        <x:v>艺术、设计与建筑</x:v>
      </x:c>
      <x:c r="E54" s="29" t="str">
        <x:v>世界文化与考古藏品</x:v>
      </x:c>
      <x:c r="F54" s="29" t="str">
        <x:v>British Museum Collection</x:v>
      </x:c>
      <x:c r="G54" s="29" t="str"/>
      <x:c r="H54" s="29" t="str">
        <x:v>博物馆馆藏平台</x:v>
      </x:c>
      <x:c r="I54" s="29" t="str">
        <x:v>en</x:v>
      </x:c>
      <x:c r="J54" s="29" t="str">
        <x:v>证据源</x:v>
      </x:c>
      <x:c r="K54" s="29" t="str">
        <x:v>Open</x:v>
      </x:c>
      <x:c r="L54" s="29" t="str">
        <x:v>持续更新</x:v>
      </x:c>
      <x:c r="M54" s="29" t="str">
        <x:v>https://www.britishmuseum.org/collection</x:v>
      </x:c>
      <x:c r="N54" s="29" t="str"/>
      <x:c r="O54" s="29" t="str">
        <x:v>无RSS/API入口</x:v>
      </x:c>
      <x:c r="P54" s="72" t="n">
        <x:v>5</x:v>
      </x:c>
      <x:c r="Q54" s="72" t="n">
        <x:v>5</x:v>
      </x:c>
      <x:c r="R54" s="72" t="n">
        <x:v>5</x:v>
      </x:c>
      <x:c r="S54" s="72" t="n">
        <x:v>4</x:v>
      </x:c>
      <x:c r="T54" s="72" t="n">
        <x:v>5</x:v>
      </x:c>
      <x:c r="U54" s="72" t="n">
        <x:v>4</x:v>
      </x:c>
      <x:c r="V54" s="72" t="n">
        <x:v>5</x:v>
      </x:c>
      <x:c r="W54" s="29" t="str">
        <x:v>文物故事、文明比较</x:v>
      </x:c>
      <x:c r="X54" s="29" t="str">
        <x:v>跨文明器物和考古信息密集，适合物件驱动的历史叙事。</x:v>
      </x:c>
      <x:c r="Y54" s="29" t="str">
        <x:v>对出处、归属与文化敏感性保持谨慎；逐项核对图像许可。</x:v>
      </x:c>
      <x:c r="Z54" s="75" t="b">
        <x:v>0</x:v>
      </x:c>
      <x:c r="AA54" s="29"/>
      <x:c r="AB54" s="29" t="str">
        <x:v>扩展调研：数据库、资料库与平台</x:v>
      </x:c>
      <x:c r="AC54" s="29" t="str">
        <x:v>https://www.britishmuseum.org/collection</x:v>
      </x:c>
      <x:c r="AD54" s="29" t="str">
        <x:v>2026-08-17</x:v>
      </x:c>
      <x:c r="AE54" s="29"/>
      <x:c r="AF54" s="29" t="str"/>
      <x:c r="AG54" s="29" t="str"/>
    </x:row>
    <x:row r="55" ht="44" customHeight="1">
      <x:c r="A55" s="29" t="str">
        <x:v>SRC-051</x:v>
      </x:c>
      <x:c r="B55" s="29" t="str">
        <x:f>IF(C55&gt;=93,"S",IF(C55&gt;=90,"A",IF(C55&gt;=80,"B","C")))</x:f>
        <x:v>S</x:v>
      </x:c>
      <x:c r="C55" s="72" t="n">
        <x:f>ROUND((P55*0.20+Q55*0.18+R55*0.20+S55*0.15+T55*0.12+U55*0.10+V55*0.05)*20,0)</x:f>
        <x:v>95</x:v>
      </x:c>
      <x:c r="D55" s="29" t="str">
        <x:v>艺术、设计与建筑</x:v>
      </x:c>
      <x:c r="E55" s="29" t="str">
        <x:v>开放馆藏图像</x:v>
      </x:c>
      <x:c r="F55" s="29" t="str">
        <x:v>Cleveland Museum of Art Open Access</x:v>
      </x:c>
      <x:c r="G55" s="29" t="str"/>
      <x:c r="H55" s="29" t="str">
        <x:v>博物馆馆藏 API</x:v>
      </x:c>
      <x:c r="I55" s="29" t="str">
        <x:v>en</x:v>
      </x:c>
      <x:c r="J55" s="29" t="str">
        <x:v>证据源</x:v>
      </x:c>
      <x:c r="K55" s="29" t="str">
        <x:v>Open</x:v>
      </x:c>
      <x:c r="L55" s="29" t="str">
        <x:v>持续更新</x:v>
      </x:c>
      <x:c r="M55" s="29" t="str">
        <x:v>https://www.clevelandart.org/art/collection</x:v>
      </x:c>
      <x:c r="N55" s="29" t="str">
        <x:v>https://openaccess-api.clevelandart.org/</x:v>
      </x:c>
      <x:c r="O55" s="29" t="str">
        <x:v>API入口</x:v>
      </x:c>
      <x:c r="P55" s="72" t="n">
        <x:v>5</x:v>
      </x:c>
      <x:c r="Q55" s="72" t="n">
        <x:v>5</x:v>
      </x:c>
      <x:c r="R55" s="72" t="n">
        <x:v>5</x:v>
      </x:c>
      <x:c r="S55" s="72" t="n">
        <x:v>4</x:v>
      </x:c>
      <x:c r="T55" s="72" t="n">
        <x:v>5</x:v>
      </x:c>
      <x:c r="U55" s="72" t="n">
        <x:v>4</x:v>
      </x:c>
      <x:c r="V55" s="72" t="n">
        <x:v>5</x:v>
      </x:c>
      <x:c r="W55" s="29" t="str">
        <x:v>作品故事、风格与年代比较</x:v>
      </x:c>
      <x:c r="X55" s="29" t="str">
        <x:v>开放图像和元数据许可清晰，适合高质量艺术内容。</x:v>
      </x:c>
      <x:c r="Y55" s="29" t="str">
        <x:v>使用前核对数据口径、更新时间、许可与引用格式。；未按 RSS/Atom 校验。</x:v>
      </x:c>
      <x:c r="Z55" s="75" t="b">
        <x:v>0</x:v>
      </x:c>
      <x:c r="AA55" s="29"/>
      <x:c r="AB55" s="29" t="str">
        <x:v>扩展调研：数据库、资料库与平台</x:v>
      </x:c>
      <x:c r="AC55" s="29" t="str">
        <x:v>https://www.clevelandart.org/art/collection</x:v>
      </x:c>
      <x:c r="AD55" s="29" t="str">
        <x:v>2026-08-17</x:v>
      </x:c>
      <x:c r="AE55" s="29"/>
      <x:c r="AF55" s="29" t="str">
        <x:v>https://openaccess-api.clevelandart.org/</x:v>
      </x:c>
      <x:c r="AG55" s="29" t="str"/>
    </x:row>
    <x:row r="56" ht="44" customHeight="1">
      <x:c r="A56" s="29" t="str">
        <x:v>SRC-052</x:v>
      </x:c>
      <x:c r="B56" s="29" t="str">
        <x:f>IF(C56&gt;=93,"S",IF(C56&gt;=90,"A",IF(C56&gt;=80,"B","C")))</x:f>
        <x:v>S</x:v>
      </x:c>
      <x:c r="C56" s="72" t="n">
        <x:f>ROUND((P56*0.20+Q56*0.18+R56*0.20+S56*0.15+T56*0.12+U56*0.10+V56*0.05)*20,0)</x:f>
        <x:v>95</x:v>
      </x:c>
      <x:c r="D56" s="29" t="str">
        <x:v>艺术、设计与建筑</x:v>
      </x:c>
      <x:c r="E56" s="29" t="str">
        <x:v>法国国家图书馆数字馆藏</x:v>
      </x:c>
      <x:c r="F56" s="29" t="str">
        <x:v>Gallica</x:v>
      </x:c>
      <x:c r="G56" s="29" t="str"/>
      <x:c r="H56" s="29" t="str">
        <x:v>国家数字图书馆 / API</x:v>
      </x:c>
      <x:c r="I56" s="29" t="str">
        <x:v>fr</x:v>
      </x:c>
      <x:c r="J56" s="29" t="str">
        <x:v>证据源</x:v>
      </x:c>
      <x:c r="K56" s="29" t="str">
        <x:v>Open</x:v>
      </x:c>
      <x:c r="L56" s="29" t="str">
        <x:v>持续更新</x:v>
      </x:c>
      <x:c r="M56" s="29" t="str">
        <x:v>https://gallica.bnf.fr/</x:v>
      </x:c>
      <x:c r="N56" s="29" t="str">
        <x:v>https://api.bnf.fr/</x:v>
      </x:c>
      <x:c r="O56" s="29" t="str">
        <x:v>API入口</x:v>
      </x:c>
      <x:c r="P56" s="72" t="n">
        <x:v>5</x:v>
      </x:c>
      <x:c r="Q56" s="72" t="n">
        <x:v>5</x:v>
      </x:c>
      <x:c r="R56" s="72" t="n">
        <x:v>5</x:v>
      </x:c>
      <x:c r="S56" s="72" t="n">
        <x:v>4</x:v>
      </x:c>
      <x:c r="T56" s="72" t="n">
        <x:v>5</x:v>
      </x:c>
      <x:c r="U56" s="72" t="n">
        <x:v>4</x:v>
      </x:c>
      <x:c r="V56" s="72" t="n">
        <x:v>5</x:v>
      </x:c>
      <x:c r="W56" s="29" t="str">
        <x:v>法国史、设计史、旧版画</x:v>
      </x:c>
      <x:c r="X56" s="29" t="str">
        <x:v>旧报刊、书籍、地图、乐谱与图像质量高。</x:v>
      </x:c>
      <x:c r="Y56" s="29" t="str">
        <x:v>查看 Gallica/BnF 的复用与署名条款。；未按 RSS/Atom 校验。</x:v>
      </x:c>
      <x:c r="Z56" s="75" t="b">
        <x:v>0</x:v>
      </x:c>
      <x:c r="AA56" s="29"/>
      <x:c r="AB56" s="29" t="str">
        <x:v>扩展调研：数据库、资料库与平台</x:v>
      </x:c>
      <x:c r="AC56" s="29" t="str">
        <x:v>https://gallica.bnf.fr/</x:v>
      </x:c>
      <x:c r="AD56" s="29" t="str">
        <x:v>2026-08-17</x:v>
      </x:c>
      <x:c r="AE56" s="29"/>
      <x:c r="AF56" s="29" t="str">
        <x:v>https://api.bnf.fr/</x:v>
      </x:c>
      <x:c r="AG56" s="29" t="str"/>
    </x:row>
    <x:row r="57" ht="44" customHeight="1">
      <x:c r="A57" s="29" t="str">
        <x:v>SRC-053</x:v>
      </x:c>
      <x:c r="B57" s="29" t="str">
        <x:f>IF(C57&gt;=93,"S",IF(C57&gt;=90,"A",IF(C57&gt;=80,"B","C")))</x:f>
        <x:v>S</x:v>
      </x:c>
      <x:c r="C57" s="72" t="n">
        <x:f>ROUND((P57*0.20+Q57*0.18+R57*0.20+S57*0.15+T57*0.12+U57*0.10+V57*0.05)*20,0)</x:f>
        <x:v>95</x:v>
      </x:c>
      <x:c r="D57" s="29" t="str">
        <x:v>艺术、设计与建筑</x:v>
      </x:c>
      <x:c r="E57" s="29" t="str">
        <x:v>荷兰国家博物馆馆藏</x:v>
      </x:c>
      <x:c r="F57" s="29" t="str">
        <x:v>Rijksmuseum Collection</x:v>
      </x:c>
      <x:c r="G57" s="29" t="str"/>
      <x:c r="H57" s="29" t="str">
        <x:v>博物馆数据 / API</x:v>
      </x:c>
      <x:c r="I57" s="29" t="str">
        <x:v>en/nl</x:v>
      </x:c>
      <x:c r="J57" s="29" t="str">
        <x:v>证据源</x:v>
      </x:c>
      <x:c r="K57" s="29" t="str">
        <x:v>Open</x:v>
      </x:c>
      <x:c r="L57" s="29" t="str">
        <x:v>持续更新</x:v>
      </x:c>
      <x:c r="M57" s="29" t="str">
        <x:v>https://www.rijksmuseum.nl/en/rijksstudio</x:v>
      </x:c>
      <x:c r="N57" s="29" t="str">
        <x:v>https://data.rijksmuseum.nl/</x:v>
      </x:c>
      <x:c r="O57" s="29" t="str">
        <x:v>API入口</x:v>
      </x:c>
      <x:c r="P57" s="72" t="n">
        <x:v>5</x:v>
      </x:c>
      <x:c r="Q57" s="72" t="n">
        <x:v>5</x:v>
      </x:c>
      <x:c r="R57" s="72" t="n">
        <x:v>5</x:v>
      </x:c>
      <x:c r="S57" s="72" t="n">
        <x:v>4</x:v>
      </x:c>
      <x:c r="T57" s="72" t="n">
        <x:v>5</x:v>
      </x:c>
      <x:c r="U57" s="72" t="n">
        <x:v>4</x:v>
      </x:c>
      <x:c r="V57" s="72" t="n">
        <x:v>5</x:v>
      </x:c>
      <x:c r="W57" s="29" t="str">
        <x:v>作品细节、艺术史与视觉拆解</x:v>
      </x:c>
      <x:c r="X57" s="29" t="str">
        <x:v>高分辨率艺术图像与精细元数据，适合局部细节叙事。</x:v>
      </x:c>
      <x:c r="Y57" s="29" t="str">
        <x:v>使用前核对数据口径、更新时间、许可与引用格式。；未按 RSS/Atom 校验。</x:v>
      </x:c>
      <x:c r="Z57" s="75" t="b">
        <x:v>0</x:v>
      </x:c>
      <x:c r="AA57" s="29"/>
      <x:c r="AB57" s="29" t="str">
        <x:v>扩展调研：数据库、资料库与平台</x:v>
      </x:c>
      <x:c r="AC57" s="29" t="str">
        <x:v>https://www.rijksmuseum.nl/en/rijksstudio</x:v>
      </x:c>
      <x:c r="AD57" s="29" t="str">
        <x:v>2026-08-17</x:v>
      </x:c>
      <x:c r="AE57" s="29"/>
      <x:c r="AF57" s="29" t="str">
        <x:v>https://data.rijksmuseum.nl/</x:v>
      </x:c>
      <x:c r="AG57" s="29" t="str"/>
    </x:row>
    <x:row r="58" ht="44" customHeight="1">
      <x:c r="A58" s="29" t="str">
        <x:v>SRC-054</x:v>
      </x:c>
      <x:c r="B58" s="29" t="str">
        <x:f>IF(C58&gt;=93,"S",IF(C58&gt;=90,"A",IF(C58&gt;=80,"B","C")))</x:f>
        <x:v>S</x:v>
      </x:c>
      <x:c r="C58" s="72" t="n">
        <x:f>ROUND((P58*0.20+Q58*0.18+R58*0.20+S58*0.15+T58*0.12+U58*0.10+V58*0.05)*20,0)</x:f>
        <x:v>95</x:v>
      </x:c>
      <x:c r="D58" s="29" t="str">
        <x:v>艺术、设计与建筑</x:v>
      </x:c>
      <x:c r="E58" s="29" t="str">
        <x:v>跨博物馆开放馆藏</x:v>
      </x:c>
      <x:c r="F58" s="29" t="str">
        <x:v>Smithsonian Open Access</x:v>
      </x:c>
      <x:c r="G58" s="29" t="str"/>
      <x:c r="H58" s="29" t="str">
        <x:v>博物馆开放数据 / API</x:v>
      </x:c>
      <x:c r="I58" s="29" t="str">
        <x:v>en</x:v>
      </x:c>
      <x:c r="J58" s="29" t="str">
        <x:v>证据源</x:v>
      </x:c>
      <x:c r="K58" s="29" t="str">
        <x:v>Open</x:v>
      </x:c>
      <x:c r="L58" s="29" t="str">
        <x:v>持续更新</x:v>
      </x:c>
      <x:c r="M58" s="29" t="str">
        <x:v>https://www.si.edu/openaccess</x:v>
      </x:c>
      <x:c r="N58" s="29" t="str">
        <x:v>https://api.si.edu/openaccess/api/v1.0/</x:v>
      </x:c>
      <x:c r="O58" s="29" t="str">
        <x:v>API入口</x:v>
      </x:c>
      <x:c r="P58" s="72" t="n">
        <x:v>5</x:v>
      </x:c>
      <x:c r="Q58" s="72" t="n">
        <x:v>5</x:v>
      </x:c>
      <x:c r="R58" s="72" t="n">
        <x:v>5</x:v>
      </x:c>
      <x:c r="S58" s="72" t="n">
        <x:v>4</x:v>
      </x:c>
      <x:c r="T58" s="72" t="n">
        <x:v>5</x:v>
      </x:c>
      <x:c r="U58" s="72" t="n">
        <x:v>4</x:v>
      </x:c>
      <x:c r="V58" s="72" t="n">
        <x:v>5</x:v>
      </x:c>
      <x:c r="W58" s="29" t="str">
        <x:v>跨学科馆藏、历史图像与 3D</x:v>
      </x:c>
      <x:c r="X58" s="29" t="str">
        <x:v>覆盖艺术、历史、航空航天与自然史，多模态素材丰富。</x:v>
      </x:c>
      <x:c r="Y58" s="29" t="str">
        <x:v>区分 CC0 开放资产与仅供浏览项目；保留条目 ID 和机构名。；未按 RSS/Atom 校验。</x:v>
      </x:c>
      <x:c r="Z58" s="75" t="b">
        <x:v>0</x:v>
      </x:c>
      <x:c r="AA58" s="29"/>
      <x:c r="AB58" s="29" t="str">
        <x:v>扩展调研：数据库、资料库与平台</x:v>
      </x:c>
      <x:c r="AC58" s="29" t="str">
        <x:v>https://www.si.edu/openaccess/devtools</x:v>
      </x:c>
      <x:c r="AD58" s="29" t="str">
        <x:v>2026-08-17</x:v>
      </x:c>
      <x:c r="AE58" s="29"/>
      <x:c r="AF58" s="29" t="str">
        <x:v>https://api.si.edu/openaccess/api/v1.0/</x:v>
      </x:c>
      <x:c r="AG58" s="29" t="str"/>
    </x:row>
    <x:row r="59" ht="44" customHeight="1">
      <x:c r="A59" s="29" t="str">
        <x:v>SRC-055</x:v>
      </x:c>
      <x:c r="B59" s="29" t="str">
        <x:f>IF(C59&gt;=93,"S",IF(C59&gt;=90,"A",IF(C59&gt;=80,"B","C")))</x:f>
        <x:v>S</x:v>
      </x:c>
      <x:c r="C59" s="72" t="n">
        <x:f>ROUND((P59*0.20+Q59*0.18+R59*0.20+S59*0.15+T59*0.12+U59*0.10+V59*0.05)*20,0)</x:f>
        <x:v>95</x:v>
      </x:c>
      <x:c r="D59" s="29" t="str">
        <x:v>艺术、设计与建筑</x:v>
      </x:c>
      <x:c r="E59" s="29" t="str">
        <x:v>博物馆藏品与开放图像</x:v>
      </x:c>
      <x:c r="F59" s="29" t="str">
        <x:v>The Met Collection API</x:v>
      </x:c>
      <x:c r="G59" s="29" t="str"/>
      <x:c r="H59" s="29" t="str">
        <x:v>博物馆馆藏 API</x:v>
      </x:c>
      <x:c r="I59" s="29" t="str">
        <x:v>en</x:v>
      </x:c>
      <x:c r="J59" s="29" t="str">
        <x:v>证据源</x:v>
      </x:c>
      <x:c r="K59" s="29" t="str">
        <x:v>Open</x:v>
      </x:c>
      <x:c r="L59" s="29" t="str">
        <x:v>持续更新</x:v>
      </x:c>
      <x:c r="M59" s="29" t="str">
        <x:v>https://www.metmuseum.org/art/collection</x:v>
      </x:c>
      <x:c r="N59" s="29" t="str">
        <x:v>https://collectionapi.metmuseum.org/public/collection/v1/</x:v>
      </x:c>
      <x:c r="O59" s="29" t="str">
        <x:v>API入口</x:v>
      </x:c>
      <x:c r="P59" s="72" t="n">
        <x:v>5</x:v>
      </x:c>
      <x:c r="Q59" s="72" t="n">
        <x:v>5</x:v>
      </x:c>
      <x:c r="R59" s="72" t="n">
        <x:v>5</x:v>
      </x:c>
      <x:c r="S59" s="72" t="n">
        <x:v>4</x:v>
      </x:c>
      <x:c r="T59" s="72" t="n">
        <x:v>5</x:v>
      </x:c>
      <x:c r="U59" s="72" t="n">
        <x:v>4</x:v>
      </x:c>
      <x:c r="V59" s="72" t="n">
        <x:v>5</x:v>
      </x:c>
      <x:c r="W59" s="29" t="str">
        <x:v>艺术作品图卡、年代与流派比较</x:v>
      </x:c>
      <x:c r="X59" s="29" t="str">
        <x:v>数十万件藏品元数据，开放图像标记清晰，适合艺术史图卡。</x:v>
      </x:c>
      <x:c r="Y59" s="29" t="str">
        <x:v>只复用明确标记 Public Domain/Open Access 的图像，并署名作品与机构。；未按 RSS/Atom 校验。</x:v>
      </x:c>
      <x:c r="Z59" s="75" t="b">
        <x:v>0</x:v>
      </x:c>
      <x:c r="AA59" s="29"/>
      <x:c r="AB59" s="29" t="str">
        <x:v>扩展调研：数据库、资料库与平台</x:v>
      </x:c>
      <x:c r="AC59" s="29" t="str">
        <x:v>https://metmuseum.github.io/</x:v>
      </x:c>
      <x:c r="AD59" s="29" t="str">
        <x:v>2026-08-17</x:v>
      </x:c>
      <x:c r="AE59" s="29"/>
      <x:c r="AF59" s="29" t="str">
        <x:v>https://collectionapi.metmuseum.org/public/collection/v1/</x:v>
      </x:c>
      <x:c r="AG59" s="29" t="str"/>
    </x:row>
    <x:row r="60" ht="44" customHeight="1">
      <x:c r="A60" s="29" t="str">
        <x:v>SRC-056</x:v>
      </x:c>
      <x:c r="B60" s="29" t="str">
        <x:f>IF(C60&gt;=93,"S",IF(C60&gt;=90,"A",IF(C60&gt;=80,"B","C")))</x:f>
        <x:v>S</x:v>
      </x:c>
      <x:c r="C60" s="72" t="n">
        <x:f>ROUND((P60*0.20+Q60*0.18+R60*0.20+S60*0.15+T60*0.12+U60*0.10+V60*0.05)*20,0)</x:f>
        <x:v>95</x:v>
      </x:c>
      <x:c r="D60" s="29" t="str">
        <x:v>艺术、设计与建筑</x:v>
      </x:c>
      <x:c r="E60" s="29" t="str">
        <x:v>装饰艺术、设计与时尚</x:v>
      </x:c>
      <x:c r="F60" s="29" t="str">
        <x:v>V&amp;A Collections</x:v>
      </x:c>
      <x:c r="G60" s="29" t="str"/>
      <x:c r="H60" s="29" t="str">
        <x:v>博物馆馆藏 API</x:v>
      </x:c>
      <x:c r="I60" s="29" t="str">
        <x:v>en</x:v>
      </x:c>
      <x:c r="J60" s="29" t="str">
        <x:v>证据源</x:v>
      </x:c>
      <x:c r="K60" s="29" t="str">
        <x:v>Open</x:v>
      </x:c>
      <x:c r="L60" s="29" t="str">
        <x:v>持续更新</x:v>
      </x:c>
      <x:c r="M60" s="29" t="str">
        <x:v>https://collections.vam.ac.uk/</x:v>
      </x:c>
      <x:c r="N60" s="29" t="str">
        <x:v>https://api.vam.ac.uk/v2/</x:v>
      </x:c>
      <x:c r="O60" s="29" t="str">
        <x:v>API入口</x:v>
      </x:c>
      <x:c r="P60" s="72" t="n">
        <x:v>5</x:v>
      </x:c>
      <x:c r="Q60" s="72" t="n">
        <x:v>5</x:v>
      </x:c>
      <x:c r="R60" s="72" t="n">
        <x:v>5</x:v>
      </x:c>
      <x:c r="S60" s="72" t="n">
        <x:v>4</x:v>
      </x:c>
      <x:c r="T60" s="72" t="n">
        <x:v>5</x:v>
      </x:c>
      <x:c r="U60" s="72" t="n">
        <x:v>4</x:v>
      </x:c>
      <x:c r="V60" s="72" t="n">
        <x:v>5</x:v>
      </x:c>
      <x:c r="W60" s="29" t="str">
        <x:v>设计史、物件故事、风格演变</x:v>
      </x:c>
      <x:c r="X60" s="29" t="str">
        <x:v>设计史、时尚、器物与海报资源尤其强。</x:v>
      </x:c>
      <x:c r="Y60" s="29" t="str">
        <x:v>使用前核对数据口径、更新时间、许可与引用格式。；未按 RSS/Atom 校验。</x:v>
      </x:c>
      <x:c r="Z60" s="75" t="b">
        <x:v>0</x:v>
      </x:c>
      <x:c r="AA60" s="29"/>
      <x:c r="AB60" s="29" t="str">
        <x:v>扩展调研：数据库、资料库与平台</x:v>
      </x:c>
      <x:c r="AC60" s="29" t="str">
        <x:v>https://collections.vam.ac.uk/</x:v>
      </x:c>
      <x:c r="AD60" s="29" t="str">
        <x:v>2026-08-17</x:v>
      </x:c>
      <x:c r="AE60" s="29"/>
      <x:c r="AF60" s="29" t="str">
        <x:v>https://api.vam.ac.uk/v2/</x:v>
      </x:c>
      <x:c r="AG60" s="29" t="str"/>
    </x:row>
    <x:row r="61" ht="44" customHeight="1">
      <x:c r="A61" s="29" t="str">
        <x:v>SRC-057</x:v>
      </x:c>
      <x:c r="B61" s="29" t="str">
        <x:f>IF(C61&gt;=93,"S",IF(C61&gt;=90,"A",IF(C61&gt;=80,"B","C")))</x:f>
        <x:v>S</x:v>
      </x:c>
      <x:c r="C61" s="72" t="n">
        <x:f>ROUND((P61*0.20+Q61*0.18+R61*0.20+S61*0.15+T61*0.12+U61*0.10+V61*0.05)*20,0)</x:f>
        <x:v>94</x:v>
      </x:c>
      <x:c r="D61" s="29" t="str">
        <x:v>心理、认知与情商</x:v>
      </x:c>
      <x:c r="E61" s="29" t="str">
        <x:v>系统综述数据库检索</x:v>
      </x:c>
      <x:c r="F61" s="29" t="str">
        <x:v>PubMed：心理学与心理健康系统综述检索</x:v>
      </x:c>
      <x:c r="G61" s="29" t="str"/>
      <x:c r="H61" s="29" t="str">
        <x:v>学术文献数据库 / 可复用检索</x:v>
      </x:c>
      <x:c r="I61" s="29" t="str">
        <x:v>多语种；界面英文</x:v>
      </x:c>
      <x:c r="J61" s="29" t="str">
        <x:v>证据源</x:v>
      </x:c>
      <x:c r="K61" s="29" t="str">
        <x:v>元数据与摘要开放；全文依来源而定</x:v>
      </x:c>
      <x:c r="L61" s="29" t="str">
        <x:v>实时更新</x:v>
      </x:c>
      <x:c r="M61" s="29" t="str">
        <x:v>https://pubmed.ncbi.nlm.nih.gov/</x:v>
      </x:c>
      <x:c r="N61" s="29" t="str">
        <x:v>https://eutils.ncbi.nlm.nih.gov/entrez/eutils/</x:v>
      </x:c>
      <x:c r="O61" s="29" t="str">
        <x:v>API入口</x:v>
      </x:c>
      <x:c r="P61" s="72" t="n">
        <x:v>5</x:v>
      </x:c>
      <x:c r="Q61" s="72" t="n">
        <x:v>5</x:v>
      </x:c>
      <x:c r="R61" s="72" t="n">
        <x:v>5</x:v>
      </x:c>
      <x:c r="S61" s="72" t="n">
        <x:v>4</x:v>
      </x:c>
      <x:c r="T61" s="72" t="n">
        <x:v>5</x:v>
      </x:c>
      <x:c r="U61" s="72" t="n">
        <x:v>4</x:v>
      </x:c>
      <x:c r="V61" s="72" t="n">
        <x:v>4</x:v>
      </x:c>
      <x:c r="W61" s="29" t="str">
        <x:v>医学研究溯源、主题趋势；对争议性健康主张先查综述，再下钻原始研究；不要把检索命中数当结论。；论文溯源、系统检索、研究趋势、反向核验</x:v>
      </x:c>
      <x:c r="X61" s="29" t="str">
        <x:v>用 MeSH 与出版类型限定，持续追踪心理与心理健康领域的新系统综述和元分析。</x:v>
      </x:c>
      <x:c r="Y61" s="29" t="str">
        <x:v>数据库记录不是临床建议；检查研究设计、样本和系统综述层级。；2026-08-17：PubMed 主页 200；NCBI E-utilities 查询 200，JSON 已确认。；2026-08-17 实测主页 200，E-utilities ESearch 返回 JSON；批量调用须遵守 NCBI 速率规则。PubMed 收录不等于研究结论可靠，仍需评估设计与偏倚；不替代个体医疗建议。；未按 RSS/Atom 校验。</x:v>
      </x:c>
      <x:c r="Z61" s="75" t="b">
        <x:v>0</x:v>
      </x:c>
      <x:c r="AA61" s="29"/>
      <x:c r="AB61" s="29" t="str">
        <x:v>扩展调研：数据库、资料库与平台；扩展调研：心理、认知与情商；扩展调研：健康与福祉</x:v>
      </x:c>
      <x:c r="AC61" s="29" t="str">
        <x:v>https://pubmed.ncbi.nlm.nih.gov/；https://www.ncbi.nlm.nih.gov/books/NBK25501/；https://www.ncbi.nlm.nih.gov/home/develop/api/</x:v>
      </x:c>
      <x:c r="AD61" s="29" t="str">
        <x:v>2026-08-17</x:v>
      </x:c>
      <x:c r="AE61" s="29"/>
      <x:c r="AF61" s="29" t="str">
        <x:v>https://eutils.ncbi.nlm.nih.gov/entrez/eutils/</x:v>
      </x:c>
      <x:c r="AG61" s="29" t="str"/>
    </x:row>
    <x:row r="62" ht="44" customHeight="1">
      <x:c r="A62" s="29" t="str">
        <x:v>SRC-058</x:v>
      </x:c>
      <x:c r="B62" s="29" t="str">
        <x:f>IF(C62&gt;=93,"S",IF(C62&gt;=90,"A",IF(C62&gt;=80,"B","C")))</x:f>
        <x:v>S</x:v>
      </x:c>
      <x:c r="C62" s="72" t="n">
        <x:f>ROUND((P62*0.20+Q62*0.18+R62*0.20+S62*0.15+T62*0.12+U62*0.10+V62*0.05)*20,0)</x:f>
        <x:v>93</x:v>
      </x:c>
      <x:c r="D62" s="29" t="str">
        <x:v>AI、科技与工程</x:v>
      </x:c>
      <x:c r="E62" s="29" t="str">
        <x:v>AI安全与产品</x:v>
      </x:c>
      <x:c r="F62" s="29" t="str">
        <x:v>Anthropic News</x:v>
      </x:c>
      <x:c r="G62" s="29" t="str"/>
      <x:c r="H62" s="29" t="str">
        <x:v>模型公告、系统卡、可解释性、安全与政策研究</x:v>
      </x:c>
      <x:c r="I62" s="29" t="str">
        <x:v>en</x:v>
      </x:c>
      <x:c r="J62" s="29" t="str">
        <x:v>证据源</x:v>
      </x:c>
      <x:c r="K62" s="29" t="str">
        <x:v>Open</x:v>
      </x:c>
      <x:c r="L62" s="29" t="str">
        <x:v>每周2至6篇</x:v>
      </x:c>
      <x:c r="M62" s="29" t="str">
        <x:v>https://www.anthropic.com/news</x:v>
      </x:c>
      <x:c r="N62" s="29" t="str"/>
      <x:c r="O62" s="29" t="str">
        <x:v>无RSS/API入口</x:v>
      </x:c>
      <x:c r="P62" s="72" t="n">
        <x:v>5</x:v>
      </x:c>
      <x:c r="Q62" s="72" t="n">
        <x:v>5</x:v>
      </x:c>
      <x:c r="R62" s="72" t="n">
        <x:v>5</x:v>
      </x:c>
      <x:c r="S62" s="72" t="n">
        <x:v>4</x:v>
      </x:c>
      <x:c r="T62" s="72" t="n">
        <x:v>4</x:v>
      </x:c>
      <x:c r="U62" s="72" t="n">
        <x:v>4</x:v>
      </x:c>
      <x:c r="V62" s="72" t="n">
        <x:v>5</x:v>
      </x:c>
      <x:c r="W62" s="29" t="str">
        <x:v>AI安全、治理框架、模型对比</x:v>
      </x:c>
      <x:c r="X62" s="29" t="str">
        <x:v>前沿AI安全、治理和可解释性研究的一手源。</x:v>
      </x:c>
      <x:c r="Y62" s="29" t="str">
        <x:v>本轮未核验到稳定的官方统一RSS，建议网页或邮件监测；不要把第三方抓取feed当作源记录。</x:v>
      </x:c>
      <x:c r="Z62" s="75" t="b">
        <x:v>0</x:v>
      </x:c>
      <x:c r="AA62" s="29"/>
      <x:c r="AB62" s="29" t="str">
        <x:v>扩展调研：科技、科学与数据</x:v>
      </x:c>
      <x:c r="AC62" s="29" t="str">
        <x:v>https://www.anthropic.com/news</x:v>
      </x:c>
      <x:c r="AD62" s="29" t="str">
        <x:v>2026-08-17</x:v>
      </x:c>
      <x:c r="AE62" s="29"/>
      <x:c r="AF62" s="29" t="str"/>
      <x:c r="AG62" s="29" t="str"/>
    </x:row>
    <x:row r="63" ht="44" customHeight="1">
      <x:c r="A63" s="29" t="str">
        <x:v>SRC-059</x:v>
      </x:c>
      <x:c r="B63" s="29" t="str">
        <x:f>IF(C63&gt;=93,"S",IF(C63&gt;=90,"A",IF(C63&gt;=80,"B","C")))</x:f>
        <x:v>S</x:v>
      </x:c>
      <x:c r="C63" s="72" t="n">
        <x:f>ROUND((P63*0.20+Q63*0.18+R63*0.20+S63*0.15+T63*0.12+U63*0.10+V63*0.05)*20,0)</x:f>
        <x:v>93</x:v>
      </x:c>
      <x:c r="D63" s="29" t="str">
        <x:v>AI、科技与工程</x:v>
      </x:c>
      <x:c r="E63" s="29" t="str">
        <x:v>端侧AI与机器学习</x:v>
      </x:c>
      <x:c r="F63" s="29" t="str">
        <x:v>Apple Machine Learning Research</x:v>
      </x:c>
      <x:c r="G63" s="29" t="str"/>
      <x:c r="H63" s="29" t="str">
        <x:v>论文摘要、语音、视觉、设备端智能</x:v>
      </x:c>
      <x:c r="I63" s="29" t="str">
        <x:v>en</x:v>
      </x:c>
      <x:c r="J63" s="29" t="str">
        <x:v>证据源</x:v>
      </x:c>
      <x:c r="K63" s="29" t="str">
        <x:v>Open</x:v>
      </x:c>
      <x:c r="L63" s="29" t="str">
        <x:v>每月2至6篇</x:v>
      </x:c>
      <x:c r="M63" s="29" t="str">
        <x:v>https://machinelearning.apple.com/</x:v>
      </x:c>
      <x:c r="N63" s="29" t="str">
        <x:v>https://machinelearning.apple.com/rss.xml</x:v>
      </x:c>
      <x:c r="O63" s="29" t="str">
        <x:v>有效</x:v>
      </x:c>
      <x:c r="P63" s="72" t="n">
        <x:v>5</x:v>
      </x:c>
      <x:c r="Q63" s="72" t="n">
        <x:v>5</x:v>
      </x:c>
      <x:c r="R63" s="72" t="n">
        <x:v>5</x:v>
      </x:c>
      <x:c r="S63" s="72" t="n">
        <x:v>4</x:v>
      </x:c>
      <x:c r="T63" s="72" t="n">
        <x:v>4</x:v>
      </x:c>
      <x:c r="U63" s="72" t="n">
        <x:v>4</x:v>
      </x:c>
      <x:c r="V63" s="72" t="n">
        <x:v>5</x:v>
      </x:c>
      <x:c r="W63" s="29" t="str">
        <x:v>端侧AI、论文卡片、效率与隐私</x:v>
      </x:c>
      <x:c r="X63" s="29" t="str">
        <x:v>设备端AI、隐私和模型优化的一手来源。</x:v>
      </x:c>
      <x:c r="Y63" s="29" t="str">
        <x:v>RSS端点已核验为XML。</x:v>
      </x:c>
      <x:c r="Z63" s="75" t="b">
        <x:v>0</x:v>
      </x:c>
      <x:c r="AA63" s="29"/>
      <x:c r="AB63" s="29" t="str">
        <x:v>扩展调研：科技、科学与数据</x:v>
      </x:c>
      <x:c r="AC63" s="29" t="str">
        <x:v>https://machinelearning.apple.com/rss.xml</x:v>
      </x:c>
      <x:c r="AD63" s="29" t="str">
        <x:v>2026-08-17</x:v>
      </x:c>
      <x:c r="AE63" s="29" t="n">
        <x:v>200</x:v>
      </x:c>
      <x:c r="AF63" s="29" t="str">
        <x:v>https://machinelearning.apple.com/rss.xml</x:v>
      </x:c>
      <x:c r="AG63" s="29" t="str"/>
    </x:row>
    <x:row r="64" ht="44" customHeight="1">
      <x:c r="A64" s="29" t="str">
        <x:v>SRC-060</x:v>
      </x:c>
      <x:c r="B64" s="29" t="str">
        <x:f>IF(C64&gt;=93,"S",IF(C64&gt;=90,"A",IF(C64&gt;=80,"B","C")))</x:f>
        <x:v>S</x:v>
      </x:c>
      <x:c r="C64" s="72" t="n">
        <x:f>ROUND((P64*0.20+Q64*0.18+R64*0.20+S64*0.15+T64*0.12+U64*0.10+V64*0.05)*20,0)</x:f>
        <x:v>93</x:v>
      </x:c>
      <x:c r="D64" s="29" t="str">
        <x:v>AI、科技与工程</x:v>
      </x:c>
      <x:c r="E64" s="29" t="str">
        <x:v>网络、安全与分布式系统</x:v>
      </x:c>
      <x:c r="F64" s="29" t="str">
        <x:v>Cloudflare Blog</x:v>
      </x:c>
      <x:c r="G64" s="29" t="str"/>
      <x:c r="H64" s="29" t="str">
        <x:v>工程文章、事故复盘、安全与性能分析</x:v>
      </x:c>
      <x:c r="I64" s="29" t="str">
        <x:v>en</x:v>
      </x:c>
      <x:c r="J64" s="29" t="str">
        <x:v>证据源</x:v>
      </x:c>
      <x:c r="K64" s="29" t="str">
        <x:v>Open</x:v>
      </x:c>
      <x:c r="L64" s="29" t="str">
        <x:v>每周3至7篇</x:v>
      </x:c>
      <x:c r="M64" s="29" t="str">
        <x:v>https://blog.cloudflare.com/</x:v>
      </x:c>
      <x:c r="N64" s="29" t="str">
        <x:v>https://blog.cloudflare.com/rss/</x:v>
      </x:c>
      <x:c r="O64" s="29" t="str">
        <x:v>有效</x:v>
      </x:c>
      <x:c r="P64" s="72" t="n">
        <x:v>5</x:v>
      </x:c>
      <x:c r="Q64" s="72" t="n">
        <x:v>5</x:v>
      </x:c>
      <x:c r="R64" s="72" t="n">
        <x:v>5</x:v>
      </x:c>
      <x:c r="S64" s="72" t="n">
        <x:v>4</x:v>
      </x:c>
      <x:c r="T64" s="72" t="n">
        <x:v>4</x:v>
      </x:c>
      <x:c r="U64" s="72" t="n">
        <x:v>4</x:v>
      </x:c>
      <x:c r="V64" s="72" t="n">
        <x:v>5</x:v>
      </x:c>
      <x:c r="W64" s="29" t="str">
        <x:v>故障复盘、安全事件、性能优化</x:v>
      </x:c>
      <x:c r="X64" s="29" t="str">
        <x:v>互联网级数据和方法透明，实战细节丰富。</x:v>
      </x:c>
      <x:c r="Y64" s="29" t="str">
        <x:v>官方RSS端点已核验。</x:v>
      </x:c>
      <x:c r="Z64" s="75" t="b">
        <x:v>0</x:v>
      </x:c>
      <x:c r="AA64" s="29"/>
      <x:c r="AB64" s="29" t="str">
        <x:v>扩展调研：科技、科学与数据</x:v>
      </x:c>
      <x:c r="AC64" s="29" t="str">
        <x:v>https://blog.cloudflare.com/rss/</x:v>
      </x:c>
      <x:c r="AD64" s="29" t="str">
        <x:v>2026-08-17</x:v>
      </x:c>
      <x:c r="AE64" s="29" t="n">
        <x:v>200</x:v>
      </x:c>
      <x:c r="AF64" s="29" t="str">
        <x:v>https://blog.cloudflare.com/rss/</x:v>
      </x:c>
      <x:c r="AG64" s="29" t="str"/>
    </x:row>
    <x:row r="65" ht="44" customHeight="1">
      <x:c r="A65" s="29" t="str">
        <x:v>SRC-061</x:v>
      </x:c>
      <x:c r="B65" s="29" t="str">
        <x:f>IF(C65&gt;=93,"S",IF(C65&gt;=90,"A",IF(C65&gt;=80,"B","C")))</x:f>
        <x:v>S</x:v>
      </x:c>
      <x:c r="C65" s="72" t="n">
        <x:f>ROUND((P65*0.20+Q65*0.18+R65*0.20+S65*0.15+T65*0.12+U65*0.10+V65*0.05)*20,0)</x:f>
        <x:v>93</x:v>
      </x:c>
      <x:c r="D65" s="29" t="str">
        <x:v>AI、科技与工程</x:v>
      </x:c>
      <x:c r="E65" s="29" t="str">
        <x:v>AI研究实验室</x:v>
      </x:c>
      <x:c r="F65" s="29" t="str">
        <x:v>Google DeepMind Blog</x:v>
      </x:c>
      <x:c r="G65" s="29" t="str"/>
      <x:c r="H65" s="29" t="str">
        <x:v>研究论文解读、科学发现、机器人、演示</x:v>
      </x:c>
      <x:c r="I65" s="29" t="str">
        <x:v>en</x:v>
      </x:c>
      <x:c r="J65" s="29" t="str">
        <x:v>证据源</x:v>
      </x:c>
      <x:c r="K65" s="29" t="str">
        <x:v>Open</x:v>
      </x:c>
      <x:c r="L65" s="29" t="str">
        <x:v>每周1至3篇</x:v>
      </x:c>
      <x:c r="M65" s="29" t="str">
        <x:v>https://deepmind.google/blog/</x:v>
      </x:c>
      <x:c r="N65" s="29" t="str">
        <x:v>https://deepmind.google/blog/rss.xml</x:v>
      </x:c>
      <x:c r="O65" s="29" t="str">
        <x:v>有效</x:v>
      </x:c>
      <x:c r="P65" s="72" t="n">
        <x:v>5</x:v>
      </x:c>
      <x:c r="Q65" s="72" t="n">
        <x:v>5</x:v>
      </x:c>
      <x:c r="R65" s="72" t="n">
        <x:v>5</x:v>
      </x:c>
      <x:c r="S65" s="72" t="n">
        <x:v>4</x:v>
      </x:c>
      <x:c r="T65" s="72" t="n">
        <x:v>4</x:v>
      </x:c>
      <x:c r="U65" s="72" t="n">
        <x:v>4</x:v>
      </x:c>
      <x:c r="V65" s="72" t="n">
        <x:v>5</x:v>
      </x:c>
      <x:c r="W65" s="29" t="str">
        <x:v>论文图解、科学突破、研究趋势</x:v>
      </x:c>
      <x:c r="X65" s="29" t="str">
        <x:v>顶级研究实验室的一手材料，论文、图像与演示质量高。</x:v>
      </x:c>
      <x:c r="Y65" s="29" t="str">
        <x:v>Feed端点已核验为XML。</x:v>
      </x:c>
      <x:c r="Z65" s="75" t="b">
        <x:v>0</x:v>
      </x:c>
      <x:c r="AA65" s="29"/>
      <x:c r="AB65" s="29" t="str">
        <x:v>扩展调研：科技、科学与数据</x:v>
      </x:c>
      <x:c r="AC65" s="29" t="str">
        <x:v>https://deepmind.google/blog/rss.xml</x:v>
      </x:c>
      <x:c r="AD65" s="29" t="str">
        <x:v>2026-08-17</x:v>
      </x:c>
      <x:c r="AE65" s="29" t="n">
        <x:v>200</x:v>
      </x:c>
      <x:c r="AF65" s="29" t="str">
        <x:v>https://deepmind.google/blog/rss.xml</x:v>
      </x:c>
      <x:c r="AG65" s="29" t="str"/>
    </x:row>
    <x:row r="66" ht="44" customHeight="1">
      <x:c r="A66" s="29" t="str">
        <x:v>SRC-062</x:v>
      </x:c>
      <x:c r="B66" s="29" t="str">
        <x:f>IF(C66&gt;=93,"S",IF(C66&gt;=90,"A",IF(C66&gt;=80,"B","C")))</x:f>
        <x:v>S</x:v>
      </x:c>
      <x:c r="C66" s="72" t="n">
        <x:f>ROUND((P66*0.20+Q66*0.18+R66*0.20+S66*0.15+T66*0.12+U66*0.10+V66*0.05)*20,0)</x:f>
        <x:v>93</x:v>
      </x:c>
      <x:c r="D66" s="29" t="str">
        <x:v>AI、科技与工程</x:v>
      </x:c>
      <x:c r="E66" s="29" t="str">
        <x:v>计算机科学研究</x:v>
      </x:c>
      <x:c r="F66" s="29" t="str">
        <x:v>Google Research Blog</x:v>
      </x:c>
      <x:c r="G66" s="29" t="str"/>
      <x:c r="H66" s="29" t="str">
        <x:v>机器学习、HCI、健康与科学研究摘要</x:v>
      </x:c>
      <x:c r="I66" s="29" t="str">
        <x:v>en</x:v>
      </x:c>
      <x:c r="J66" s="29" t="str">
        <x:v>证据源</x:v>
      </x:c>
      <x:c r="K66" s="29" t="str">
        <x:v>Open</x:v>
      </x:c>
      <x:c r="L66" s="29" t="str">
        <x:v>每周2至5篇</x:v>
      </x:c>
      <x:c r="M66" s="29" t="str">
        <x:v>https://research.google/blog/</x:v>
      </x:c>
      <x:c r="N66" s="29" t="str">
        <x:v>https://research.google/blog/rss/</x:v>
      </x:c>
      <x:c r="O66" s="29" t="str">
        <x:v>有效</x:v>
      </x:c>
      <x:c r="P66" s="72" t="n">
        <x:v>5</x:v>
      </x:c>
      <x:c r="Q66" s="72" t="n">
        <x:v>5</x:v>
      </x:c>
      <x:c r="R66" s="72" t="n">
        <x:v>5</x:v>
      </x:c>
      <x:c r="S66" s="72" t="n">
        <x:v>4</x:v>
      </x:c>
      <x:c r="T66" s="72" t="n">
        <x:v>4</x:v>
      </x:c>
      <x:c r="U66" s="72" t="n">
        <x:v>4</x:v>
      </x:c>
      <x:c r="V66" s="72" t="n">
        <x:v>5</x:v>
      </x:c>
      <x:c r="W66" s="29" t="str">
        <x:v>一图看懂论文、研究方法、跨学科应用</x:v>
      </x:c>
      <x:c r="X66" s="29" t="str">
        <x:v>研究覆盖广，通常附论文、代码和数据入口。</x:v>
      </x:c>
      <x:c r="Y66" s="29" t="str">
        <x:v>官方RSS端点已核验。</x:v>
      </x:c>
      <x:c r="Z66" s="75" t="b">
        <x:v>0</x:v>
      </x:c>
      <x:c r="AA66" s="29"/>
      <x:c r="AB66" s="29" t="str">
        <x:v>扩展调研：科技、科学与数据</x:v>
      </x:c>
      <x:c r="AC66" s="29" t="str">
        <x:v>https://research.google/blog/rss/</x:v>
      </x:c>
      <x:c r="AD66" s="29" t="str">
        <x:v>2026-08-17</x:v>
      </x:c>
      <x:c r="AE66" s="29" t="n">
        <x:v>200</x:v>
      </x:c>
      <x:c r="AF66" s="29" t="str">
        <x:v>https://research.google/blog/rss/</x:v>
      </x:c>
      <x:c r="AG66" s="29" t="str"/>
    </x:row>
    <x:row r="67" ht="44" customHeight="1">
      <x:c r="A67" s="29" t="str">
        <x:v>SRC-063</x:v>
      </x:c>
      <x:c r="B67" s="29" t="str">
        <x:f>IF(C67&gt;=93,"S",IF(C67&gt;=90,"A",IF(C67&gt;=80,"B","C")))</x:f>
        <x:v>S</x:v>
      </x:c>
      <x:c r="C67" s="72" t="n">
        <x:f>ROUND((P67*0.20+Q67*0.18+R67*0.20+S67*0.15+T67*0.12+U67*0.10+V67*0.05)*20,0)</x:f>
        <x:v>93</x:v>
      </x:c>
      <x:c r="D67" s="29" t="str">
        <x:v>AI、科技与工程</x:v>
      </x:c>
      <x:c r="E67" s="29" t="str">
        <x:v>开源AI生态</x:v>
      </x:c>
      <x:c r="F67" s="29" t="str">
        <x:v>Hugging Face Blog</x:v>
      </x:c>
      <x:c r="G67" s="29" t="str"/>
      <x:c r="H67" s="29" t="str">
        <x:v>开源模型、数据集、训练、推理与教程</x:v>
      </x:c>
      <x:c r="I67" s="29" t="str">
        <x:v>en</x:v>
      </x:c>
      <x:c r="J67" s="29" t="str">
        <x:v>证据源</x:v>
      </x:c>
      <x:c r="K67" s="29" t="str">
        <x:v>Open</x:v>
      </x:c>
      <x:c r="L67" s="29" t="str">
        <x:v>每周3至7篇以上</x:v>
      </x:c>
      <x:c r="M67" s="29" t="str">
        <x:v>https://huggingface.co/blog</x:v>
      </x:c>
      <x:c r="N67" s="29" t="str">
        <x:v>https://huggingface.co/blog/feed.xml</x:v>
      </x:c>
      <x:c r="O67" s="29" t="str">
        <x:v>有效</x:v>
      </x:c>
      <x:c r="P67" s="72" t="n">
        <x:v>5</x:v>
      </x:c>
      <x:c r="Q67" s="72" t="n">
        <x:v>5</x:v>
      </x:c>
      <x:c r="R67" s="72" t="n">
        <x:v>5</x:v>
      </x:c>
      <x:c r="S67" s="72" t="n">
        <x:v>4</x:v>
      </x:c>
      <x:c r="T67" s="72" t="n">
        <x:v>4</x:v>
      </x:c>
      <x:c r="U67" s="72" t="n">
        <x:v>4</x:v>
      </x:c>
      <x:c r="V67" s="72" t="n">
        <x:v>5</x:v>
      </x:c>
      <x:c r="W67" s="29" t="str">
        <x:v>新模型实测、开源工具清单、教程帖</x:v>
      </x:c>
      <x:c r="X67" s="29" t="str">
        <x:v>开源AI生态的一手技术、模型与工具源。</x:v>
      </x:c>
      <x:c r="Y67" s="29" t="str">
        <x:v>官方Feed端点已核验。</x:v>
      </x:c>
      <x:c r="Z67" s="75" t="b">
        <x:v>0</x:v>
      </x:c>
      <x:c r="AA67" s="29"/>
      <x:c r="AB67" s="29" t="str">
        <x:v>扩展调研：科技、科学与数据</x:v>
      </x:c>
      <x:c r="AC67" s="29" t="str">
        <x:v>https://huggingface.co/blog/feed.xml</x:v>
      </x:c>
      <x:c r="AD67" s="29" t="str">
        <x:v>2026-08-17</x:v>
      </x:c>
      <x:c r="AE67" s="29" t="n">
        <x:v>200</x:v>
      </x:c>
      <x:c r="AF67" s="29" t="str">
        <x:v>https://huggingface.co/blog/feed.xml</x:v>
      </x:c>
      <x:c r="AG67" s="29" t="str"/>
    </x:row>
    <x:row r="68" ht="44" customHeight="1">
      <x:c r="A68" s="29" t="str">
        <x:v>SRC-064</x:v>
      </x:c>
      <x:c r="B68" s="29" t="str">
        <x:f>IF(C68&gt;=93,"S",IF(C68&gt;=90,"A",IF(C68&gt;=80,"B","C")))</x:f>
        <x:v>S</x:v>
      </x:c>
      <x:c r="C68" s="72" t="n">
        <x:f>ROUND((P68*0.20+Q68*0.18+R68*0.20+S68*0.15+T68*0.12+U68*0.10+V68*0.05)*20,0)</x:f>
        <x:v>93</x:v>
      </x:c>
      <x:c r="D68" s="29" t="str">
        <x:v>AI、科技与工程</x:v>
      </x:c>
      <x:c r="E68" s="29" t="str">
        <x:v>产业研究实验室</x:v>
      </x:c>
      <x:c r="F68" s="29" t="str">
        <x:v>Microsoft Research</x:v>
      </x:c>
      <x:c r="G68" s="29" t="str"/>
      <x:c r="H68" s="29" t="str">
        <x:v>AI、系统、量子、HCI、科学博客与播客</x:v>
      </x:c>
      <x:c r="I68" s="29" t="str">
        <x:v>en</x:v>
      </x:c>
      <x:c r="J68" s="29" t="str">
        <x:v>证据源</x:v>
      </x:c>
      <x:c r="K68" s="29" t="str">
        <x:v>Open</x:v>
      </x:c>
      <x:c r="L68" s="29" t="str">
        <x:v>每周3至7篇</x:v>
      </x:c>
      <x:c r="M68" s="29" t="str">
        <x:v>https://www.microsoft.com/en-us/research/blog/</x:v>
      </x:c>
      <x:c r="N68" s="29" t="str">
        <x:v>https://www.microsoft.com/en-us/research/feed/</x:v>
      </x:c>
      <x:c r="O68" s="29" t="str">
        <x:v>有效</x:v>
      </x:c>
      <x:c r="P68" s="72" t="n">
        <x:v>5</x:v>
      </x:c>
      <x:c r="Q68" s="72" t="n">
        <x:v>5</x:v>
      </x:c>
      <x:c r="R68" s="72" t="n">
        <x:v>5</x:v>
      </x:c>
      <x:c r="S68" s="72" t="n">
        <x:v>4</x:v>
      </x:c>
      <x:c r="T68" s="72" t="n">
        <x:v>4</x:v>
      </x:c>
      <x:c r="U68" s="72" t="n">
        <x:v>4</x:v>
      </x:c>
      <x:c r="V68" s="72" t="n">
        <x:v>5</x:v>
      </x:c>
      <x:c r="W68" s="29" t="str">
        <x:v>研究到产品、工程方法、学者观点</x:v>
      </x:c>
      <x:c r="X68" s="29" t="str">
        <x:v>学术与产业结合紧，适合研究到产品的工程视角。</x:v>
      </x:c>
      <x:c r="Y68" s="29" t="str">
        <x:v>官方Feed端点已核验。</x:v>
      </x:c>
      <x:c r="Z68" s="75" t="b">
        <x:v>0</x:v>
      </x:c>
      <x:c r="AA68" s="29"/>
      <x:c r="AB68" s="29" t="str">
        <x:v>扩展调研：科技、科学与数据</x:v>
      </x:c>
      <x:c r="AC68" s="29" t="str">
        <x:v>https://www.microsoft.com/en-us/research/feed/</x:v>
      </x:c>
      <x:c r="AD68" s="29" t="str">
        <x:v>2026-08-17</x:v>
      </x:c>
      <x:c r="AE68" s="29" t="n">
        <x:v>200</x:v>
      </x:c>
      <x:c r="AF68" s="29" t="str">
        <x:v>https://www.microsoft.com/en-us/research/feed/</x:v>
      </x:c>
      <x:c r="AG68" s="29" t="str"/>
    </x:row>
    <x:row r="69" ht="44" customHeight="1">
      <x:c r="A69" s="29" t="str">
        <x:v>SRC-065</x:v>
      </x:c>
      <x:c r="B69" s="29" t="str">
        <x:f>IF(C69&gt;=93,"S",IF(C69&gt;=90,"A",IF(C69&gt;=80,"B","C")))</x:f>
        <x:v>S</x:v>
      </x:c>
      <x:c r="C69" s="72" t="n">
        <x:f>ROUND((P69*0.20+Q69*0.18+R69*0.20+S69*0.15+T69*0.12+U69*0.10+V69*0.05)*20,0)</x:f>
        <x:v>93</x:v>
      </x:c>
      <x:c r="D69" s="29" t="str">
        <x:v>AI、科技与工程</x:v>
      </x:c>
      <x:c r="E69" s="29" t="str">
        <x:v>AI实验室与产品</x:v>
      </x:c>
      <x:c r="F69" s="29" t="str">
        <x:v>OpenAI News</x:v>
      </x:c>
      <x:c r="G69" s="29" t="str"/>
      <x:c r="H69" s="29" t="str">
        <x:v>官方公告、研究解读、系统卡、工程文章</x:v>
      </x:c>
      <x:c r="I69" s="29" t="str">
        <x:v>en</x:v>
      </x:c>
      <x:c r="J69" s="29" t="str">
        <x:v>证据源</x:v>
      </x:c>
      <x:c r="K69" s="29" t="str">
        <x:v>Open</x:v>
      </x:c>
      <x:c r="L69" s="29" t="str">
        <x:v>每周3至7篇以上</x:v>
      </x:c>
      <x:c r="M69" s="29" t="str">
        <x:v>https://openai.com/news/</x:v>
      </x:c>
      <x:c r="N69" s="29" t="str">
        <x:v>https://openai.com/news/rss.xml</x:v>
      </x:c>
      <x:c r="O69" s="29" t="str">
        <x:v>有效</x:v>
      </x:c>
      <x:c r="P69" s="72" t="n">
        <x:v>5</x:v>
      </x:c>
      <x:c r="Q69" s="72" t="n">
        <x:v>5</x:v>
      </x:c>
      <x:c r="R69" s="72" t="n">
        <x:v>5</x:v>
      </x:c>
      <x:c r="S69" s="72" t="n">
        <x:v>4</x:v>
      </x:c>
      <x:c r="T69" s="72" t="n">
        <x:v>4</x:v>
      </x:c>
      <x:c r="U69" s="72" t="n">
        <x:v>4</x:v>
      </x:c>
      <x:c r="V69" s="72" t="n">
        <x:v>5</x:v>
      </x:c>
      <x:c r="W69" s="29" t="str">
        <x:v>新模型速读、系统卡拆解、能力边界清单</x:v>
      </x:c>
      <x:c r="X69" s="29" t="str">
        <x:v>前沿模型、产品、安全与工程的一手发布源。</x:v>
      </x:c>
      <x:c r="Y69" s="29" t="str">
        <x:v>Feed端点已核验为XML；重大主张仍应链接具体公告或系统卡。</x:v>
      </x:c>
      <x:c r="Z69" s="75" t="b">
        <x:v>0</x:v>
      </x:c>
      <x:c r="AA69" s="29"/>
      <x:c r="AB69" s="29" t="str">
        <x:v>扩展调研：科技、科学与数据</x:v>
      </x:c>
      <x:c r="AC69" s="29" t="str">
        <x:v>https://openai.com/news/rss.xml</x:v>
      </x:c>
      <x:c r="AD69" s="29" t="str">
        <x:v>2026-08-17</x:v>
      </x:c>
      <x:c r="AE69" s="29" t="n">
        <x:v>200</x:v>
      </x:c>
      <x:c r="AF69" s="29" t="str">
        <x:v>https://openai.com/news/rss.xml</x:v>
      </x:c>
      <x:c r="AG69" s="29" t="str"/>
    </x:row>
    <x:row r="70" ht="44" customHeight="1">
      <x:c r="A70" s="29" t="str">
        <x:v>SRC-066</x:v>
      </x:c>
      <x:c r="B70" s="29" t="str">
        <x:f>IF(C70&gt;=93,"S",IF(C70&gt;=90,"A",IF(C70&gt;=80,"B","C")))</x:f>
        <x:v>S</x:v>
      </x:c>
      <x:c r="C70" s="72" t="n">
        <x:f>ROUND((P70*0.20+Q70*0.18+R70*0.20+S70*0.15+T70*0.12+U70*0.10+V70*0.05)*20,0)</x:f>
        <x:v>93</x:v>
      </x:c>
      <x:c r="D70" s="29" t="str">
        <x:v>人文与跨学科</x:v>
      </x:c>
      <x:c r="E70" s="29" t="str">
        <x:v>公共统计知识图谱</x:v>
      </x:c>
      <x:c r="F70" s="29" t="str">
        <x:v>Data Commons</x:v>
      </x:c>
      <x:c r="G70" s="29" t="str"/>
      <x:c r="H70" s="29" t="str">
        <x:v>多源公共统计、地点、实体、指标与知识图谱</x:v>
      </x:c>
      <x:c r="I70" s="29" t="str">
        <x:v>en</x:v>
      </x:c>
      <x:c r="J70" s="29" t="str">
        <x:v>证据源</x:v>
      </x:c>
      <x:c r="K70" s="29" t="str">
        <x:v>Open</x:v>
      </x:c>
      <x:c r="L70" s="29" t="str">
        <x:v>持续更新</x:v>
      </x:c>
      <x:c r="M70" s="29" t="str">
        <x:v>https://datacommons.org/</x:v>
      </x:c>
      <x:c r="N70" s="29" t="str">
        <x:v>https://api.datacommons.org/</x:v>
      </x:c>
      <x:c r="O70" s="29" t="str">
        <x:v>API入口</x:v>
      </x:c>
      <x:c r="P70" s="72" t="n">
        <x:v>5</x:v>
      </x:c>
      <x:c r="Q70" s="72" t="n">
        <x:v>5</x:v>
      </x:c>
      <x:c r="R70" s="72" t="n">
        <x:v>5</x:v>
      </x:c>
      <x:c r="S70" s="72" t="n">
        <x:v>4</x:v>
      </x:c>
      <x:c r="T70" s="72" t="n">
        <x:v>4</x:v>
      </x:c>
      <x:c r="U70" s="72" t="n">
        <x:v>4</x:v>
      </x:c>
      <x:c r="V70" s="72" t="n">
        <x:v>5</x:v>
      </x:c>
      <x:c r="W70" s="29" t="str">
        <x:v>地区数据卡、指标关系、自动图表</x:v>
      </x:c>
      <x:c r="X70" s="29" t="str">
        <x:v>统一跨库实体，适合快速做城市、地区和国家比较。</x:v>
      </x:c>
      <x:c r="Y70" s="29" t="str">
        <x:v>无RSS；官方API文档可用，引用时还应检查底层数据来源。；未按 RSS/Atom 校验。</x:v>
      </x:c>
      <x:c r="Z70" s="75" t="b">
        <x:v>0</x:v>
      </x:c>
      <x:c r="AA70" s="29"/>
      <x:c r="AB70" s="29" t="str">
        <x:v>扩展调研：科技、科学与数据</x:v>
      </x:c>
      <x:c r="AC70" s="29" t="str">
        <x:v>https://docs.datacommons.org/api/</x:v>
      </x:c>
      <x:c r="AD70" s="29" t="str">
        <x:v>2026-08-17</x:v>
      </x:c>
      <x:c r="AE70" s="29"/>
      <x:c r="AF70" s="29" t="str">
        <x:v>https://api.datacommons.org/</x:v>
      </x:c>
      <x:c r="AG70" s="29" t="str"/>
    </x:row>
    <x:row r="71" ht="44" customHeight="1">
      <x:c r="A71" s="29" t="str">
        <x:v>SRC-067</x:v>
      </x:c>
      <x:c r="B71" s="29" t="str">
        <x:f>IF(C71&gt;=93,"S",IF(C71&gt;=90,"A",IF(C71&gt;=80,"B","C")))</x:f>
        <x:v>S</x:v>
      </x:c>
      <x:c r="C71" s="72" t="n">
        <x:f>ROUND((P71*0.20+Q71*0.18+R71*0.20+S71*0.15+T71*0.12+U71*0.10+V71*0.05)*20,0)</x:f>
        <x:v>93</x:v>
      </x:c>
      <x:c r="D71" s="29" t="str">
        <x:v>人文与跨学科</x:v>
      </x:c>
      <x:c r="E71" s="29" t="str">
        <x:v>数字保存与开放网络</x:v>
      </x:c>
      <x:c r="F71" s="29" t="str">
        <x:v>Internet Archive Blog</x:v>
      </x:c>
      <x:c r="G71" s="29" t="str"/>
      <x:c r="H71" s="29" t="str">
        <x:v>机构动态、数字档案、开放网络文章</x:v>
      </x:c>
      <x:c r="I71" s="29" t="str">
        <x:v>en</x:v>
      </x:c>
      <x:c r="J71" s="29" t="str">
        <x:v>证据源</x:v>
      </x:c>
      <x:c r="K71" s="29" t="str">
        <x:v>Open</x:v>
      </x:c>
      <x:c r="L71" s="29" t="str">
        <x:v>每周约2至5篇</x:v>
      </x:c>
      <x:c r="M71" s="29" t="str">
        <x:v>https://blog.archive.org/</x:v>
      </x:c>
      <x:c r="N71" s="29" t="str">
        <x:v>https://blog.archive.org/feed/</x:v>
      </x:c>
      <x:c r="O71" s="29" t="str">
        <x:v>超时/网络错误</x:v>
      </x:c>
      <x:c r="P71" s="72" t="n">
        <x:v>5</x:v>
      </x:c>
      <x:c r="Q71" s="72" t="n">
        <x:v>5</x:v>
      </x:c>
      <x:c r="R71" s="72" t="n">
        <x:v>5</x:v>
      </x:c>
      <x:c r="S71" s="72" t="n">
        <x:v>4</x:v>
      </x:c>
      <x:c r="T71" s="72" t="n">
        <x:v>4</x:v>
      </x:c>
      <x:c r="U71" s="72" t="n">
        <x:v>4</x:v>
      </x:c>
      <x:c r="V71" s="72" t="n">
        <x:v>5</x:v>
      </x:c>
      <x:c r="W71" s="29" t="str">
        <x:v>互联网史、数字公共品和旧网页考古。</x:v>
      </x:c>
      <x:c r="X71" s="29" t="str">
        <x:v>理解数字保存、网页历史、开放获取和互联网公共基础设施的重要一手机构来源。</x:v>
      </x:c>
      <x:c r="Y71" s="29" t="str">
        <x:v>2026-08-17：标准 WordPress Feed，网页核验器请求超时；建议目标阅读器复验。；fetch failed</x:v>
      </x:c>
      <x:c r="Z71" s="75" t="b">
        <x:v>0</x:v>
      </x:c>
      <x:c r="AA71" s="29"/>
      <x:c r="AB71" s="29" t="str">
        <x:v>扩展调研：人文、历史、哲学与设计</x:v>
      </x:c>
      <x:c r="AC71" s="29" t="str">
        <x:v>https://blog.archive.org/</x:v>
      </x:c>
      <x:c r="AD71" s="29" t="str">
        <x:v>2026-08-17</x:v>
      </x:c>
      <x:c r="AE71" s="29"/>
      <x:c r="AF71" s="29" t="str">
        <x:v>https://blog.archive.org/feed/</x:v>
      </x:c>
      <x:c r="AG71" s="29" t="str"/>
    </x:row>
    <x:row r="72" ht="44" customHeight="1">
      <x:c r="A72" s="29" t="str">
        <x:v>SRC-068</x:v>
      </x:c>
      <x:c r="B72" s="29" t="str">
        <x:f>IF(C72&gt;=93,"S",IF(C72&gt;=90,"A",IF(C72&gt;=80,"B","C")))</x:f>
        <x:v>S</x:v>
      </x:c>
      <x:c r="C72" s="72" t="n">
        <x:f>ROUND((P72*0.20+Q72*0.18+R72*0.20+S72*0.15+T72*0.12+U72*0.10+V72*0.05)*20,0)</x:f>
        <x:v>93</x:v>
      </x:c>
      <x:c r="D72" s="29" t="str">
        <x:v>人文与跨学科</x:v>
      </x:c>
      <x:c r="E72" s="29" t="str">
        <x:v>全球发展与数据</x:v>
      </x:c>
      <x:c r="F72" s="29" t="str">
        <x:v>Our World in Data</x:v>
      </x:c>
      <x:c r="G72" s="29" t="str"/>
      <x:c r="H72" s="29" t="str">
        <x:v>数据文章、交互图表、可下载数据</x:v>
      </x:c>
      <x:c r="I72" s="29" t="str">
        <x:v>en</x:v>
      </x:c>
      <x:c r="J72" s="29" t="str">
        <x:v>证据源</x:v>
      </x:c>
      <x:c r="K72" s="29" t="str">
        <x:v>Open</x:v>
      </x:c>
      <x:c r="L72" s="29" t="str">
        <x:v>每周多次</x:v>
      </x:c>
      <x:c r="M72" s="29" t="str">
        <x:v>https://ourworldindata.org/</x:v>
      </x:c>
      <x:c r="N72" s="29" t="str">
        <x:v>https://ourworldindata.org/atom.xml</x:v>
      </x:c>
      <x:c r="O72" s="29" t="str">
        <x:v>有效</x:v>
      </x:c>
      <x:c r="P72" s="72" t="n">
        <x:v>5</x:v>
      </x:c>
      <x:c r="Q72" s="72" t="n">
        <x:v>5</x:v>
      </x:c>
      <x:c r="R72" s="72" t="n">
        <x:v>5</x:v>
      </x:c>
      <x:c r="S72" s="72" t="n">
        <x:v>4</x:v>
      </x:c>
      <x:c r="T72" s="72" t="n">
        <x:v>4</x:v>
      </x:c>
      <x:c r="U72" s="72" t="n">
        <x:v>4</x:v>
      </x:c>
      <x:c r="V72" s="72" t="n">
        <x:v>5</x:v>
      </x:c>
      <x:c r="W72" s="29" t="str">
        <x:v>数据卡、长期趋势、反直觉事实；一张图纠正一个直觉、长期趋势和跨国比较。</x:v>
      </x:c>
      <x:c r="X72" s="29" t="str">
        <x:v>全球发展数据、方法说明和来源链透明，可直接追到数据集并复核指标定义。</x:v>
      </x:c>
      <x:c r="Y72" s="29" t="str">
        <x:v>Atom端点已核验；发帖时应同时链接具体图表和数据说明。；2026-08-17：Atom 端点返回 application/xml。引用时同时保留图表来源与指标定义。</x:v>
      </x:c>
      <x:c r="Z72" s="75" t="b">
        <x:v>0</x:v>
      </x:c>
      <x:c r="AA72" s="29"/>
      <x:c r="AB72" s="29" t="str">
        <x:v>扩展调研：科技、科学与数据；扩展调研：人文、历史、哲学与设计</x:v>
      </x:c>
      <x:c r="AC72" s="29" t="str">
        <x:v>https://ourworldindata.org/atom.xml；https://ourworldindata.org/</x:v>
      </x:c>
      <x:c r="AD72" s="29" t="str">
        <x:v>2026-08-17</x:v>
      </x:c>
      <x:c r="AE72" s="29" t="n">
        <x:v>200</x:v>
      </x:c>
      <x:c r="AF72" s="29" t="str">
        <x:v>https://ourworldindata.org/atom.xml</x:v>
      </x:c>
      <x:c r="AG72" s="29" t="str"/>
    </x:row>
    <x:row r="73" ht="44" customHeight="1">
      <x:c r="A73" s="29" t="str">
        <x:v>SRC-069</x:v>
      </x:c>
      <x:c r="B73" s="29" t="str">
        <x:f>IF(C73&gt;=93,"S",IF(C73&gt;=90,"A",IF(C73&gt;=80,"B","C")))</x:f>
        <x:v>S</x:v>
      </x:c>
      <x:c r="C73" s="72" t="n">
        <x:f>ROUND((P73*0.20+Q73*0.18+R73*0.20+S73*0.15+T73*0.12+U73*0.10+V73*0.05)*20,0)</x:f>
        <x:v>93</x:v>
      </x:c>
      <x:c r="D73" s="29" t="str">
        <x:v>人文与跨学科</x:v>
      </x:c>
      <x:c r="E73" s="29" t="str">
        <x:v>全球发展指标</x:v>
      </x:c>
      <x:c r="F73" s="29" t="str">
        <x:v>World Bank Open Data</x:v>
      </x:c>
      <x:c r="G73" s="29" t="str"/>
      <x:c r="H73" s="29" t="str">
        <x:v>国家、经济、发展、人口指标与时间序列</x:v>
      </x:c>
      <x:c r="I73" s="29" t="str">
        <x:v>en</x:v>
      </x:c>
      <x:c r="J73" s="29" t="str">
        <x:v>证据源</x:v>
      </x:c>
      <x:c r="K73" s="29" t="str">
        <x:v>Open</x:v>
      </x:c>
      <x:c r="L73" s="29" t="str">
        <x:v>持续更新</x:v>
      </x:c>
      <x:c r="M73" s="29" t="str">
        <x:v>https://data.worldbank.org/</x:v>
      </x:c>
      <x:c r="N73" s="29" t="str">
        <x:v>https://api.worldbank.org/v2/</x:v>
      </x:c>
      <x:c r="O73" s="29" t="str">
        <x:v>API入口</x:v>
      </x:c>
      <x:c r="P73" s="72" t="n">
        <x:v>5</x:v>
      </x:c>
      <x:c r="Q73" s="72" t="n">
        <x:v>5</x:v>
      </x:c>
      <x:c r="R73" s="72" t="n">
        <x:v>5</x:v>
      </x:c>
      <x:c r="S73" s="72" t="n">
        <x:v>4</x:v>
      </x:c>
      <x:c r="T73" s="72" t="n">
        <x:v>4</x:v>
      </x:c>
      <x:c r="U73" s="72" t="n">
        <x:v>4</x:v>
      </x:c>
      <x:c r="V73" s="72" t="n">
        <x:v>5</x:v>
      </x:c>
      <x:c r="W73" s="29" t="str">
        <x:v>国家比较、长期趋势、发展议题</x:v>
      </x:c>
      <x:c r="X73" s="29" t="str">
        <x:v>官方元数据、时间序列和可下载格式完善。</x:v>
      </x:c>
      <x:c r="Y73" s="29" t="str">
        <x:v>无统一内容RSS；官方API可按国家和指标查询。；未按 RSS/Atom 校验。</x:v>
      </x:c>
      <x:c r="Z73" s="75" t="b">
        <x:v>0</x:v>
      </x:c>
      <x:c r="AA73" s="29"/>
      <x:c r="AB73" s="29" t="str">
        <x:v>扩展调研：科技、科学与数据</x:v>
      </x:c>
      <x:c r="AC73" s="29" t="str">
        <x:v>https://datahelpdesk.worldbank.org/knowledgebase/topics/125589-developer-information</x:v>
      </x:c>
      <x:c r="AD73" s="29" t="str">
        <x:v>2026-08-17</x:v>
      </x:c>
      <x:c r="AE73" s="29"/>
      <x:c r="AF73" s="29" t="str">
        <x:v>https://api.worldbank.org/v2/</x:v>
      </x:c>
      <x:c r="AG73" s="29" t="str"/>
    </x:row>
    <x:row r="74" ht="44" customHeight="1">
      <x:c r="A74" s="29" t="str">
        <x:v>SRC-070</x:v>
      </x:c>
      <x:c r="B74" s="29" t="str">
        <x:f>IF(C74&gt;=93,"S",IF(C74&gt;=90,"A",IF(C74&gt;=80,"B","C")))</x:f>
        <x:v>S</x:v>
      </x:c>
      <x:c r="C74" s="72" t="n">
        <x:f>ROUND((P74*0.20+Q74*0.18+R74*0.20+S74*0.15+T74*0.12+U74*0.10+V74*0.05)*20,0)</x:f>
        <x:v>93</x:v>
      </x:c>
      <x:c r="D74" s="29" t="str">
        <x:v>健康与福祉</x:v>
      </x:c>
      <x:c r="E74" s="29" t="str">
        <x:v>证据综合与卫生服务</x:v>
      </x:c>
      <x:c r="F74" s="29" t="str">
        <x:v>AHRQ Evidence-based Practice Center Reports</x:v>
      </x:c>
      <x:c r="G74" s="29" t="str"/>
      <x:c r="H74" s="29" t="str">
        <x:v>系统综述、技术评估、卫生服务与方法报告</x:v>
      </x:c>
      <x:c r="I74" s="29" t="str">
        <x:v>en</x:v>
      </x:c>
      <x:c r="J74" s="29" t="str">
        <x:v>证据源</x:v>
      </x:c>
      <x:c r="K74" s="29" t="str">
        <x:v>Open</x:v>
      </x:c>
      <x:c r="L74" s="29" t="str">
        <x:v>每月更新</x:v>
      </x:c>
      <x:c r="M74" s="29" t="str">
        <x:v>https://www.ahrq.gov/research/findings/evidence-based-reports/index.html</x:v>
      </x:c>
      <x:c r="N74" s="29" t="str"/>
      <x:c r="O74" s="29" t="str">
        <x:v>无RSS/API入口</x:v>
      </x:c>
      <x:c r="P74" s="72" t="n">
        <x:v>5</x:v>
      </x:c>
      <x:c r="Q74" s="72" t="n">
        <x:v>5</x:v>
      </x:c>
      <x:c r="R74" s="72" t="n">
        <x:v>5</x:v>
      </x:c>
      <x:c r="S74" s="72" t="n">
        <x:v>4</x:v>
      </x:c>
      <x:c r="T74" s="72" t="n">
        <x:v>4</x:v>
      </x:c>
      <x:c r="U74" s="72" t="n">
        <x:v>4</x:v>
      </x:c>
      <x:c r="V74" s="72" t="n">
        <x:v>5</x:v>
      </x:c>
      <x:c r="W74" s="29" t="str">
        <x:v>证据全景、医疗质量、方法论、研究缺口</x:v>
      </x:c>
      <x:c r="X74" s="29" t="str">
        <x:v>为指南、覆盖决策和质量改进提供全面的证据综合。</x:v>
      </x:c>
      <x:c r="Y74" s="29" t="str">
        <x:v>官方页面已浏览确认；2026-08-17 自动 GET 返回 405，但搜索抓取内容可达。未收录稳定统一 RSS，引用时链接具体报告；不替代个体医疗建议。</x:v>
      </x:c>
      <x:c r="Z74" s="75" t="b">
        <x:v>0</x:v>
      </x:c>
      <x:c r="AA74" s="29"/>
      <x:c r="AB74" s="29" t="str">
        <x:v>扩展调研：健康与福祉</x:v>
      </x:c>
      <x:c r="AC74" s="29" t="str">
        <x:v>https://www.ahrq.gov/research/findings/evidence-based-reports/index.html</x:v>
      </x:c>
      <x:c r="AD74" s="29" t="str">
        <x:v>2026-08-17</x:v>
      </x:c>
      <x:c r="AE74" s="29"/>
      <x:c r="AF74" s="29" t="str"/>
      <x:c r="AG74" s="29" t="str"/>
    </x:row>
    <x:row r="75" ht="44" customHeight="1">
      <x:c r="A75" s="29" t="str">
        <x:v>SRC-071</x:v>
      </x:c>
      <x:c r="B75" s="29" t="str">
        <x:f>IF(C75&gt;=93,"S",IF(C75&gt;=90,"A",IF(C75&gt;=80,"B","C")))</x:f>
        <x:v>S</x:v>
      </x:c>
      <x:c r="C75" s="72" t="n">
        <x:f>ROUND((P75*0.20+Q75*0.18+R75*0.20+S75*0.15+T75*0.12+U75*0.10+V75*0.05)*20,0)</x:f>
        <x:v>93</x:v>
      </x:c>
      <x:c r="D75" s="29" t="str">
        <x:v>健康与福祉</x:v>
      </x:c>
      <x:c r="E75" s="29" t="str">
        <x:v>睡眠医学与指南</x:v>
      </x:c>
      <x:c r="F75" s="29" t="str">
        <x:v>American Academy of Sleep Medicine</x:v>
      </x:c>
      <x:c r="G75" s="29" t="str"/>
      <x:c r="H75" s="29" t="str">
        <x:v>睡眠医学指南、共识、研究新闻与专业教育</x:v>
      </x:c>
      <x:c r="I75" s="29" t="str">
        <x:v>en</x:v>
      </x:c>
      <x:c r="J75" s="29" t="str">
        <x:v>证据源</x:v>
      </x:c>
      <x:c r="K75" s="29" t="str">
        <x:v>Open</x:v>
      </x:c>
      <x:c r="L75" s="29" t="str">
        <x:v>每周多次</x:v>
      </x:c>
      <x:c r="M75" s="29" t="str">
        <x:v>https://aasm.org/</x:v>
      </x:c>
      <x:c r="N75" s="29" t="str">
        <x:v>https://aasm.org/feed/</x:v>
      </x:c>
      <x:c r="O75" s="29" t="str">
        <x:v>有效</x:v>
      </x:c>
      <x:c r="P75" s="72" t="n">
        <x:v>5</x:v>
      </x:c>
      <x:c r="Q75" s="72" t="n">
        <x:v>5</x:v>
      </x:c>
      <x:c r="R75" s="72" t="n">
        <x:v>5</x:v>
      </x:c>
      <x:c r="S75" s="72" t="n">
        <x:v>4</x:v>
      </x:c>
      <x:c r="T75" s="72" t="n">
        <x:v>4</x:v>
      </x:c>
      <x:c r="U75" s="72" t="n">
        <x:v>4</x:v>
      </x:c>
      <x:c r="V75" s="72" t="n">
        <x:v>5</x:v>
      </x:c>
      <x:c r="W75" s="29" t="str">
        <x:v>睡眠指南、睡眠障碍、常见误区、研究解读</x:v>
      </x:c>
      <x:c r="X75" s="29" t="str">
        <x:v>睡眠医学专业学会的一手来源，适合核对临床指南和疾病定义。</x:v>
      </x:c>
      <x:c r="Y75" s="29" t="str">
        <x:v>2026-08-17 实测主页 200，官方 RSS 可解析。普通睡眠建议与睡眠障碍诊疗应分开，后者需专业评估；不替代个体医疗建议。</x:v>
      </x:c>
      <x:c r="Z75" s="75" t="b">
        <x:v>0</x:v>
      </x:c>
      <x:c r="AA75" s="29"/>
      <x:c r="AB75" s="29" t="str">
        <x:v>扩展调研：健康与福祉</x:v>
      </x:c>
      <x:c r="AC75" s="29" t="str">
        <x:v>https://aasm.org/</x:v>
      </x:c>
      <x:c r="AD75" s="29" t="str">
        <x:v>2026-08-17</x:v>
      </x:c>
      <x:c r="AE75" s="29" t="n">
        <x:v>200</x:v>
      </x:c>
      <x:c r="AF75" s="29" t="str">
        <x:v>https://aasm.org/feed/</x:v>
      </x:c>
      <x:c r="AG75" s="29" t="str"/>
    </x:row>
    <x:row r="76" ht="44" customHeight="1">
      <x:c r="A76" s="29" t="str">
        <x:v>SRC-072</x:v>
      </x:c>
      <x:c r="B76" s="29" t="str">
        <x:f>IF(C76&gt;=93,"S",IF(C76&gt;=90,"A",IF(C76&gt;=80,"B","C")))</x:f>
        <x:v>S</x:v>
      </x:c>
      <x:c r="C76" s="72" t="n">
        <x:f>ROUND((P76*0.20+Q76*0.18+R76*0.20+S76*0.15+T76*0.12+U76*0.10+V76*0.05)*20,0)</x:f>
        <x:v>93</x:v>
      </x:c>
      <x:c r="D76" s="29" t="str">
        <x:v>健康与福祉</x:v>
      </x:c>
      <x:c r="E76" s="29" t="str">
        <x:v>流行病学与监测</x:v>
      </x:c>
      <x:c r="F76" s="29" t="str">
        <x:v>CDC Morbidity and Mortality Weekly Report (MMWR)</x:v>
      </x:c>
      <x:c r="G76" s="29" t="str"/>
      <x:c r="H76" s="29" t="str">
        <x:v>流行病学调查、监测报告、指南与公共卫生实践</x:v>
      </x:c>
      <x:c r="I76" s="29" t="str">
        <x:v>en</x:v>
      </x:c>
      <x:c r="J76" s="29" t="str">
        <x:v>证据源</x:v>
      </x:c>
      <x:c r="K76" s="29" t="str">
        <x:v>Open</x:v>
      </x:c>
      <x:c r="L76" s="29" t="str">
        <x:v>每周及突发更新</x:v>
      </x:c>
      <x:c r="M76" s="29" t="str">
        <x:v>https://www.cdc.gov/mmwr/</x:v>
      </x:c>
      <x:c r="N76" s="29" t="str">
        <x:v>https://www.cdc.gov/mmwr/rss/mmwr.xml</x:v>
      </x:c>
      <x:c r="O76" s="29" t="str">
        <x:v>有效</x:v>
      </x:c>
      <x:c r="P76" s="72" t="n">
        <x:v>5</x:v>
      </x:c>
      <x:c r="Q76" s="72" t="n">
        <x:v>5</x:v>
      </x:c>
      <x:c r="R76" s="72" t="n">
        <x:v>5</x:v>
      </x:c>
      <x:c r="S76" s="72" t="n">
        <x:v>4</x:v>
      </x:c>
      <x:c r="T76" s="72" t="n">
        <x:v>4</x:v>
      </x:c>
      <x:c r="U76" s="72" t="n">
        <x:v>4</x:v>
      </x:c>
      <x:c r="V76" s="72" t="n">
        <x:v>5</x:v>
      </x:c>
      <x:c r="W76" s="29" t="str">
        <x:v>数据型帖文、疫情复盘、风险因素、政策证据</x:v>
      </x:c>
      <x:c r="X76" s="29" t="str">
        <x:v>CDC 的核心科学出版物，适合获得及时、可引用的公共卫生证据和数据。</x:v>
      </x:c>
      <x:c r="Y76" s="29" t="str">
        <x:v>2026-08-17 实测主页 200，官方 RSS 返回可解析 XML。区分监测数据、观察性研究与正式建议；不替代个体医疗建议。</x:v>
      </x:c>
      <x:c r="Z76" s="75" t="b">
        <x:v>0</x:v>
      </x:c>
      <x:c r="AA76" s="29"/>
      <x:c r="AB76" s="29" t="str">
        <x:v>扩展调研：健康与福祉</x:v>
      </x:c>
      <x:c r="AC76" s="29" t="str">
        <x:v>https://www.cdc.gov/mmwr/about.html</x:v>
      </x:c>
      <x:c r="AD76" s="29" t="str">
        <x:v>2026-08-17</x:v>
      </x:c>
      <x:c r="AE76" s="29" t="n">
        <x:v>200</x:v>
      </x:c>
      <x:c r="AF76" s="29" t="str">
        <x:v>https://www.cdc.gov/mmwr/rss/mmwr.xml</x:v>
      </x:c>
      <x:c r="AG76" s="29" t="str"/>
    </x:row>
    <x:row r="77" ht="44" customHeight="1">
      <x:c r="A77" s="29" t="str">
        <x:v>SRC-073</x:v>
      </x:c>
      <x:c r="B77" s="29" t="str">
        <x:f>IF(C77&gt;=93,"S",IF(C77&gt;=90,"A",IF(C77&gt;=80,"B","C")))</x:f>
        <x:v>S</x:v>
      </x:c>
      <x:c r="C77" s="72" t="n">
        <x:f>ROUND((P77*0.20+Q77*0.18+R77*0.20+S77*0.15+T77*0.12+U77*0.10+V77*0.05)*20,0)</x:f>
        <x:v>93</x:v>
      </x:c>
      <x:c r="D77" s="29" t="str">
        <x:v>健康与福祉</x:v>
      </x:c>
      <x:c r="E77" s="29" t="str">
        <x:v>公共卫生快讯</x:v>
      </x:c>
      <x:c r="F77" s="29" t="str">
        <x:v>CDC Newsroom</x:v>
      </x:c>
      <x:c r="G77" s="29" t="str"/>
      <x:c r="H77" s="29" t="str">
        <x:v>美国公共卫生公告、疾病预防、健康警报与媒体材料</x:v>
      </x:c>
      <x:c r="I77" s="29" t="str">
        <x:v>en</x:v>
      </x:c>
      <x:c r="J77" s="29" t="str">
        <x:v>证据源</x:v>
      </x:c>
      <x:c r="K77" s="29" t="str">
        <x:v>Open</x:v>
      </x:c>
      <x:c r="L77" s="29" t="str">
        <x:v>每日多次</x:v>
      </x:c>
      <x:c r="M77" s="29" t="str">
        <x:v>https://www.cdc.gov/media/index.html</x:v>
      </x:c>
      <x:c r="N77" s="29" t="str">
        <x:v>https://tools.cdc.gov/api/v2/resources/media/132608.rss</x:v>
      </x:c>
      <x:c r="O77" s="29" t="str">
        <x:v>有效</x:v>
      </x:c>
      <x:c r="P77" s="72" t="n">
        <x:v>5</x:v>
      </x:c>
      <x:c r="Q77" s="72" t="n">
        <x:v>5</x:v>
      </x:c>
      <x:c r="R77" s="72" t="n">
        <x:v>5</x:v>
      </x:c>
      <x:c r="S77" s="72" t="n">
        <x:v>4</x:v>
      </x:c>
      <x:c r="T77" s="72" t="n">
        <x:v>4</x:v>
      </x:c>
      <x:c r="U77" s="72" t="n">
        <x:v>4</x:v>
      </x:c>
      <x:c r="V77" s="72" t="n">
        <x:v>5</x:v>
      </x:c>
      <x:c r="W77" s="29" t="str">
        <x:v>风险提示、政策变化、健康数据快讯</x:v>
      </x:c>
      <x:c r="X77" s="29" t="str">
        <x:v>适合追踪传染病、慢病、伤害预防和健康政策的一手更新。</x:v>
      </x:c>
      <x:c r="Y77" s="29" t="str">
        <x:v>2026-08-17 实测主页 200，CDC 官方 RSS 返回可解析 XML。注意结论常以美国人群为主；不替代个体医疗建议。</x:v>
      </x:c>
      <x:c r="Z77" s="75" t="b">
        <x:v>0</x:v>
      </x:c>
      <x:c r="AA77" s="29"/>
      <x:c r="AB77" s="29" t="str">
        <x:v>扩展调研：健康与福祉</x:v>
      </x:c>
      <x:c r="AC77" s="29" t="str">
        <x:v>https://www.cdc.gov/media/index.html</x:v>
      </x:c>
      <x:c r="AD77" s="29" t="str">
        <x:v>2026-08-17</x:v>
      </x:c>
      <x:c r="AE77" s="29" t="n">
        <x:v>200</x:v>
      </x:c>
      <x:c r="AF77" s="29" t="str">
        <x:v>https://tools.cdc.gov/api/v2/resources/media/132608.rss</x:v>
      </x:c>
      <x:c r="AG77" s="29" t="str"/>
    </x:row>
    <x:row r="78" ht="44" customHeight="1">
      <x:c r="A78" s="29" t="str">
        <x:v>SRC-074</x:v>
      </x:c>
      <x:c r="B78" s="29" t="str">
        <x:f>IF(C78&gt;=93,"S",IF(C78&gt;=90,"A",IF(C78&gt;=80,"B","C")))</x:f>
        <x:v>S</x:v>
      </x:c>
      <x:c r="C78" s="72" t="n">
        <x:f>ROUND((P78*0.20+Q78*0.18+R78*0.20+S78*0.15+T78*0.12+U78*0.10+V78*0.05)*20,0)</x:f>
        <x:v>93</x:v>
      </x:c>
      <x:c r="D78" s="29" t="str">
        <x:v>健康与福祉</x:v>
      </x:c>
      <x:c r="E78" s="29" t="str">
        <x:v>临床试验注册</x:v>
      </x:c>
      <x:c r="F78" s="29" t="str">
        <x:v>ClinicalTrials.gov</x:v>
      </x:c>
      <x:c r="G78" s="29" t="str"/>
      <x:c r="H78" s="29" t="str">
        <x:v>临床试验注册、方案、状态、终点与结果</x:v>
      </x:c>
      <x:c r="I78" s="29" t="str">
        <x:v>en</x:v>
      </x:c>
      <x:c r="J78" s="29" t="str">
        <x:v>证据源</x:v>
      </x:c>
      <x:c r="K78" s="29" t="str">
        <x:v>Open</x:v>
      </x:c>
      <x:c r="L78" s="29" t="str">
        <x:v>工作日每日刷新</x:v>
      </x:c>
      <x:c r="M78" s="29" t="str">
        <x:v>https://clinicaltrials.gov/</x:v>
      </x:c>
      <x:c r="N78" s="29" t="str">
        <x:v>https://clinicaltrials.gov/api/v2/studies</x:v>
      </x:c>
      <x:c r="O78" s="29" t="str">
        <x:v>API入口</x:v>
      </x:c>
      <x:c r="P78" s="72" t="n">
        <x:v>5</x:v>
      </x:c>
      <x:c r="Q78" s="72" t="n">
        <x:v>5</x:v>
      </x:c>
      <x:c r="R78" s="72" t="n">
        <x:v>5</x:v>
      </x:c>
      <x:c r="S78" s="72" t="n">
        <x:v>4</x:v>
      </x:c>
      <x:c r="T78" s="72" t="n">
        <x:v>4</x:v>
      </x:c>
      <x:c r="U78" s="72" t="n">
        <x:v>4</x:v>
      </x:c>
      <x:c r="V78" s="72" t="n">
        <x:v>5</x:v>
      </x:c>
      <x:c r="W78" s="29" t="str">
        <x:v>试验进度、预注册核验、终点与结果对照</x:v>
      </x:c>
      <x:c r="X78" s="29" t="str">
        <x:v>核验一项研究是否预注册、主要终点是否改变、结果是否发布的重要来源。</x:v>
      </x:c>
      <x:c r="Y78" s="29" t="str">
        <x:v>2026-08-17 实测主页 200，v2 API 返回 JSON。注册信息由提交者提供，注册不等于疗效或监管批准；不替代个体医疗建议。；未按 RSS/Atom 校验。</x:v>
      </x:c>
      <x:c r="Z78" s="75" t="b">
        <x:v>0</x:v>
      </x:c>
      <x:c r="AA78" s="29"/>
      <x:c r="AB78" s="29" t="str">
        <x:v>扩展调研：健康与福祉</x:v>
      </x:c>
      <x:c r="AC78" s="29" t="str">
        <x:v>https://clinicaltrials.gov/data-api/api</x:v>
      </x:c>
      <x:c r="AD78" s="29" t="str">
        <x:v>2026-08-17</x:v>
      </x:c>
      <x:c r="AE78" s="29"/>
      <x:c r="AF78" s="29" t="str">
        <x:v>https://clinicaltrials.gov/api/v2/studies</x:v>
      </x:c>
      <x:c r="AG78" s="29" t="str"/>
    </x:row>
    <x:row r="79" ht="44" customHeight="1">
      <x:c r="A79" s="29" t="str">
        <x:v>SRC-075</x:v>
      </x:c>
      <x:c r="B79" s="29" t="str">
        <x:f>IF(C79&gt;=93,"S",IF(C79&gt;=90,"A",IF(C79&gt;=80,"B","C")))</x:f>
        <x:v>S</x:v>
      </x:c>
      <x:c r="C79" s="72" t="n">
        <x:f>ROUND((P79*0.20+Q79*0.18+R79*0.20+S79*0.15+T79*0.12+U79*0.10+V79*0.05)*20,0)</x:f>
        <x:v>93</x:v>
      </x:c>
      <x:c r="D79" s="29" t="str">
        <x:v>健康与福祉</x:v>
      </x:c>
      <x:c r="E79" s="29" t="str">
        <x:v>传染病与欧洲公共卫生</x:v>
      </x:c>
      <x:c r="F79" s="29" t="str">
        <x:v>European Centre for Disease Prevention and Control News</x:v>
      </x:c>
      <x:c r="G79" s="29" t="str"/>
      <x:c r="H79" s="29" t="str">
        <x:v>风险评估、流行病学更新、传染病指南与新闻</x:v>
      </x:c>
      <x:c r="I79" s="29" t="str">
        <x:v>en</x:v>
      </x:c>
      <x:c r="J79" s="29" t="str">
        <x:v>证据源</x:v>
      </x:c>
      <x:c r="K79" s="29" t="str">
        <x:v>Open</x:v>
      </x:c>
      <x:c r="L79" s="29" t="str">
        <x:v>每周多次</x:v>
      </x:c>
      <x:c r="M79" s="29" t="str">
        <x:v>https://www.ecdc.europa.eu/en/news-events</x:v>
      </x:c>
      <x:c r="N79" s="29" t="str">
        <x:v>https://www.ecdc.europa.eu/en/taxonomy/term/1307/feed</x:v>
      </x:c>
      <x:c r="O79" s="29" t="str">
        <x:v>有效</x:v>
      </x:c>
      <x:c r="P79" s="72" t="n">
        <x:v>5</x:v>
      </x:c>
      <x:c r="Q79" s="72" t="n">
        <x:v>5</x:v>
      </x:c>
      <x:c r="R79" s="72" t="n">
        <x:v>5</x:v>
      </x:c>
      <x:c r="S79" s="72" t="n">
        <x:v>4</x:v>
      </x:c>
      <x:c r="T79" s="72" t="n">
        <x:v>4</x:v>
      </x:c>
      <x:c r="U79" s="72" t="n">
        <x:v>4</x:v>
      </x:c>
      <x:c r="V79" s="72" t="n">
        <x:v>5</x:v>
      </x:c>
      <x:c r="W79" s="29" t="str">
        <x:v>跨国比较、疫情风险、欧洲公共卫生政策</x:v>
      </x:c>
      <x:c r="X79" s="29" t="str">
        <x:v>补充欧洲视角的疾病监测、风险评估和跨境公共卫生信息。</x:v>
      </x:c>
      <x:c r="Y79" s="29" t="str">
        <x:v>2026-08-17 实测主页 200，官方新闻 RSS 返回可解析 XML。风险评估需结合发布日期与适用地区；不替代个体医疗建议。</x:v>
      </x:c>
      <x:c r="Z79" s="75" t="b">
        <x:v>0</x:v>
      </x:c>
      <x:c r="AA79" s="29"/>
      <x:c r="AB79" s="29" t="str">
        <x:v>扩展调研：健康与福祉</x:v>
      </x:c>
      <x:c r="AC79" s="29" t="str">
        <x:v>https://www.ecdc.europa.eu/en/rss-feeds</x:v>
      </x:c>
      <x:c r="AD79" s="29" t="str">
        <x:v>2026-08-17</x:v>
      </x:c>
      <x:c r="AE79" s="29" t="n">
        <x:v>200</x:v>
      </x:c>
      <x:c r="AF79" s="29" t="str">
        <x:v>https://www.ecdc.europa.eu/en/taxonomy/term/1307/feed</x:v>
      </x:c>
      <x:c r="AG79" s="29" t="str"/>
    </x:row>
    <x:row r="80" ht="44" customHeight="1">
      <x:c r="A80" s="29" t="str">
        <x:v>SRC-076</x:v>
      </x:c>
      <x:c r="B80" s="29" t="str">
        <x:f>IF(C80&gt;=93,"S",IF(C80&gt;=90,"A",IF(C80&gt;=80,"B","C")))</x:f>
        <x:v>S</x:v>
      </x:c>
      <x:c r="C80" s="72" t="n">
        <x:f>ROUND((P80*0.20+Q80*0.18+R80*0.20+S80*0.15+T80*0.12+U80*0.10+V80*0.05)*20,0)</x:f>
        <x:v>93</x:v>
      </x:c>
      <x:c r="D80" s="29" t="str">
        <x:v>健康与福祉</x:v>
      </x:c>
      <x:c r="E80" s="29" t="str">
        <x:v>药品与产品安全</x:v>
      </x:c>
      <x:c r="F80" s="29" t="str">
        <x:v>FDA Consumer Health Information Updates</x:v>
      </x:c>
      <x:c r="G80" s="29" t="str"/>
      <x:c r="H80" s="29" t="str">
        <x:v>药物、食品、医疗器械、召回与健康欺诈提示</x:v>
      </x:c>
      <x:c r="I80" s="29" t="str">
        <x:v>en</x:v>
      </x:c>
      <x:c r="J80" s="29" t="str">
        <x:v>证据源</x:v>
      </x:c>
      <x:c r="K80" s="29" t="str">
        <x:v>Open</x:v>
      </x:c>
      <x:c r="L80" s="29" t="str">
        <x:v>每周多次</x:v>
      </x:c>
      <x:c r="M80" s="29" t="str">
        <x:v>https://www.fda.gov/consumers/consumer-updates</x:v>
      </x:c>
      <x:c r="N80" s="29" t="str">
        <x:v>https://www.fda.gov/about-fda/contact-fda/stay-informed/rss-feeds/consumers/rss.xml</x:v>
      </x:c>
      <x:c r="O80" s="29" t="str">
        <x:v>有效</x:v>
      </x:c>
      <x:c r="P80" s="72" t="n">
        <x:v>5</x:v>
      </x:c>
      <x:c r="Q80" s="72" t="n">
        <x:v>5</x:v>
      </x:c>
      <x:c r="R80" s="72" t="n">
        <x:v>5</x:v>
      </x:c>
      <x:c r="S80" s="72" t="n">
        <x:v>4</x:v>
      </x:c>
      <x:c r="T80" s="72" t="n">
        <x:v>4</x:v>
      </x:c>
      <x:c r="U80" s="72" t="n">
        <x:v>4</x:v>
      </x:c>
      <x:c r="V80" s="72" t="n">
        <x:v>5</x:v>
      </x:c>
      <x:c r="W80" s="29" t="str">
        <x:v>辟谣、监管更新、产品风险、保健品红旗</x:v>
      </x:c>
      <x:c r="X80" s="29" t="str">
        <x:v>核验产品安全、监管状态与常见健康营销说法的权威来源。</x:v>
      </x:c>
      <x:c r="Y80" s="29" t="str">
        <x:v>2026-08-17 实测主页 200，官方 Consumer RSS 返回可解析 XML。监管信息以美国为主；涉及用药应建议咨询合格专业人士。</x:v>
      </x:c>
      <x:c r="Z80" s="75" t="b">
        <x:v>0</x:v>
      </x:c>
      <x:c r="AA80" s="29"/>
      <x:c r="AB80" s="29" t="str">
        <x:v>扩展调研：健康与福祉</x:v>
      </x:c>
      <x:c r="AC80" s="29" t="str">
        <x:v>https://www.fda.gov/about-fda/contact-fda/subscribe-podcasts-and-news-feeds</x:v>
      </x:c>
      <x:c r="AD80" s="29" t="str">
        <x:v>2026-08-17</x:v>
      </x:c>
      <x:c r="AE80" s="29" t="n">
        <x:v>200</x:v>
      </x:c>
      <x:c r="AF80" s="29" t="str">
        <x:v>https://www.fda.gov/about-fda/contact-fda/stay-informed/rss-feeds/consumers/rss.xml</x:v>
      </x:c>
      <x:c r="AG80" s="29" t="str"/>
    </x:row>
    <x:row r="81" ht="44" customHeight="1">
      <x:c r="A81" s="29" t="str">
        <x:v>SRC-077</x:v>
      </x:c>
      <x:c r="B81" s="29" t="str">
        <x:f>IF(C81&gt;=93,"S",IF(C81&gt;=90,"A",IF(C81&gt;=80,"B","C")))</x:f>
        <x:v>S</x:v>
      </x:c>
      <x:c r="C81" s="72" t="n">
        <x:f>ROUND((P81*0.20+Q81*0.18+R81*0.20+S81*0.15+T81*0.12+U81*0.10+V81*0.05)*20,0)</x:f>
        <x:v>93</x:v>
      </x:c>
      <x:c r="D81" s="29" t="str">
        <x:v>健康与福祉</x:v>
      </x:c>
      <x:c r="E81" s="29" t="str">
        <x:v>精神健康科研与科普</x:v>
      </x:c>
      <x:c r="F81" s="29" t="str">
        <x:v>National Institute of Mental Health</x:v>
      </x:c>
      <x:c r="G81" s="29" t="str"/>
      <x:c r="H81" s="29" t="str">
        <x:v>精神疾病研究、统计、治疗信息、科研新闻与公共教育</x:v>
      </x:c>
      <x:c r="I81" s="29" t="str">
        <x:v>en, es</x:v>
      </x:c>
      <x:c r="J81" s="29" t="str">
        <x:v>证据源</x:v>
      </x:c>
      <x:c r="K81" s="29" t="str">
        <x:v>Open</x:v>
      </x:c>
      <x:c r="L81" s="29" t="str">
        <x:v>每周更新</x:v>
      </x:c>
      <x:c r="M81" s="29" t="str">
        <x:v>https://www.nimh.nih.gov/news</x:v>
      </x:c>
      <x:c r="N81" s="29" t="str"/>
      <x:c r="O81" s="29" t="str">
        <x:v>无RSS/API入口</x:v>
      </x:c>
      <x:c r="P81" s="72" t="n">
        <x:v>5</x:v>
      </x:c>
      <x:c r="Q81" s="72" t="n">
        <x:v>5</x:v>
      </x:c>
      <x:c r="R81" s="72" t="n">
        <x:v>5</x:v>
      </x:c>
      <x:c r="S81" s="72" t="n">
        <x:v>4</x:v>
      </x:c>
      <x:c r="T81" s="72" t="n">
        <x:v>4</x:v>
      </x:c>
      <x:c r="U81" s="72" t="n">
        <x:v>4</x:v>
      </x:c>
      <x:c r="V81" s="72" t="n">
        <x:v>5</x:v>
      </x:c>
      <x:c r="W81" s="29" t="str">
        <x:v>用于心理健康数据、机制研究和政策背景；优先引用其研究报告或所链接论文。；精神健康科普、研究进展、统计与求助资源</x:v>
      </x:c>
      <x:c r="X81" s="29" t="str">
        <x:v>美国国家级精神健康研究机构，适合核对疾病概念、研究进展与统计口径。</x:v>
      </x:c>
      <x:c r="Y81" s="29" t="str">
        <x:v>2026-08-17：官方新闻主页 200；未在当前页面发现固定 RSS，建议网页巡检或邮件订阅。；2026-08-17 实测主页 200；旧 Atom 路径已失效，未收录不稳定 Feed。精神健康内容应避免自我诊断和污名化，并在危机话题中提供当地专业求助渠道。</x:v>
      </x:c>
      <x:c r="Z81" s="75" t="b">
        <x:v>0</x:v>
      </x:c>
      <x:c r="AA81" s="29"/>
      <x:c r="AB81" s="29" t="str">
        <x:v>扩展调研：心理、认知与情商；扩展调研：健康与福祉</x:v>
      </x:c>
      <x:c r="AC81" s="29" t="str">
        <x:v>https://www.nimh.nih.gov/about；https://www.nimh.nih.gov/news</x:v>
      </x:c>
      <x:c r="AD81" s="29" t="str">
        <x:v>2026-08-17</x:v>
      </x:c>
      <x:c r="AE81" s="29"/>
      <x:c r="AF81" s="29" t="str"/>
      <x:c r="AG81" s="29" t="str"/>
    </x:row>
    <x:row r="82" ht="44" customHeight="1">
      <x:c r="A82" s="29" t="str">
        <x:v>SRC-078</x:v>
      </x:c>
      <x:c r="B82" s="29" t="str">
        <x:f>IF(C82&gt;=93,"S",IF(C82&gt;=90,"A",IF(C82&gt;=80,"B","C")))</x:f>
        <x:v>S</x:v>
      </x:c>
      <x:c r="C82" s="72" t="n">
        <x:f>ROUND((P82*0.20+Q82*0.18+R82*0.20+S82*0.15+T82*0.12+U82*0.10+V82*0.05)*20,0)</x:f>
        <x:v>93</x:v>
      </x:c>
      <x:c r="D82" s="29" t="str">
        <x:v>健康与福祉</x:v>
      </x:c>
      <x:c r="E82" s="29" t="str">
        <x:v>临床与公共卫生指南</x:v>
      </x:c>
      <x:c r="F82" s="29" t="str">
        <x:v>NICE Guidance</x:v>
      </x:c>
      <x:c r="G82" s="29" t="str"/>
      <x:c r="H82" s="29" t="str">
        <x:v>临床指南、公共卫生指南、技术评估与质量标准</x:v>
      </x:c>
      <x:c r="I82" s="29" t="str">
        <x:v>en</x:v>
      </x:c>
      <x:c r="J82" s="29" t="str">
        <x:v>证据源</x:v>
      </x:c>
      <x:c r="K82" s="29" t="str">
        <x:v>Open</x:v>
      </x:c>
      <x:c r="L82" s="29" t="str">
        <x:v>持续更新</x:v>
      </x:c>
      <x:c r="M82" s="29" t="str">
        <x:v>https://www.nice.org.uk/guidance</x:v>
      </x:c>
      <x:c r="N82" s="29" t="str"/>
      <x:c r="O82" s="29" t="str">
        <x:v>无RSS/API入口</x:v>
      </x:c>
      <x:c r="P82" s="72" t="n">
        <x:v>5</x:v>
      </x:c>
      <x:c r="Q82" s="72" t="n">
        <x:v>5</x:v>
      </x:c>
      <x:c r="R82" s="72" t="n">
        <x:v>5</x:v>
      </x:c>
      <x:c r="S82" s="72" t="n">
        <x:v>4</x:v>
      </x:c>
      <x:c r="T82" s="72" t="n">
        <x:v>4</x:v>
      </x:c>
      <x:c r="U82" s="72" t="n">
        <x:v>4</x:v>
      </x:c>
      <x:c r="V82" s="72" t="n">
        <x:v>5</x:v>
      </x:c>
      <x:c r="W82" s="29" t="str">
        <x:v>指南变化、推荐等级、临床路径</x:v>
      </x:c>
      <x:c r="X82" s="29" t="str">
        <x:v>基于系统证据和成本效益的指南平台，适合核对标准实践与推荐强度。</x:v>
      </x:c>
      <x:c r="Y82" s="29" t="str">
        <x:v>2026-08-17 实测主页 200；官方有 Syndication/API 文档，但本库不填入可能变动的统一端点。适用情境以英国体系为主；不替代个体医疗建议。</x:v>
      </x:c>
      <x:c r="Z82" s="75" t="b">
        <x:v>0</x:v>
      </x:c>
      <x:c r="AA82" s="29"/>
      <x:c r="AB82" s="29" t="str">
        <x:v>扩展调研：健康与福祉</x:v>
      </x:c>
      <x:c r="AC82" s="29" t="str">
        <x:v>https://www.nice.org.uk/about-us/our-principles</x:v>
      </x:c>
      <x:c r="AD82" s="29" t="str">
        <x:v>2026-08-17</x:v>
      </x:c>
      <x:c r="AE82" s="29"/>
      <x:c r="AF82" s="29" t="str"/>
      <x:c r="AG82" s="29" t="str"/>
    </x:row>
    <x:row r="83" ht="44" customHeight="1">
      <x:c r="A83" s="29" t="str">
        <x:v>SRC-079</x:v>
      </x:c>
      <x:c r="B83" s="29" t="str">
        <x:f>IF(C83&gt;=93,"S",IF(C83&gt;=90,"A",IF(C83&gt;=80,"B","C")))</x:f>
        <x:v>S</x:v>
      </x:c>
      <x:c r="C83" s="72" t="n">
        <x:f>ROUND((P83*0.20+Q83*0.18+R83*0.20+S83*0.15+T83*0.12+U83*0.10+V83*0.05)*20,0)</x:f>
        <x:v>93</x:v>
      </x:c>
      <x:c r="D83" s="29" t="str">
        <x:v>健康与福祉</x:v>
      </x:c>
      <x:c r="E83" s="29" t="str">
        <x:v>开放医学研究</x:v>
      </x:c>
      <x:c r="F83" s="29" t="str">
        <x:v>PLOS Medicine</x:v>
      </x:c>
      <x:c r="G83" s="29" t="str"/>
      <x:c r="H83" s="29" t="str">
        <x:v>临床与公共卫生研究、系统综述、方法和政策</x:v>
      </x:c>
      <x:c r="I83" s="29" t="str">
        <x:v>en</x:v>
      </x:c>
      <x:c r="J83" s="29" t="str">
        <x:v>证据源</x:v>
      </x:c>
      <x:c r="K83" s="29" t="str">
        <x:v>Open</x:v>
      </x:c>
      <x:c r="L83" s="29" t="str">
        <x:v>每周多次</x:v>
      </x:c>
      <x:c r="M83" s="29" t="str">
        <x:v>https://journals.plos.org/plosmedicine/</x:v>
      </x:c>
      <x:c r="N83" s="29" t="str">
        <x:v>https://journals.plos.org/plosmedicine/feed/atom</x:v>
      </x:c>
      <x:c r="O83" s="29" t="str">
        <x:v>有效</x:v>
      </x:c>
      <x:c r="P83" s="72" t="n">
        <x:v>5</x:v>
      </x:c>
      <x:c r="Q83" s="72" t="n">
        <x:v>5</x:v>
      </x:c>
      <x:c r="R83" s="72" t="n">
        <x:v>5</x:v>
      </x:c>
      <x:c r="S83" s="72" t="n">
        <x:v>4</x:v>
      </x:c>
      <x:c r="T83" s="72" t="n">
        <x:v>4</x:v>
      </x:c>
      <x:c r="U83" s="72" t="n">
        <x:v>4</x:v>
      </x:c>
      <x:c r="V83" s="72" t="n">
        <x:v>5</x:v>
      </x:c>
      <x:c r="W83" s="29" t="str">
        <x:v>开放论文、方法透明、全球健康、可复核证据</x:v>
      </x:c>
      <x:c r="X83" s="29" t="str">
        <x:v>开放获取且覆盖临床和全球健康，便于读者直接核查全文。</x:v>
      </x:c>
      <x:c r="Y83" s="29" t="str">
        <x:v>2026-08-17 实测主页 200，官方 Atom Feed 可解析。开放获取不等于无偏倚，仍需评估设计、效应量与局限；不替代个体医疗建议。</x:v>
      </x:c>
      <x:c r="Z83" s="75" t="b">
        <x:v>0</x:v>
      </x:c>
      <x:c r="AA83" s="29"/>
      <x:c r="AB83" s="29" t="str">
        <x:v>扩展调研：健康与福祉</x:v>
      </x:c>
      <x:c r="AC83" s="29" t="str">
        <x:v>https://journals.plos.org/plosmedicine/</x:v>
      </x:c>
      <x:c r="AD83" s="29" t="str">
        <x:v>2026-08-17</x:v>
      </x:c>
      <x:c r="AE83" s="29" t="n">
        <x:v>200</x:v>
      </x:c>
      <x:c r="AF83" s="29" t="str">
        <x:v>https://journals.plos.org/plosmedicine/feed/atom</x:v>
      </x:c>
      <x:c r="AG83" s="29" t="str"/>
    </x:row>
    <x:row r="84" ht="44" customHeight="1">
      <x:c r="A84" s="29" t="str">
        <x:v>SRC-080</x:v>
      </x:c>
      <x:c r="B84" s="29" t="str">
        <x:f>IF(C84&gt;=93,"S",IF(C84&gt;=90,"A",IF(C84&gt;=80,"B","C")))</x:f>
        <x:v>S</x:v>
      </x:c>
      <x:c r="C84" s="72" t="n">
        <x:f>ROUND((P84*0.20+Q84*0.18+R84*0.20+S84*0.15+T84*0.12+U84*0.10+V84*0.05)*20,0)</x:f>
        <x:v>93</x:v>
      </x:c>
      <x:c r="D84" s="29" t="str">
        <x:v>健康与福祉</x:v>
      </x:c>
      <x:c r="E84" s="29" t="str">
        <x:v>预防医学指南</x:v>
      </x:c>
      <x:c r="F84" s="29" t="str">
        <x:v>U.S. Preventive Services Task Force</x:v>
      </x:c>
      <x:c r="G84" s="29" t="str"/>
      <x:c r="H84" s="29" t="str">
        <x:v>筛查、预防用药与行为干预推荐及证据综述</x:v>
      </x:c>
      <x:c r="I84" s="29" t="str">
        <x:v>en</x:v>
      </x:c>
      <x:c r="J84" s="29" t="str">
        <x:v>证据源</x:v>
      </x:c>
      <x:c r="K84" s="29" t="str">
        <x:v>Open</x:v>
      </x:c>
      <x:c r="L84" s="29" t="str">
        <x:v>每月更新</x:v>
      </x:c>
      <x:c r="M84" s="29" t="str">
        <x:v>https://www.uspreventiveservicestaskforce.org/uspstf/recommendation-topics</x:v>
      </x:c>
      <x:c r="N84" s="29" t="str"/>
      <x:c r="O84" s="29" t="str">
        <x:v>无RSS/API入口</x:v>
      </x:c>
      <x:c r="P84" s="72" t="n">
        <x:v>5</x:v>
      </x:c>
      <x:c r="Q84" s="72" t="n">
        <x:v>5</x:v>
      </x:c>
      <x:c r="R84" s="72" t="n">
        <x:v>5</x:v>
      </x:c>
      <x:c r="S84" s="72" t="n">
        <x:v>4</x:v>
      </x:c>
      <x:c r="T84" s="72" t="n">
        <x:v>4</x:v>
      </x:c>
      <x:c r="U84" s="72" t="n">
        <x:v>4</x:v>
      </x:c>
      <x:c r="V84" s="72" t="n">
        <x:v>5</x:v>
      </x:c>
      <x:c r="W84" s="29" t="str">
        <x:v>筛查利弊、预防误区、推荐等级解释</x:v>
      </x:c>
      <x:c r="X84" s="29" t="str">
        <x:v>针对无症状人群的预防服务建议，方法公开且推荐等级清晰。</x:v>
      </x:c>
      <x:c r="Y84" s="29" t="str">
        <x:v>2026-08-17 实测主页 200；未发现稳定官方 RSS，建议网页或邮件监测。推荐适用对象非常具体，发帖须写清年龄、风险组和等级；不替代个体医疗建议。</x:v>
      </x:c>
      <x:c r="Z84" s="75" t="b">
        <x:v>0</x:v>
      </x:c>
      <x:c r="AA84" s="29"/>
      <x:c r="AB84" s="29" t="str">
        <x:v>扩展调研：健康与福祉</x:v>
      </x:c>
      <x:c r="AC84" s="29" t="str">
        <x:v>https://www.uspreventiveservicestaskforce.org/uspstf/home</x:v>
      </x:c>
      <x:c r="AD84" s="29" t="str">
        <x:v>2026-08-17</x:v>
      </x:c>
      <x:c r="AE84" s="29"/>
      <x:c r="AF84" s="29" t="str"/>
      <x:c r="AG84" s="29" t="str"/>
    </x:row>
    <x:row r="85" ht="44" customHeight="1">
      <x:c r="A85" s="29" t="str">
        <x:v>SRC-081</x:v>
      </x:c>
      <x:c r="B85" s="29" t="str">
        <x:f>IF(C85&gt;=93,"S",IF(C85&gt;=90,"A",IF(C85&gt;=80,"B","C")))</x:f>
        <x:v>S</x:v>
      </x:c>
      <x:c r="C85" s="72" t="n">
        <x:f>ROUND((P85*0.20+Q85*0.18+R85*0.20+S85*0.15+T85*0.12+U85*0.10+V85*0.05)*20,0)</x:f>
        <x:v>93</x:v>
      </x:c>
      <x:c r="D85" s="29" t="str">
        <x:v>健康与福祉</x:v>
      </x:c>
      <x:c r="E85" s="29" t="str">
        <x:v>全球健康统计</x:v>
      </x:c>
      <x:c r="F85" s="29" t="str">
        <x:v>WHO Global Health Observatory</x:v>
      </x:c>
      <x:c r="G85" s="29" t="str"/>
      <x:c r="H85" s="29" t="str">
        <x:v>国家级健康指标、死亡、疾病、风险因素与卫生系统数据</x:v>
      </x:c>
      <x:c r="I85" s="29" t="str">
        <x:v>en</x:v>
      </x:c>
      <x:c r="J85" s="29" t="str">
        <x:v>证据源</x:v>
      </x:c>
      <x:c r="K85" s="29" t="str">
        <x:v>Open</x:v>
      </x:c>
      <x:c r="L85" s="29" t="str">
        <x:v>按指标更新</x:v>
      </x:c>
      <x:c r="M85" s="29" t="str">
        <x:v>https://www.who.int/data/gho</x:v>
      </x:c>
      <x:c r="N85" s="29" t="str">
        <x:v>https://ghoapi.azureedge.net/api/</x:v>
      </x:c>
      <x:c r="O85" s="29" t="str">
        <x:v>API入口</x:v>
      </x:c>
      <x:c r="P85" s="72" t="n">
        <x:v>5</x:v>
      </x:c>
      <x:c r="Q85" s="72" t="n">
        <x:v>5</x:v>
      </x:c>
      <x:c r="R85" s="72" t="n">
        <x:v>5</x:v>
      </x:c>
      <x:c r="S85" s="72" t="n">
        <x:v>4</x:v>
      </x:c>
      <x:c r="T85" s="72" t="n">
        <x:v>4</x:v>
      </x:c>
      <x:c r="U85" s="72" t="n">
        <x:v>4</x:v>
      </x:c>
      <x:c r="V85" s="72" t="n">
        <x:v>5</x:v>
      </x:c>
      <x:c r="W85" s="29" t="str">
        <x:v>公共健康趋势、国家比较；全球地图、国家比较、长期趋势、公共卫生数据图</x:v>
      </x:c>
      <x:c r="X85" s="29" t="str">
        <x:v>适合制作全球和跨国健康比较，提供官方指标定义与可查询数据。</x:v>
      </x:c>
      <x:c r="Y85" s="29" t="str">
        <x:v>指标定义、估算模型和报告延迟需随图说明。；2026-08-17 实测主页 200，OData API 返回 JSON。发帖应标注指标定义、年份、估计方法与缺失值；群体统计不用于个体诊断。；未按 RSS/Atom 校验。</x:v>
      </x:c>
      <x:c r="Z85" s="75" t="b">
        <x:v>0</x:v>
      </x:c>
      <x:c r="AA85" s="29"/>
      <x:c r="AB85" s="29" t="str">
        <x:v>扩展调研：数据库、资料库与平台；扩展调研：健康与福祉</x:v>
      </x:c>
      <x:c r="AC85" s="29" t="str">
        <x:v>https://www.who.int/data/gho；https://www.who.int/data/gho/info/gho-odata-api</x:v>
      </x:c>
      <x:c r="AD85" s="29" t="str">
        <x:v>2026-08-17</x:v>
      </x:c>
      <x:c r="AE85" s="29"/>
      <x:c r="AF85" s="29" t="str">
        <x:v>https://ghoapi.azureedge.net/api/</x:v>
      </x:c>
      <x:c r="AG85" s="29" t="str"/>
    </x:row>
    <x:row r="86" ht="44" customHeight="1">
      <x:c r="A86" s="29" t="str">
        <x:v>SRC-082</x:v>
      </x:c>
      <x:c r="B86" s="29" t="str">
        <x:f>IF(C86&gt;=93,"S",IF(C86&gt;=90,"A",IF(C86&gt;=80,"B","C")))</x:f>
        <x:v>S</x:v>
      </x:c>
      <x:c r="C86" s="72" t="n">
        <x:f>ROUND((P86*0.20+Q86*0.18+R86*0.20+S86*0.15+T86*0.12+U86*0.10+V86*0.05)*20,0)</x:f>
        <x:v>93</x:v>
      </x:c>
      <x:c r="D86" s="29" t="str">
        <x:v>健康与福祉</x:v>
      </x:c>
      <x:c r="E86" s="29" t="str">
        <x:v>全球公共卫生</x:v>
      </x:c>
      <x:c r="F86" s="29" t="str">
        <x:v>World Health Organization Newsroom</x:v>
      </x:c>
      <x:c r="G86" s="29" t="str"/>
      <x:c r="H86" s="29" t="str">
        <x:v>全球卫生新闻、指南更新、疫情与政策声明</x:v>
      </x:c>
      <x:c r="I86" s="29" t="str">
        <x:v>en</x:v>
      </x:c>
      <x:c r="J86" s="29" t="str">
        <x:v>证据源</x:v>
      </x:c>
      <x:c r="K86" s="29" t="str">
        <x:v>Open</x:v>
      </x:c>
      <x:c r="L86" s="29" t="str">
        <x:v>每日多次</x:v>
      </x:c>
      <x:c r="M86" s="29" t="str">
        <x:v>https://www.who.int/news-room</x:v>
      </x:c>
      <x:c r="N86" s="29" t="str">
        <x:v>https://www.who.int/rss-feeds/news-english.xml</x:v>
      </x:c>
      <x:c r="O86" s="29" t="str">
        <x:v>有效</x:v>
      </x:c>
      <x:c r="P86" s="72" t="n">
        <x:v>5</x:v>
      </x:c>
      <x:c r="Q86" s="72" t="n">
        <x:v>5</x:v>
      </x:c>
      <x:c r="R86" s="72" t="n">
        <x:v>5</x:v>
      </x:c>
      <x:c r="S86" s="72" t="n">
        <x:v>4</x:v>
      </x:c>
      <x:c r="T86" s="72" t="n">
        <x:v>4</x:v>
      </x:c>
      <x:c r="U86" s="72" t="n">
        <x:v>4</x:v>
      </x:c>
      <x:c r="V86" s="72" t="n">
        <x:v>5</x:v>
      </x:c>
      <x:c r="W86" s="29" t="str">
        <x:v>全球趋势、指南变化、跨国数据、公共卫生事件</x:v>
      </x:c>
      <x:c r="X86" s="29" t="str">
        <x:v>WHO 是全球公共卫生规范、疾病防控与跨国卫生议题的一手权威来源。</x:v>
      </x:c>
      <x:c r="Y86" s="29" t="str">
        <x:v>2026-08-17 实测主页 200，官方 RSS 返回可解析 XML。引用指南或数据时应链接具体文件；仅作一般信息，不替代个体医疗建议。</x:v>
      </x:c>
      <x:c r="Z86" s="75" t="b">
        <x:v>0</x:v>
      </x:c>
      <x:c r="AA86" s="29"/>
      <x:c r="AB86" s="29" t="str">
        <x:v>扩展调研：健康与福祉</x:v>
      </x:c>
      <x:c r="AC86" s="29" t="str">
        <x:v>https://www.who.int/news-room</x:v>
      </x:c>
      <x:c r="AD86" s="29" t="str">
        <x:v>2026-08-17</x:v>
      </x:c>
      <x:c r="AE86" s="29" t="n">
        <x:v>200</x:v>
      </x:c>
      <x:c r="AF86" s="29" t="str">
        <x:v>https://www.who.int/rss-feeds/news-english.xml</x:v>
      </x:c>
      <x:c r="AG86" s="29" t="str"/>
    </x:row>
    <x:row r="87" ht="44" customHeight="1">
      <x:c r="A87" s="29" t="str">
        <x:v>SRC-083</x:v>
      </x:c>
      <x:c r="B87" s="29" t="str">
        <x:f>IF(C87&gt;=93,"S",IF(C87&gt;=90,"A",IF(C87&gt;=80,"B","C")))</x:f>
        <x:v>S</x:v>
      </x:c>
      <x:c r="C87" s="72" t="n">
        <x:f>ROUND((P87*0.20+Q87*0.18+R87*0.20+S87*0.15+T87*0.12+U87*0.10+V87*0.05)*20,0)</x:f>
        <x:v>93</x:v>
      </x:c>
      <x:c r="D87" s="29" t="str">
        <x:v>健康与福祉</x:v>
      </x:c>
      <x:c r="E87" s="29" t="str">
        <x:v>卫生健康政策、指南与新闻发布</x:v>
      </x:c>
      <x:c r="F87" s="29" t="str">
        <x:v>中华人民共和国国家卫生健康委员会</x:v>
      </x:c>
      <x:c r="G87" s="29" t="str"/>
      <x:c r="H87" s="29" t="str">
        <x:v>官方政策与文件平台</x:v>
      </x:c>
      <x:c r="I87" s="29" t="str">
        <x:v>zh-CN</x:v>
      </x:c>
      <x:c r="J87" s="29" t="str">
        <x:v>证据源</x:v>
      </x:c>
      <x:c r="K87" s="29" t="str">
        <x:v>Open</x:v>
      </x:c>
      <x:c r="L87" s="29" t="str">
        <x:v>持续更新</x:v>
      </x:c>
      <x:c r="M87" s="29" t="str">
        <x:v>https://www.nhc.gov.cn/</x:v>
      </x:c>
      <x:c r="N87" s="29" t="str"/>
      <x:c r="O87" s="29" t="str">
        <x:v>无RSS/API入口</x:v>
      </x:c>
      <x:c r="P87" s="72" t="n">
        <x:v>5</x:v>
      </x:c>
      <x:c r="Q87" s="72" t="n">
        <x:v>5</x:v>
      </x:c>
      <x:c r="R87" s="72" t="n">
        <x:v>5</x:v>
      </x:c>
      <x:c r="S87" s="72" t="n">
        <x:v>4</x:v>
      </x:c>
      <x:c r="T87" s="72" t="n">
        <x:v>4</x:v>
      </x:c>
      <x:c r="U87" s="72" t="n">
        <x:v>4</x:v>
      </x:c>
      <x:c r="V87" s="72" t="n">
        <x:v>5</x:v>
      </x:c>
      <x:c r="W87" s="29" t="str">
        <x:v>政策原文、发布日期、官方统计口径与制度变化</x:v>
      </x:c>
      <x:c r="X87" s="29" t="str">
        <x:v>中国卫生健康政策、规范、新闻发布会和政策解读的一手入口。</x:v>
      </x:c>
      <x:c r="Y87" s="29" t="str">
        <x:v>精确引用文件名称、文号、发布日期和适用范围；新闻稿不能替代完整技术指南。</x:v>
      </x:c>
      <x:c r="Z87" s="75" t="b">
        <x:v>0</x:v>
      </x:c>
      <x:c r="AA87" s="29"/>
      <x:c r="AB87" s="29" t="str">
        <x:v>扩展调研：中文心理、健康与商业机构</x:v>
      </x:c>
      <x:c r="AC87" s="29" t="str">
        <x:v>https://www.nhc.gov.cn/</x:v>
      </x:c>
      <x:c r="AD87" s="29" t="str">
        <x:v>2026-08-17</x:v>
      </x:c>
      <x:c r="AE87" s="29"/>
      <x:c r="AF87" s="29" t="str"/>
      <x:c r="AG87" s="29" t="str"/>
    </x:row>
    <x:row r="88" ht="44" customHeight="1">
      <x:c r="A88" s="29" t="str">
        <x:v>SRC-084</x:v>
      </x:c>
      <x:c r="B88" s="29" t="str">
        <x:f>IF(C88&gt;=93,"S",IF(C88&gt;=90,"A",IF(C88&gt;=80,"B","C")))</x:f>
        <x:v>S</x:v>
      </x:c>
      <x:c r="C88" s="72" t="n">
        <x:f>ROUND((P88*0.20+Q88*0.18+R88*0.20+S88*0.15+T88*0.12+U88*0.10+V88*0.05)*20,0)</x:f>
        <x:v>93</x:v>
      </x:c>
      <x:c r="D88" s="29" t="str">
        <x:v>历史与考古</x:v>
      </x:c>
      <x:c r="E88" s="29" t="str">
        <x:v>数字图书馆</x:v>
      </x:c>
      <x:c r="F88" s="29" t="str">
        <x:v>HathiTrust Digital Library</x:v>
      </x:c>
      <x:c r="G88" s="29" t="str"/>
      <x:c r="H88" s="29" t="str">
        <x:v>数字馆藏平台</x:v>
      </x:c>
      <x:c r="I88" s="29" t="str">
        <x:v>multilingual</x:v>
      </x:c>
      <x:c r="J88" s="29" t="str">
        <x:v>证据源</x:v>
      </x:c>
      <x:c r="K88" s="29" t="str">
        <x:v>Varies</x:v>
      </x:c>
      <x:c r="L88" s="29" t="str">
        <x:v>持续更新</x:v>
      </x:c>
      <x:c r="M88" s="29" t="str">
        <x:v>https://www.hathitrust.org/</x:v>
      </x:c>
      <x:c r="N88" s="29" t="str"/>
      <x:c r="O88" s="29" t="str">
        <x:v>无RSS/API入口</x:v>
      </x:c>
      <x:c r="P88" s="72" t="n">
        <x:v>5</x:v>
      </x:c>
      <x:c r="Q88" s="72" t="n">
        <x:v>5</x:v>
      </x:c>
      <x:c r="R88" s="72" t="n">
        <x:v>5</x:v>
      </x:c>
      <x:c r="S88" s="72" t="n">
        <x:v>4</x:v>
      </x:c>
      <x:c r="T88" s="72" t="n">
        <x:v>5</x:v>
      </x:c>
      <x:c r="U88" s="72" t="n">
        <x:v>4</x:v>
      </x:c>
      <x:c r="V88" s="72" t="n">
        <x:v>3</x:v>
      </x:c>
      <x:c r="W88" s="29" t="str">
        <x:v>词频史、旧刊与原典</x:v>
      </x:c>
      <x:c r="X88" s="29" t="str">
        <x:v>大规模图书与期刊扫描，适合全文检索历史语料。</x:v>
      </x:c>
      <x:c r="Y88" s="29" t="str">
        <x:v>全文访问受地域与版权限制；引用具体卷期和页码。</x:v>
      </x:c>
      <x:c r="Z88" s="75" t="b">
        <x:v>0</x:v>
      </x:c>
      <x:c r="AA88" s="29"/>
      <x:c r="AB88" s="29" t="str">
        <x:v>扩展调研：数据库、资料库与平台</x:v>
      </x:c>
      <x:c r="AC88" s="29" t="str">
        <x:v>https://www.hathitrust.org/</x:v>
      </x:c>
      <x:c r="AD88" s="29" t="str">
        <x:v>2026-08-17</x:v>
      </x:c>
      <x:c r="AE88" s="29"/>
      <x:c r="AF88" s="29" t="str"/>
      <x:c r="AG88" s="29" t="str"/>
    </x:row>
    <x:row r="89" ht="44" customHeight="1">
      <x:c r="A89" s="29" t="str">
        <x:v>SRC-085</x:v>
      </x:c>
      <x:c r="B89" s="29" t="str">
        <x:f>IF(C89&gt;=93,"S",IF(C89&gt;=90,"A",IF(C89&gt;=80,"B","C")))</x:f>
        <x:v>S</x:v>
      </x:c>
      <x:c r="C89" s="72" t="n">
        <x:f>ROUND((P89*0.20+Q89*0.18+R89*0.20+S89*0.15+T89*0.12+U89*0.10+V89*0.05)*20,0)</x:f>
        <x:v>93</x:v>
      </x:c>
      <x:c r="D89" s="29" t="str">
        <x:v>历史与考古</x:v>
      </x:c>
      <x:c r="E89" s="29" t="str">
        <x:v>古典文本与工具</x:v>
      </x:c>
      <x:c r="F89" s="29" t="str">
        <x:v>Perseus Digital Library</x:v>
      </x:c>
      <x:c r="G89" s="29" t="str"/>
      <x:c r="H89" s="29" t="str">
        <x:v>古典文献库</x:v>
      </x:c>
      <x:c r="I89" s="29" t="str">
        <x:v>en</x:v>
      </x:c>
      <x:c r="J89" s="29" t="str">
        <x:v>证据源</x:v>
      </x:c>
      <x:c r="K89" s="29" t="str">
        <x:v>Open</x:v>
      </x:c>
      <x:c r="L89" s="29" t="str">
        <x:v>阶段更新</x:v>
      </x:c>
      <x:c r="M89" s="29" t="str">
        <x:v>https://www.perseus.tufts.edu/</x:v>
      </x:c>
      <x:c r="N89" s="29" t="str"/>
      <x:c r="O89" s="29" t="str">
        <x:v>无RSS/API入口</x:v>
      </x:c>
      <x:c r="P89" s="72" t="n">
        <x:v>5</x:v>
      </x:c>
      <x:c r="Q89" s="72" t="n">
        <x:v>5</x:v>
      </x:c>
      <x:c r="R89" s="72" t="n">
        <x:v>5</x:v>
      </x:c>
      <x:c r="S89" s="72" t="n">
        <x:v>4</x:v>
      </x:c>
      <x:c r="T89" s="72" t="n">
        <x:v>4</x:v>
      </x:c>
      <x:c r="U89" s="72" t="n">
        <x:v>4</x:v>
      </x:c>
      <x:c r="V89" s="72" t="n">
        <x:v>5</x:v>
      </x:c>
      <x:c r="W89" s="29" t="str">
        <x:v>古典文本引用、概念词源</x:v>
      </x:c>
      <x:c r="X89" s="29" t="str">
        <x:v>希腊罗马原典、译文、词典与形态分析的一站入口。</x:v>
      </x:c>
      <x:c r="Y89" s="29" t="str">
        <x:v>使用前核对数据口径、更新时间、许可与引用格式。</x:v>
      </x:c>
      <x:c r="Z89" s="75" t="b">
        <x:v>0</x:v>
      </x:c>
      <x:c r="AA89" s="29"/>
      <x:c r="AB89" s="29" t="str">
        <x:v>扩展调研：数据库、资料库与平台</x:v>
      </x:c>
      <x:c r="AC89" s="29" t="str">
        <x:v>https://www.perseus.tufts.edu/</x:v>
      </x:c>
      <x:c r="AD89" s="29" t="str">
        <x:v>2026-08-17</x:v>
      </x:c>
      <x:c r="AE89" s="29"/>
      <x:c r="AF89" s="29" t="str"/>
      <x:c r="AG89" s="29" t="str"/>
    </x:row>
    <x:row r="90" ht="44" customHeight="1">
      <x:c r="A90" s="29" t="str">
        <x:v>SRC-086</x:v>
      </x:c>
      <x:c r="B90" s="29" t="str">
        <x:f>IF(C90&gt;=93,"S",IF(C90&gt;=90,"A",IF(C90&gt;=80,"B","C")))</x:f>
        <x:v>S</x:v>
      </x:c>
      <x:c r="C90" s="72" t="n">
        <x:f>ROUND((P90*0.20+Q90*0.18+R90*0.20+S90*0.15+T90*0.12+U90*0.10+V90*0.05)*20,0)</x:f>
        <x:v>93</x:v>
      </x:c>
      <x:c r="D90" s="29" t="str">
        <x:v>历史与考古</x:v>
      </x:c>
      <x:c r="E90" s="29" t="str">
        <x:v>公共领域电子书</x:v>
      </x:c>
      <x:c r="F90" s="29" t="str">
        <x:v>Project Gutenberg</x:v>
      </x:c>
      <x:c r="G90" s="29" t="str"/>
      <x:c r="H90" s="29" t="str">
        <x:v>开放电子书库</x:v>
      </x:c>
      <x:c r="I90" s="29" t="str">
        <x:v>multilingual</x:v>
      </x:c>
      <x:c r="J90" s="29" t="str">
        <x:v>证据源</x:v>
      </x:c>
      <x:c r="K90" s="29" t="str">
        <x:v>Open</x:v>
      </x:c>
      <x:c r="L90" s="29" t="str">
        <x:v>持续更新</x:v>
      </x:c>
      <x:c r="M90" s="29" t="str">
        <x:v>https://www.gutenberg.org/</x:v>
      </x:c>
      <x:c r="N90" s="29" t="str">
        <x:v>https://www.gutenberg.org/ebooks/search/?sort_order=release_date</x:v>
      </x:c>
      <x:c r="O90" s="29" t="str">
        <x:v>平台入口</x:v>
      </x:c>
      <x:c r="P90" s="72" t="n">
        <x:v>5</x:v>
      </x:c>
      <x:c r="Q90" s="72" t="n">
        <x:v>5</x:v>
      </x:c>
      <x:c r="R90" s="72" t="n">
        <x:v>5</x:v>
      </x:c>
      <x:c r="S90" s="72" t="n">
        <x:v>4</x:v>
      </x:c>
      <x:c r="T90" s="72" t="n">
        <x:v>4</x:v>
      </x:c>
      <x:c r="U90" s="72" t="n">
        <x:v>4</x:v>
      </x:c>
      <x:c r="V90" s="72" t="n">
        <x:v>5</x:v>
      </x:c>
      <x:c r="W90" s="29" t="str">
        <x:v>原典摘引、文学与思想史</x:v>
      </x:c>
      <x:c r="X90" s="29" t="str">
        <x:v>稳定获取经典原典和多种格式文本。</x:v>
      </x:c>
      <x:c r="Y90" s="29" t="str">
        <x:v>公共领域判定因司法辖区而异；保留作品、译者、版本信息。；未按 RSS/Atom 校验。</x:v>
      </x:c>
      <x:c r="Z90" s="75" t="b">
        <x:v>0</x:v>
      </x:c>
      <x:c r="AA90" s="29"/>
      <x:c r="AB90" s="29" t="str">
        <x:v>扩展调研：数据库、资料库与平台</x:v>
      </x:c>
      <x:c r="AC90" s="29" t="str">
        <x:v>https://www.gutenberg.org/</x:v>
      </x:c>
      <x:c r="AD90" s="29" t="str">
        <x:v>2026-08-17</x:v>
      </x:c>
      <x:c r="AE90" s="29"/>
      <x:c r="AF90" s="29" t="str">
        <x:v>https://www.gutenberg.org/ebooks/search/?sort_order=release_date</x:v>
      </x:c>
      <x:c r="AG90" s="29" t="str"/>
    </x:row>
    <x:row r="91" ht="44" customHeight="1">
      <x:c r="A91" s="29" t="str">
        <x:v>SRC-087</x:v>
      </x:c>
      <x:c r="B91" s="29" t="str">
        <x:f>IF(C91&gt;=93,"S",IF(C91&gt;=90,"A",IF(C91&gt;=80,"B","C")))</x:f>
        <x:v>S</x:v>
      </x:c>
      <x:c r="C91" s="72" t="n">
        <x:f>ROUND((P91*0.20+Q91*0.18+R91*0.20+S91*0.15+T91*0.12+U91*0.10+V91*0.05)*20,0)</x:f>
        <x:v>93</x:v>
      </x:c>
      <x:c r="D91" s="29" t="str">
        <x:v>历史与考古</x:v>
      </x:c>
      <x:c r="E91" s="29" t="str">
        <x:v>汉籍全文</x:v>
      </x:c>
      <x:c r="F91" s="29" t="str">
        <x:v>Scripta Sinica</x:v>
      </x:c>
      <x:c r="G91" s="29" t="str"/>
      <x:c r="H91" s="29" t="str">
        <x:v>历史语料数据库</x:v>
      </x:c>
      <x:c r="I91" s="29" t="str">
        <x:v>zh-TW</x:v>
      </x:c>
      <x:c r="J91" s="29" t="str">
        <x:v>证据源</x:v>
      </x:c>
      <x:c r="K91" s="29" t="str">
        <x:v>Varies</x:v>
      </x:c>
      <x:c r="L91" s="29" t="str">
        <x:v>阶段更新</x:v>
      </x:c>
      <x:c r="M91" s="29" t="str">
        <x:v>https://hanchi.ihp.sinica.edu.tw/</x:v>
      </x:c>
      <x:c r="N91" s="29" t="str"/>
      <x:c r="O91" s="29" t="str">
        <x:v>无RSS/API入口</x:v>
      </x:c>
      <x:c r="P91" s="72" t="n">
        <x:v>5</x:v>
      </x:c>
      <x:c r="Q91" s="72" t="n">
        <x:v>5</x:v>
      </x:c>
      <x:c r="R91" s="72" t="n">
        <x:v>5</x:v>
      </x:c>
      <x:c r="S91" s="72" t="n">
        <x:v>4</x:v>
      </x:c>
      <x:c r="T91" s="72" t="n">
        <x:v>5</x:v>
      </x:c>
      <x:c r="U91" s="72" t="n">
        <x:v>4</x:v>
      </x:c>
      <x:c r="V91" s="72" t="n">
        <x:v>3</x:v>
      </x:c>
      <x:c r="W91" s="29" t="str">
        <x:v>中国史原典、人物与事件检索</x:v>
      </x:c>
      <x:c r="X91" s="29" t="str">
        <x:v>中央研究院史语所的汉籍全文资料入口。</x:v>
      </x:c>
      <x:c r="Y91" s="29" t="str">
        <x:v>部分资源受机构权限限制；引用具体版本与卷页。</x:v>
      </x:c>
      <x:c r="Z91" s="75" t="b">
        <x:v>0</x:v>
      </x:c>
      <x:c r="AA91" s="29"/>
      <x:c r="AB91" s="29" t="str">
        <x:v>扩展调研：数据库、资料库与平台</x:v>
      </x:c>
      <x:c r="AC91" s="29" t="str">
        <x:v>https://hanchi.ihp.sinica.edu.tw/</x:v>
      </x:c>
      <x:c r="AD91" s="29" t="str">
        <x:v>2026-08-17</x:v>
      </x:c>
      <x:c r="AE91" s="29"/>
      <x:c r="AF91" s="29" t="str"/>
      <x:c r="AG91" s="29" t="str"/>
    </x:row>
    <x:row r="92" ht="44" customHeight="1">
      <x:c r="A92" s="29" t="str">
        <x:v>SRC-088</x:v>
      </x:c>
      <x:c r="B92" s="29" t="str">
        <x:f>IF(C92&gt;=93,"S",IF(C92&gt;=90,"A",IF(C92&gt;=80,"B","C")))</x:f>
        <x:v>S</x:v>
      </x:c>
      <x:c r="C92" s="72" t="n">
        <x:f>ROUND((P92*0.20+Q92*0.18+R92*0.20+S92*0.15+T92*0.12+U92*0.10+V92*0.05)*20,0)</x:f>
        <x:v>93</x:v>
      </x:c>
      <x:c r="D92" s="29" t="str">
        <x:v>哲学与思想</x:v>
      </x:c>
      <x:c r="E92" s="29" t="str">
        <x:v>哲学百科与概念谱系</x:v>
      </x:c>
      <x:c r="F92" s="29" t="str">
        <x:v>Stanford Encyclopedia of Philosophy</x:v>
      </x:c>
      <x:c r="G92" s="29" t="str"/>
      <x:c r="H92" s="29" t="str">
        <x:v>专家百科条目与修订通知</x:v>
      </x:c>
      <x:c r="I92" s="29" t="str">
        <x:v>en</x:v>
      </x:c>
      <x:c r="J92" s="29" t="str">
        <x:v>证据源</x:v>
      </x:c>
      <x:c r="K92" s="29" t="str">
        <x:v>Open</x:v>
      </x:c>
      <x:c r="L92" s="29" t="str">
        <x:v>持续修订，近每日有变更</x:v>
      </x:c>
      <x:c r="M92" s="29" t="str">
        <x:v>https://plato.stanford.edu/</x:v>
      </x:c>
      <x:c r="N92" s="29" t="str">
        <x:v>https://plato.stanford.edu/rss/sep.xml</x:v>
      </x:c>
      <x:c r="O92" s="29" t="str">
        <x:v>有效</x:v>
      </x:c>
      <x:c r="P92" s="72" t="n">
        <x:v>5</x:v>
      </x:c>
      <x:c r="Q92" s="72" t="n">
        <x:v>5</x:v>
      </x:c>
      <x:c r="R92" s="72" t="n">
        <x:v>5</x:v>
      </x:c>
      <x:c r="S92" s="72" t="n">
        <x:v>4</x:v>
      </x:c>
      <x:c r="T92" s="72" t="n">
        <x:v>4</x:v>
      </x:c>
      <x:c r="U92" s="72" t="n">
        <x:v>4</x:v>
      </x:c>
      <x:c r="V92" s="72" t="n">
        <x:v>5</x:v>
      </x:c>
      <x:c r="W92" s="29" t="str">
        <x:v>一个概念的准确解释、学派对比和思想谱系。</x:v>
      </x:c>
      <x:c r="X92" s="29" t="str">
        <x:v>条目由领域专家撰写和编辑，是哲学概念定义、思想谱系和参考文献的权威入口。</x:v>
      </x:c>
      <x:c r="Y92" s="29" t="str">
        <x:v>2026-08-17：SEP What's New 官方页明确列出该 RSS URL。</x:v>
      </x:c>
      <x:c r="Z92" s="75" t="b">
        <x:v>0</x:v>
      </x:c>
      <x:c r="AA92" s="29"/>
      <x:c r="AB92" s="29" t="str">
        <x:v>扩展调研：人文、历史、哲学与设计</x:v>
      </x:c>
      <x:c r="AC92" s="29" t="str">
        <x:v>https://plato.stanford.edu/new.html</x:v>
      </x:c>
      <x:c r="AD92" s="29" t="str">
        <x:v>2026-08-17</x:v>
      </x:c>
      <x:c r="AE92" s="29" t="n">
        <x:v>200</x:v>
      </x:c>
      <x:c r="AF92" s="29" t="str">
        <x:v>https://plato.stanford.edu/rss/sep.xml</x:v>
      </x:c>
      <x:c r="AG92" s="29" t="str"/>
    </x:row>
    <x:row r="93" ht="44" customHeight="1">
      <x:c r="A93" s="29" t="str">
        <x:v>SRC-089</x:v>
      </x:c>
      <x:c r="B93" s="29" t="str">
        <x:f>IF(C93&gt;=93,"S",IF(C93&gt;=90,"A",IF(C93&gt;=80,"B","C")))</x:f>
        <x:v>S</x:v>
      </x:c>
      <x:c r="C93" s="72" t="n">
        <x:f>ROUND((P93*0.20+Q93*0.18+R93*0.20+S93*0.15+T93*0.12+U93*0.10+V93*0.05)*20,0)</x:f>
        <x:v>93</x:v>
      </x:c>
      <x:c r="D93" s="29" t="str">
        <x:v>商业、管理与创新</x:v>
      </x:c>
      <x:c r="E93" s="29" t="str">
        <x:v>经济、金融与决策</x:v>
      </x:c>
      <x:c r="F93" s="29" t="str">
        <x:v>Chicago Booth Review</x:v>
      </x:c>
      <x:c r="G93" s="29" t="str"/>
      <x:c r="H93" s="29" t="str">
        <x:v>经济学、金融、商业、公共政策与行为研究解读</x:v>
      </x:c>
      <x:c r="I93" s="29" t="str">
        <x:v>en</x:v>
      </x:c>
      <x:c r="J93" s="29" t="str">
        <x:v>证据源</x:v>
      </x:c>
      <x:c r="K93" s="29" t="str">
        <x:v>Open</x:v>
      </x:c>
      <x:c r="L93" s="29" t="str">
        <x:v>每周约2至5篇</x:v>
      </x:c>
      <x:c r="M93" s="29" t="str">
        <x:v>https://www.chicagobooth.edu/review</x:v>
      </x:c>
      <x:c r="N93" s="29" t="str"/>
      <x:c r="O93" s="29" t="str">
        <x:v>无RSS/API入口</x:v>
      </x:c>
      <x:c r="P93" s="72" t="n">
        <x:v>5</x:v>
      </x:c>
      <x:c r="Q93" s="72" t="n">
        <x:v>5</x:v>
      </x:c>
      <x:c r="R93" s="72" t="n">
        <x:v>5</x:v>
      </x:c>
      <x:c r="S93" s="72" t="n">
        <x:v>4</x:v>
      </x:c>
      <x:c r="T93" s="72" t="n">
        <x:v>4</x:v>
      </x:c>
      <x:c r="U93" s="72" t="n">
        <x:v>4</x:v>
      </x:c>
      <x:c r="V93" s="72" t="n">
        <x:v>5</x:v>
      </x:c>
      <x:c r="W93" s="29" t="str">
        <x:v>用数据检验一个流行商业叙事，并展示替代解释。</x:v>
      </x:c>
      <x:c r="X93" s="29" t="str">
        <x:v>依托芝加哥布斯学派研究传统，适合寻找数据、因果推断和相互竞争的经济解释。</x:v>
      </x:c>
      <x:c r="Y93" s="29" t="str">
        <x:v>2026-08-17：官网返回200；常见RSS猜测地址均为404，按平台收录。</x:v>
      </x:c>
      <x:c r="Z93" s="75" t="b">
        <x:v>0</x:v>
      </x:c>
      <x:c r="AA93" s="29"/>
      <x:c r="AB93" s="29" t="str">
        <x:v>扩展调研：成长、学习、商业与管理</x:v>
      </x:c>
      <x:c r="AC93" s="29" t="str">
        <x:v>https://www.chicagobooth.edu/review</x:v>
      </x:c>
      <x:c r="AD93" s="29" t="str">
        <x:v>2026-08-17</x:v>
      </x:c>
      <x:c r="AE93" s="29"/>
      <x:c r="AF93" s="29" t="str"/>
      <x:c r="AG93" s="29" t="str"/>
    </x:row>
    <x:row r="94" ht="44" customHeight="1">
      <x:c r="A94" s="29" t="str">
        <x:v>SRC-090</x:v>
      </x:c>
      <x:c r="B94" s="29" t="str">
        <x:f>IF(C94&gt;=93,"S",IF(C94&gt;=90,"A",IF(C94&gt;=80,"B","C")))</x:f>
        <x:v>S</x:v>
      </x:c>
      <x:c r="C94" s="72" t="n">
        <x:f>ROUND((P94*0.20+Q94*0.18+R94*0.20+S94*0.15+T94*0.12+U94*0.10+V94*0.05)*20,0)</x:f>
        <x:v>93</x:v>
      </x:c>
      <x:c r="D94" s="29" t="str">
        <x:v>商业、管理与创新</x:v>
      </x:c>
      <x:c r="E94" s="29" t="str">
        <x:v>商业研究与市场</x:v>
      </x:c>
      <x:c r="F94" s="29" t="str">
        <x:v>Columbia Business School Insights</x:v>
      </x:c>
      <x:c r="G94" s="29" t="str"/>
      <x:c r="H94" s="29" t="str">
        <x:v>商学院研究、金融、领导力、创业、气候与市场分析</x:v>
      </x:c>
      <x:c r="I94" s="29" t="str">
        <x:v>en</x:v>
      </x:c>
      <x:c r="J94" s="29" t="str">
        <x:v>证据源</x:v>
      </x:c>
      <x:c r="K94" s="29" t="str">
        <x:v>Open</x:v>
      </x:c>
      <x:c r="L94" s="29" t="str">
        <x:v>每周约2至5篇</x:v>
      </x:c>
      <x:c r="M94" s="29" t="str">
        <x:v>https://business.columbia.edu/insights</x:v>
      </x:c>
      <x:c r="N94" s="29" t="str"/>
      <x:c r="O94" s="29" t="str">
        <x:v>无RSS/API入口</x:v>
      </x:c>
      <x:c r="P94" s="72" t="n">
        <x:v>5</x:v>
      </x:c>
      <x:c r="Q94" s="72" t="n">
        <x:v>5</x:v>
      </x:c>
      <x:c r="R94" s="72" t="n">
        <x:v>5</x:v>
      </x:c>
      <x:c r="S94" s="72" t="n">
        <x:v>4</x:v>
      </x:c>
      <x:c r="T94" s="72" t="n">
        <x:v>4</x:v>
      </x:c>
      <x:c r="U94" s="72" t="n">
        <x:v>4</x:v>
      </x:c>
      <x:c r="V94" s="72" t="n">
        <x:v>5</x:v>
      </x:c>
      <x:c r="W94" s="29" t="str">
        <x:v>引用研究或教授观点，补充企业和市场层面的现实例子。</x:v>
      </x:c>
      <x:c r="X94" s="29" t="str">
        <x:v>连接哥伦比亚商学院教师研究与纽约商业生态，金融和组织议题具有一手性。</x:v>
      </x:c>
      <x:c r="Y94" s="29" t="str">
        <x:v>2026-08-17：自动化访问受403挑战；未发现可稳定验证的官方RSS，按平台收录。</x:v>
      </x:c>
      <x:c r="Z94" s="75" t="b">
        <x:v>0</x:v>
      </x:c>
      <x:c r="AA94" s="29"/>
      <x:c r="AB94" s="29" t="str">
        <x:v>扩展调研：成长、学习、商业与管理</x:v>
      </x:c>
      <x:c r="AC94" s="29" t="str">
        <x:v>https://business.columbia.edu/insights</x:v>
      </x:c>
      <x:c r="AD94" s="29" t="str">
        <x:v>2026-08-17</x:v>
      </x:c>
      <x:c r="AE94" s="29"/>
      <x:c r="AF94" s="29" t="str"/>
      <x:c r="AG94" s="29" t="str"/>
    </x:row>
    <x:row r="95" ht="44" customHeight="1">
      <x:c r="A95" s="29" t="str">
        <x:v>SRC-091</x:v>
      </x:c>
      <x:c r="B95" s="29" t="str">
        <x:f>IF(C95&gt;=93,"S",IF(C95&gt;=90,"A",IF(C95&gt;=80,"B","C")))</x:f>
        <x:v>S</x:v>
      </x:c>
      <x:c r="C95" s="72" t="n">
        <x:f>ROUND((P95*0.20+Q95*0.18+R95*0.20+S95*0.15+T95*0.12+U95*0.10+V95*0.05)*20,0)</x:f>
        <x:v>93</x:v>
      </x:c>
      <x:c r="D95" s="29" t="str">
        <x:v>商业、管理与创新</x:v>
      </x:c>
      <x:c r="E95" s="29" t="str">
        <x:v>管理研究与案例</x:v>
      </x:c>
      <x:c r="F95" s="29" t="str">
        <x:v>HBS Working Knowledge</x:v>
      </x:c>
      <x:c r="G95" s="29" t="str"/>
      <x:c r="H95" s="29" t="str">
        <x:v>哈佛商学院教师研究、工作论文、案例讨论与管理问答</x:v>
      </x:c>
      <x:c r="I95" s="29" t="str">
        <x:v>en</x:v>
      </x:c>
      <x:c r="J95" s="29" t="str">
        <x:v>证据源</x:v>
      </x:c>
      <x:c r="K95" s="29" t="str">
        <x:v>Open</x:v>
      </x:c>
      <x:c r="L95" s="29" t="str">
        <x:v>每周约1至3篇</x:v>
      </x:c>
      <x:c r="M95" s="29" t="str">
        <x:v>https://www.library.hbs.edu/working-knowledge</x:v>
      </x:c>
      <x:c r="N95" s="29" t="str"/>
      <x:c r="O95" s="29" t="str">
        <x:v>无RSS/API入口</x:v>
      </x:c>
      <x:c r="P95" s="72" t="n">
        <x:v>5</x:v>
      </x:c>
      <x:c r="Q95" s="72" t="n">
        <x:v>5</x:v>
      </x:c>
      <x:c r="R95" s="72" t="n">
        <x:v>5</x:v>
      </x:c>
      <x:c r="S95" s="72" t="n">
        <x:v>4</x:v>
      </x:c>
      <x:c r="T95" s="72" t="n">
        <x:v>4</x:v>
      </x:c>
      <x:c r="U95" s="72" t="n">
        <x:v>4</x:v>
      </x:c>
      <x:c r="V95" s="72" t="n">
        <x:v>5</x:v>
      </x:c>
      <x:c r="W95" s="29" t="str">
        <x:v>从研究摘要进入论文，再提炼问题、方法、发现和管理含义。</x:v>
      </x:c>
      <x:c r="X95" s="29" t="str">
        <x:v>常直接链接论文或案例背景，是寻找管理研究原始出处的高价值入口。</x:v>
      </x:c>
      <x:c r="Y95" s="29" t="str">
        <x:v>2026-08-17：官网返回200；测试的常见RSS路径均为404，按平台收录。</x:v>
      </x:c>
      <x:c r="Z95" s="75" t="b">
        <x:v>0</x:v>
      </x:c>
      <x:c r="AA95" s="29"/>
      <x:c r="AB95" s="29" t="str">
        <x:v>扩展调研：成长、学习、商业与管理</x:v>
      </x:c>
      <x:c r="AC95" s="29" t="str">
        <x:v>https://www.library.hbs.edu/working-knowledge</x:v>
      </x:c>
      <x:c r="AD95" s="29" t="str">
        <x:v>2026-08-17</x:v>
      </x:c>
      <x:c r="AE95" s="29"/>
      <x:c r="AF95" s="29" t="str"/>
      <x:c r="AG95" s="29" t="str"/>
    </x:row>
    <x:row r="96" ht="44" customHeight="1">
      <x:c r="A96" s="29" t="str">
        <x:v>SRC-092</x:v>
      </x:c>
      <x:c r="B96" s="29" t="str">
        <x:f>IF(C96&gt;=93,"S",IF(C96&gt;=90,"A",IF(C96&gt;=80,"B","C")))</x:f>
        <x:v>S</x:v>
      </x:c>
      <x:c r="C96" s="72" t="n">
        <x:f>ROUND((P96*0.20+Q96*0.18+R96*0.20+S96*0.15+T96*0.12+U96*0.10+V96*0.05)*20,0)</x:f>
        <x:v>93</x:v>
      </x:c>
      <x:c r="D96" s="29" t="str">
        <x:v>商业、管理与创新</x:v>
      </x:c>
      <x:c r="E96" s="29" t="str">
        <x:v>全球管理与组织</x:v>
      </x:c>
      <x:c r="F96" s="29" t="str">
        <x:v>INSEAD Knowledge</x:v>
      </x:c>
      <x:c r="G96" s="29" t="str"/>
      <x:c r="H96" s="29" t="str">
        <x:v>战略、领导力、组织行为、创业、可持续与全球商业</x:v>
      </x:c>
      <x:c r="I96" s="29" t="str">
        <x:v>en</x:v>
      </x:c>
      <x:c r="J96" s="29" t="str">
        <x:v>证据源</x:v>
      </x:c>
      <x:c r="K96" s="29" t="str">
        <x:v>Open</x:v>
      </x:c>
      <x:c r="L96" s="29" t="str">
        <x:v>每周约3至5篇</x:v>
      </x:c>
      <x:c r="M96" s="29" t="str">
        <x:v>https://knowledge.insead.edu/</x:v>
      </x:c>
      <x:c r="N96" s="29" t="str"/>
      <x:c r="O96" s="29" t="str">
        <x:v>无RSS/API入口</x:v>
      </x:c>
      <x:c r="P96" s="72" t="n">
        <x:v>5</x:v>
      </x:c>
      <x:c r="Q96" s="72" t="n">
        <x:v>5</x:v>
      </x:c>
      <x:c r="R96" s="72" t="n">
        <x:v>5</x:v>
      </x:c>
      <x:c r="S96" s="72" t="n">
        <x:v>4</x:v>
      </x:c>
      <x:c r="T96" s="72" t="n">
        <x:v>4</x:v>
      </x:c>
      <x:c r="U96" s="72" t="n">
        <x:v>4</x:v>
      </x:c>
      <x:c r="V96" s="72" t="n">
        <x:v>5</x:v>
      </x:c>
      <x:c r="W96" s="29" t="str">
        <x:v>比较不同市场或文化中的管理机制，避免只用美国样本。</x:v>
      </x:c>
      <x:c r="X96" s="29" t="str">
        <x:v>具有强全球视角，常把商学院研究转化为跨文化和跨市场管理启示。</x:v>
      </x:c>
      <x:c r="Y96" s="29" t="str">
        <x:v>2026-08-17：官网自动化访问受403挑战；未录入同样受限的RSS端点，按平台收录。</x:v>
      </x:c>
      <x:c r="Z96" s="75" t="b">
        <x:v>0</x:v>
      </x:c>
      <x:c r="AA96" s="29"/>
      <x:c r="AB96" s="29" t="str">
        <x:v>扩展调研：成长、学习、商业与管理</x:v>
      </x:c>
      <x:c r="AC96" s="29" t="str">
        <x:v>https://knowledge.insead.edu/</x:v>
      </x:c>
      <x:c r="AD96" s="29" t="str">
        <x:v>2026-08-17</x:v>
      </x:c>
      <x:c r="AE96" s="29"/>
      <x:c r="AF96" s="29" t="str"/>
      <x:c r="AG96" s="29" t="str"/>
    </x:row>
    <x:row r="97" ht="44" customHeight="1">
      <x:c r="A97" s="29" t="str">
        <x:v>SRC-093</x:v>
      </x:c>
      <x:c r="B97" s="29" t="str">
        <x:f>IF(C97&gt;=93,"S",IF(C97&gt;=90,"A",IF(C97&gt;=80,"B","C")))</x:f>
        <x:v>S</x:v>
      </x:c>
      <x:c r="C97" s="72" t="n">
        <x:f>ROUND((P97*0.20+Q97*0.18+R97*0.20+S97*0.15+T97*0.12+U97*0.10+V97*0.05)*20,0)</x:f>
        <x:v>93</x:v>
      </x:c>
      <x:c r="D97" s="29" t="str">
        <x:v>商业、管理与创新</x:v>
      </x:c>
      <x:c r="E97" s="29" t="str">
        <x:v>市场、决策与组织研究</x:v>
      </x:c>
      <x:c r="F97" s="29" t="str">
        <x:v>Kellogg Insight</x:v>
      </x:c>
      <x:c r="G97" s="29" t="str"/>
      <x:c r="H97" s="29" t="str">
        <x:v>商学院论文解读、市场营销、管理、领导力与行为研究</x:v>
      </x:c>
      <x:c r="I97" s="29" t="str">
        <x:v>en</x:v>
      </x:c>
      <x:c r="J97" s="29" t="str">
        <x:v>证据源</x:v>
      </x:c>
      <x:c r="K97" s="29" t="str">
        <x:v>Open</x:v>
      </x:c>
      <x:c r="L97" s="29" t="str">
        <x:v>每周约1至3篇</x:v>
      </x:c>
      <x:c r="M97" s="29" t="str">
        <x:v>https://insight.kellogg.northwestern.edu/</x:v>
      </x:c>
      <x:c r="N97" s="29" t="str">
        <x:v>https://insight.kellogg.northwestern.edu/feed/rss</x:v>
      </x:c>
      <x:c r="O97" s="29" t="str">
        <x:v>有效</x:v>
      </x:c>
      <x:c r="P97" s="72" t="n">
        <x:v>5</x:v>
      </x:c>
      <x:c r="Q97" s="72" t="n">
        <x:v>5</x:v>
      </x:c>
      <x:c r="R97" s="72" t="n">
        <x:v>5</x:v>
      </x:c>
      <x:c r="S97" s="72" t="n">
        <x:v>4</x:v>
      </x:c>
      <x:c r="T97" s="72" t="n">
        <x:v>4</x:v>
      </x:c>
      <x:c r="U97" s="72" t="n">
        <x:v>4</x:v>
      </x:c>
      <x:c r="V97" s="72" t="n">
        <x:v>5</x:v>
      </x:c>
      <x:c r="W97" s="29" t="str">
        <x:v>把实验设计和结果压缩成一张因果链，并提醒适用边界。</x:v>
      </x:c>
      <x:c r="X97" s="29" t="str">
        <x:v>文章通常清晰说明研究问题、方法和管理含义，适合做证据型帖文。</x:v>
      </x:c>
      <x:c r="Y97" s="29" t="str">
        <x:v>2026-08-17：主页显式发现官方RSS，端点返回200和有效XML。</x:v>
      </x:c>
      <x:c r="Z97" s="75" t="b">
        <x:v>0</x:v>
      </x:c>
      <x:c r="AA97" s="29"/>
      <x:c r="AB97" s="29" t="str">
        <x:v>扩展调研：成长、学习、商业与管理</x:v>
      </x:c>
      <x:c r="AC97" s="29" t="str">
        <x:v>https://insight.kellogg.northwestern.edu/feed/rss</x:v>
      </x:c>
      <x:c r="AD97" s="29" t="str">
        <x:v>2026-08-17</x:v>
      </x:c>
      <x:c r="AE97" s="29" t="n">
        <x:v>200</x:v>
      </x:c>
      <x:c r="AF97" s="29" t="str">
        <x:v>https://insight.kellogg.northwestern.edu/feed/rss</x:v>
      </x:c>
      <x:c r="AG97" s="29" t="str"/>
    </x:row>
    <x:row r="98" ht="44" customHeight="1">
      <x:c r="A98" s="29" t="str">
        <x:v>SRC-094</x:v>
      </x:c>
      <x:c r="B98" s="29" t="str">
        <x:f>IF(C98&gt;=93,"S",IF(C98&gt;=90,"A",IF(C98&gt;=80,"B","C")))</x:f>
        <x:v>S</x:v>
      </x:c>
      <x:c r="C98" s="72" t="n">
        <x:f>ROUND((P98*0.20+Q98*0.18+R98*0.20+S98*0.15+T98*0.12+U98*0.10+V98*0.05)*20,0)</x:f>
        <x:v>93</x:v>
      </x:c>
      <x:c r="D98" s="29" t="str">
        <x:v>商业、管理与创新</x:v>
      </x:c>
      <x:c r="E98" s="29" t="str">
        <x:v>商学院研究与商业分析</x:v>
      </x:c>
      <x:c r="F98" s="29" t="str">
        <x:v>Knowledge at Wharton</x:v>
      </x:c>
      <x:c r="G98" s="29" t="str"/>
      <x:c r="H98" s="29" t="str">
        <x:v>研究解读、教授访谈、商业趋势、政策与管理实践</x:v>
      </x:c>
      <x:c r="I98" s="29" t="str">
        <x:v>en</x:v>
      </x:c>
      <x:c r="J98" s="29" t="str">
        <x:v>证据源</x:v>
      </x:c>
      <x:c r="K98" s="29" t="str">
        <x:v>Open</x:v>
      </x:c>
      <x:c r="L98" s="29" t="str">
        <x:v>每周约2至5篇</x:v>
      </x:c>
      <x:c r="M98" s="29" t="str">
        <x:v>https://knowledge.wharton.upenn.edu/</x:v>
      </x:c>
      <x:c r="N98" s="29" t="str">
        <x:v>https://knowledge.wharton.upenn.edu/feed/</x:v>
      </x:c>
      <x:c r="O98" s="29" t="str">
        <x:v>有效</x:v>
      </x:c>
      <x:c r="P98" s="72" t="n">
        <x:v>5</x:v>
      </x:c>
      <x:c r="Q98" s="72" t="n">
        <x:v>5</x:v>
      </x:c>
      <x:c r="R98" s="72" t="n">
        <x:v>5</x:v>
      </x:c>
      <x:c r="S98" s="72" t="n">
        <x:v>4</x:v>
      </x:c>
      <x:c r="T98" s="72" t="n">
        <x:v>4</x:v>
      </x:c>
      <x:c r="U98" s="72" t="n">
        <x:v>4</x:v>
      </x:c>
      <x:c r="V98" s="72" t="n">
        <x:v>5</x:v>
      </x:c>
      <x:c r="W98" s="29" t="str">
        <x:v>教授观点加数据加对管理者或消费者的影响。</x:v>
      </x:c>
      <x:c r="X98" s="29" t="str">
        <x:v>沃顿商学院的公共知识平台，能快速找到研究者、论文和现实商业问题之间的连接。</x:v>
      </x:c>
      <x:c r="Y98" s="29" t="str">
        <x:v>2026-08-17：主页显式发现官方Feed，RSS返回200和有效XML。</x:v>
      </x:c>
      <x:c r="Z98" s="75" t="b">
        <x:v>0</x:v>
      </x:c>
      <x:c r="AA98" s="29"/>
      <x:c r="AB98" s="29" t="str">
        <x:v>扩展调研：成长、学习、商业与管理</x:v>
      </x:c>
      <x:c r="AC98" s="29" t="str">
        <x:v>https://knowledge.wharton.upenn.edu/feed/</x:v>
      </x:c>
      <x:c r="AD98" s="29" t="str">
        <x:v>2026-08-17</x:v>
      </x:c>
      <x:c r="AE98" s="29" t="n">
        <x:v>200</x:v>
      </x:c>
      <x:c r="AF98" s="29" t="str">
        <x:v>https://knowledge.wharton.upenn.edu/feed/</x:v>
      </x:c>
      <x:c r="AG98" s="29" t="str"/>
    </x:row>
    <x:row r="99" ht="44" customHeight="1">
      <x:c r="A99" s="29" t="str">
        <x:v>SRC-095</x:v>
      </x:c>
      <x:c r="B99" s="29" t="str">
        <x:f>IF(C99&gt;=93,"S",IF(C99&gt;=90,"A",IF(C99&gt;=80,"B","C")))</x:f>
        <x:v>S</x:v>
      </x:c>
      <x:c r="C99" s="72" t="n">
        <x:f>ROUND((P99*0.20+Q99*0.18+R99*0.20+S99*0.15+T99*0.12+U99*0.10+V99*0.05)*20,0)</x:f>
        <x:v>93</x:v>
      </x:c>
      <x:c r="D99" s="29" t="str">
        <x:v>商业、管理与创新</x:v>
      </x:c>
      <x:c r="E99" s="29" t="str">
        <x:v>商学院研究与领导力</x:v>
      </x:c>
      <x:c r="F99" s="29" t="str">
        <x:v>Stanford GSB Insights</x:v>
      </x:c>
      <x:c r="G99" s="29" t="str"/>
      <x:c r="H99" s="29" t="str">
        <x:v>斯坦福商学院研究解读、案例、访谈、播客与课堂要点</x:v>
      </x:c>
      <x:c r="I99" s="29" t="str">
        <x:v>en</x:v>
      </x:c>
      <x:c r="J99" s="29" t="str">
        <x:v>证据源</x:v>
      </x:c>
      <x:c r="K99" s="29" t="str">
        <x:v>Open</x:v>
      </x:c>
      <x:c r="L99" s="29" t="str">
        <x:v>每周约2至5篇</x:v>
      </x:c>
      <x:c r="M99" s="29" t="str">
        <x:v>https://www.gsb.stanford.edu/insights</x:v>
      </x:c>
      <x:c r="N99" s="29" t="str"/>
      <x:c r="O99" s="29" t="str">
        <x:v>无RSS/API入口</x:v>
      </x:c>
      <x:c r="P99" s="72" t="n">
        <x:v>5</x:v>
      </x:c>
      <x:c r="Q99" s="72" t="n">
        <x:v>5</x:v>
      </x:c>
      <x:c r="R99" s="72" t="n">
        <x:v>5</x:v>
      </x:c>
      <x:c r="S99" s="72" t="n">
        <x:v>4</x:v>
      </x:c>
      <x:c r="T99" s="72" t="n">
        <x:v>4</x:v>
      </x:c>
      <x:c r="U99" s="72" t="n">
        <x:v>4</x:v>
      </x:c>
      <x:c r="V99" s="72" t="n">
        <x:v>5</x:v>
      </x:c>
      <x:c r="W99" s="29" t="str">
        <x:v>引用教授研究，用一个现实决策场景解释其意义。</x:v>
      </x:c>
      <x:c r="X99" s="29" t="str">
        <x:v>直接连接商学院教师研究与企业实践，创业、领导力、谈判和组织议题丰富。</x:v>
      </x:c>
      <x:c r="Y99" s="29" t="str">
        <x:v>2026-08-17：官网返回200；未发现稳定官方统一RSS，按平台收录。</x:v>
      </x:c>
      <x:c r="Z99" s="75" t="b">
        <x:v>0</x:v>
      </x:c>
      <x:c r="AA99" s="29"/>
      <x:c r="AB99" s="29" t="str">
        <x:v>扩展调研：成长、学习、商业与管理</x:v>
      </x:c>
      <x:c r="AC99" s="29" t="str">
        <x:v>https://www.gsb.stanford.edu/insights</x:v>
      </x:c>
      <x:c r="AD99" s="29" t="str">
        <x:v>2026-08-17</x:v>
      </x:c>
      <x:c r="AE99" s="29"/>
      <x:c r="AF99" s="29" t="str"/>
      <x:c r="AG99" s="29" t="str"/>
    </x:row>
    <x:row r="100" ht="44" customHeight="1">
      <x:c r="A100" s="29" t="str">
        <x:v>SRC-096</x:v>
      </x:c>
      <x:c r="B100" s="29" t="str">
        <x:f>IF(C100&gt;=93,"S",IF(C100&gt;=90,"A",IF(C100&gt;=80,"B","C")))</x:f>
        <x:v>S</x:v>
      </x:c>
      <x:c r="C100" s="72" t="n">
        <x:f>ROUND((P100*0.20+Q100*0.18+R100*0.20+S100*0.15+T100*0.12+U100*0.10+V100*0.05)*20,0)</x:f>
        <x:v>93</x:v>
      </x:c>
      <x:c r="D100" s="29" t="str">
        <x:v>商业、管理与创新</x:v>
      </x:c>
      <x:c r="E100" s="29" t="str">
        <x:v>商业与社会</x:v>
      </x:c>
      <x:c r="F100" s="29" t="str">
        <x:v>Yale Insights</x:v>
      </x:c>
      <x:c r="G100" s="29" t="str"/>
      <x:c r="H100" s="29" t="str">
        <x:v>耶鲁管理学院研究、政策、领导力、市场与社会影响</x:v>
      </x:c>
      <x:c r="I100" s="29" t="str">
        <x:v>en</x:v>
      </x:c>
      <x:c r="J100" s="29" t="str">
        <x:v>证据源</x:v>
      </x:c>
      <x:c r="K100" s="29" t="str">
        <x:v>Open</x:v>
      </x:c>
      <x:c r="L100" s="29" t="str">
        <x:v>每周约1至3篇</x:v>
      </x:c>
      <x:c r="M100" s="29" t="str">
        <x:v>https://insights.som.yale.edu/</x:v>
      </x:c>
      <x:c r="N100" s="29" t="str"/>
      <x:c r="O100" s="29" t="str">
        <x:v>无RSS/API入口</x:v>
      </x:c>
      <x:c r="P100" s="72" t="n">
        <x:v>5</x:v>
      </x:c>
      <x:c r="Q100" s="72" t="n">
        <x:v>5</x:v>
      </x:c>
      <x:c r="R100" s="72" t="n">
        <x:v>5</x:v>
      </x:c>
      <x:c r="S100" s="72" t="n">
        <x:v>4</x:v>
      </x:c>
      <x:c r="T100" s="72" t="n">
        <x:v>4</x:v>
      </x:c>
      <x:c r="U100" s="72" t="n">
        <x:v>4</x:v>
      </x:c>
      <x:c r="V100" s="72" t="n">
        <x:v>5</x:v>
      </x:c>
      <x:c r="W100" s="29" t="str">
        <x:v>用利益相关者视角拆解一个商业决策的外部影响。</x:v>
      </x:c>
      <x:c r="X100" s="29" t="str">
        <x:v>擅长把企业议题放进制度、政策和社会背景，适合避免狭窄的商业成功叙事。</x:v>
      </x:c>
      <x:c r="Y100" s="29" t="str">
        <x:v>2026-08-17：官网返回200；测试的常见RSS端点均为404，按平台收录。</x:v>
      </x:c>
      <x:c r="Z100" s="75" t="b">
        <x:v>0</x:v>
      </x:c>
      <x:c r="AA100" s="29"/>
      <x:c r="AB100" s="29" t="str">
        <x:v>扩展调研：成长、学习、商业与管理</x:v>
      </x:c>
      <x:c r="AC100" s="29" t="str">
        <x:v>https://insights.som.yale.edu/</x:v>
      </x:c>
      <x:c r="AD100" s="29" t="str">
        <x:v>2026-08-17</x:v>
      </x:c>
      <x:c r="AE100" s="29"/>
      <x:c r="AF100" s="29" t="str"/>
      <x:c r="AG100" s="29" t="str"/>
    </x:row>
    <x:row r="101" ht="44" customHeight="1">
      <x:c r="A101" s="29" t="str">
        <x:v>SRC-097</x:v>
      </x:c>
      <x:c r="B101" s="29" t="str">
        <x:f>IF(C101&gt;=93,"S",IF(C101&gt;=90,"A",IF(C101&gt;=80,"B","C")))</x:f>
        <x:v>S</x:v>
      </x:c>
      <x:c r="C101" s="72" t="n">
        <x:f>ROUND((P101*0.20+Q101*0.18+R101*0.20+S101*0.15+T101*0.12+U101*0.10+V101*0.05)*20,0)</x:f>
        <x:v>93</x:v>
      </x:c>
      <x:c r="D101" s="29" t="str">
        <x:v>地球、地理与城市</x:v>
      </x:c>
      <x:c r="E101" s="29" t="str">
        <x:v>全球地名与行政区</x:v>
      </x:c>
      <x:c r="F101" s="29" t="str">
        <x:v>GeoNames</x:v>
      </x:c>
      <x:c r="G101" s="29" t="str"/>
      <x:c r="H101" s="29" t="str">
        <x:v>地名数据库 / API</x:v>
      </x:c>
      <x:c r="I101" s="29" t="str">
        <x:v>multilingual</x:v>
      </x:c>
      <x:c r="J101" s="29" t="str">
        <x:v>证据源</x:v>
      </x:c>
      <x:c r="K101" s="29" t="str">
        <x:v>Freemium</x:v>
      </x:c>
      <x:c r="L101" s="29" t="str">
        <x:v>持续更新</x:v>
      </x:c>
      <x:c r="M101" s="29" t="str">
        <x:v>https://www.geonames.org/</x:v>
      </x:c>
      <x:c r="N101" s="29" t="str">
        <x:v>https://www.geonames.org/export/web-services.html</x:v>
      </x:c>
      <x:c r="O101" s="29" t="str">
        <x:v>API入口</x:v>
      </x:c>
      <x:c r="P101" s="72" t="n">
        <x:v>5</x:v>
      </x:c>
      <x:c r="Q101" s="72" t="n">
        <x:v>5</x:v>
      </x:c>
      <x:c r="R101" s="72" t="n">
        <x:v>5</x:v>
      </x:c>
      <x:c r="S101" s="72" t="n">
        <x:v>4</x:v>
      </x:c>
      <x:c r="T101" s="72" t="n">
        <x:v>5</x:v>
      </x:c>
      <x:c r="U101" s="72" t="n">
        <x:v>4</x:v>
      </x:c>
      <x:c r="V101" s="72" t="n">
        <x:v>3</x:v>
      </x:c>
      <x:c r="W101" s="29" t="str">
        <x:v>地名解释、地理实体对照</x:v>
      </x:c>
      <x:c r="X101" s="29" t="str">
        <x:v>适合地名标准化、坐标与行政层级补全。</x:v>
      </x:c>
      <x:c r="Y101" s="29" t="str">
        <x:v>使用前核对数据口径、更新时间、许可与引用格式。；未按 RSS/Atom 校验。</x:v>
      </x:c>
      <x:c r="Z101" s="75" t="b">
        <x:v>0</x:v>
      </x:c>
      <x:c r="AA101" s="29"/>
      <x:c r="AB101" s="29" t="str">
        <x:v>扩展调研：数据库、资料库与平台</x:v>
      </x:c>
      <x:c r="AC101" s="29" t="str">
        <x:v>https://www.geonames.org/</x:v>
      </x:c>
      <x:c r="AD101" s="29" t="str">
        <x:v>2026-08-17</x:v>
      </x:c>
      <x:c r="AE101" s="29"/>
      <x:c r="AF101" s="29" t="str">
        <x:v>https://www.geonames.org/export/web-services.html</x:v>
      </x:c>
      <x:c r="AG101" s="29" t="str"/>
    </x:row>
    <x:row r="102" ht="44" customHeight="1">
      <x:c r="A102" s="29" t="str">
        <x:v>SRC-098</x:v>
      </x:c>
      <x:c r="B102" s="29" t="str">
        <x:f>IF(C102&gt;=93,"S",IF(C102&gt;=90,"A",IF(C102&gt;=80,"B","C")))</x:f>
        <x:v>S</x:v>
      </x:c>
      <x:c r="C102" s="72" t="n">
        <x:f>ROUND((P102*0.20+Q102*0.18+R102*0.20+S102*0.15+T102*0.12+U102*0.10+V102*0.05)*20,0)</x:f>
        <x:v>93</x:v>
      </x:c>
      <x:c r="D102" s="29" t="str">
        <x:v>地球、地理与城市</x:v>
      </x:c>
      <x:c r="E102" s="29" t="str">
        <x:v>海洋天气与气候</x:v>
      </x:c>
      <x:c r="F102" s="29" t="str">
        <x:v>NOAA</x:v>
      </x:c>
      <x:c r="G102" s="29" t="str"/>
      <x:c r="H102" s="29" t="str">
        <x:v>官方新闻、气候、天气、海洋与环境数据入口</x:v>
      </x:c>
      <x:c r="I102" s="29" t="str">
        <x:v>en</x:v>
      </x:c>
      <x:c r="J102" s="29" t="str">
        <x:v>证据源</x:v>
      </x:c>
      <x:c r="K102" s="29" t="str">
        <x:v>Open</x:v>
      </x:c>
      <x:c r="L102" s="29" t="str">
        <x:v>每周数次</x:v>
      </x:c>
      <x:c r="M102" s="29" t="str">
        <x:v>https://www.noaa.gov/news</x:v>
      </x:c>
      <x:c r="N102" s="29" t="str">
        <x:v>https://www.noaa.gov/rss.xml</x:v>
      </x:c>
      <x:c r="O102" s="29" t="str">
        <x:v>有效</x:v>
      </x:c>
      <x:c r="P102" s="72" t="n">
        <x:v>5</x:v>
      </x:c>
      <x:c r="Q102" s="72" t="n">
        <x:v>5</x:v>
      </x:c>
      <x:c r="R102" s="72" t="n">
        <x:v>5</x:v>
      </x:c>
      <x:c r="S102" s="72" t="n">
        <x:v>4</x:v>
      </x:c>
      <x:c r="T102" s="72" t="n">
        <x:v>4</x:v>
      </x:c>
      <x:c r="U102" s="72" t="n">
        <x:v>4</x:v>
      </x:c>
      <x:c r="V102" s="72" t="n">
        <x:v>5</x:v>
      </x:c>
      <x:c r="W102" s="29" t="str">
        <x:v>极端天气、海温、气候事实核查</x:v>
      </x:c>
      <x:c r="X102" s="29" t="str">
        <x:v>气象海洋权威源，事件数据和定义可追溯。</x:v>
      </x:c>
      <x:c r="Y102" s="29" t="str">
        <x:v>NOAA RSS端点已核验。</x:v>
      </x:c>
      <x:c r="Z102" s="75" t="b">
        <x:v>0</x:v>
      </x:c>
      <x:c r="AA102" s="29"/>
      <x:c r="AB102" s="29" t="str">
        <x:v>扩展调研：科技、科学与数据</x:v>
      </x:c>
      <x:c r="AC102" s="29" t="str">
        <x:v>https://www.noaa.gov/rss.xml</x:v>
      </x:c>
      <x:c r="AD102" s="29" t="str">
        <x:v>2026-08-17</x:v>
      </x:c>
      <x:c r="AE102" s="29" t="n">
        <x:v>200</x:v>
      </x:c>
      <x:c r="AF102" s="29" t="str">
        <x:v>https://www.noaa.gov/rss.xml</x:v>
      </x:c>
      <x:c r="AG102" s="29" t="str"/>
    </x:row>
    <x:row r="103" ht="44" customHeight="1">
      <x:c r="A103" s="29" t="str">
        <x:v>SRC-099</x:v>
      </x:c>
      <x:c r="B103" s="29" t="str">
        <x:f>IF(C103&gt;=93,"S",IF(C103&gt;=90,"A",IF(C103&gt;=80,"B","C")))</x:f>
        <x:v>S</x:v>
      </x:c>
      <x:c r="C103" s="72" t="n">
        <x:f>ROUND((P103*0.20+Q103*0.18+R103*0.20+S103*0.15+T103*0.12+U103*0.10+V103*0.05)*20,0)</x:f>
        <x:v>93</x:v>
      </x:c>
      <x:c r="D103" s="29" t="str">
        <x:v>地球、地理与城市</x:v>
      </x:c>
      <x:c r="E103" s="29" t="str">
        <x:v>遥感影像与地形数据</x:v>
      </x:c>
      <x:c r="F103" s="29" t="str">
        <x:v>USGS EarthExplorer</x:v>
      </x:c>
      <x:c r="G103" s="29" t="str"/>
      <x:c r="H103" s="29" t="str">
        <x:v>地球观测下载平台</x:v>
      </x:c>
      <x:c r="I103" s="29" t="str">
        <x:v>en</x:v>
      </x:c>
      <x:c r="J103" s="29" t="str">
        <x:v>证据源</x:v>
      </x:c>
      <x:c r="K103" s="29" t="str">
        <x:v>Open</x:v>
      </x:c>
      <x:c r="L103" s="29" t="str">
        <x:v>持续更新</x:v>
      </x:c>
      <x:c r="M103" s="29" t="str">
        <x:v>https://earthexplorer.usgs.gov/</x:v>
      </x:c>
      <x:c r="N103" s="29" t="str"/>
      <x:c r="O103" s="29" t="str">
        <x:v>无RSS/API入口</x:v>
      </x:c>
      <x:c r="P103" s="72" t="n">
        <x:v>5</x:v>
      </x:c>
      <x:c r="Q103" s="72" t="n">
        <x:v>5</x:v>
      </x:c>
      <x:c r="R103" s="72" t="n">
        <x:v>5</x:v>
      </x:c>
      <x:c r="S103" s="72" t="n">
        <x:v>4</x:v>
      </x:c>
      <x:c r="T103" s="72" t="n">
        <x:v>4</x:v>
      </x:c>
      <x:c r="U103" s="72" t="n">
        <x:v>4</x:v>
      </x:c>
      <x:c r="V103" s="72" t="n">
        <x:v>5</x:v>
      </x:c>
      <x:c r="W103" s="29" t="str">
        <x:v>城市变化、地貌与时间对比</x:v>
      </x:c>
      <x:c r="X103" s="29" t="str">
        <x:v>Landsat、航片和高程等经典地理数据入口。</x:v>
      </x:c>
      <x:c r="Y103" s="29" t="str">
        <x:v>使用前核对数据口径、更新时间、许可与引用格式。</x:v>
      </x:c>
      <x:c r="Z103" s="75" t="b">
        <x:v>0</x:v>
      </x:c>
      <x:c r="AA103" s="29"/>
      <x:c r="AB103" s="29" t="str">
        <x:v>扩展调研：数据库、资料库与平台</x:v>
      </x:c>
      <x:c r="AC103" s="29" t="str">
        <x:v>https://earthexplorer.usgs.gov/</x:v>
      </x:c>
      <x:c r="AD103" s="29" t="str">
        <x:v>2026-08-17</x:v>
      </x:c>
      <x:c r="AE103" s="29"/>
      <x:c r="AF103" s="29" t="str"/>
      <x:c r="AG103" s="29" t="str"/>
    </x:row>
    <x:row r="104" ht="44" customHeight="1">
      <x:c r="A104" s="29" t="str">
        <x:v>SRC-100</x:v>
      </x:c>
      <x:c r="B104" s="29" t="str">
        <x:f>IF(C104&gt;=93,"S",IF(C104&gt;=90,"A",IF(C104&gt;=80,"B","C")))</x:f>
        <x:v>S</x:v>
      </x:c>
      <x:c r="C104" s="72" t="n">
        <x:f>ROUND((P104*0.20+Q104*0.18+R104*0.20+S104*0.15+T104*0.12+U104*0.10+V104*0.05)*20,0)</x:f>
        <x:v>93</x:v>
      </x:c>
      <x:c r="D104" s="29" t="str">
        <x:v>地球、地理与城市</x:v>
      </x:c>
      <x:c r="E104" s="29" t="str">
        <x:v>实时地震数据</x:v>
      </x:c>
      <x:c r="F104" s="29" t="str">
        <x:v>USGS Earthquakes</x:v>
      </x:c>
      <x:c r="G104" s="29" t="str"/>
      <x:c r="H104" s="29" t="str">
        <x:v>震级、位置、时间与事件元数据</x:v>
      </x:c>
      <x:c r="I104" s="29" t="str">
        <x:v>en</x:v>
      </x:c>
      <x:c r="J104" s="29" t="str">
        <x:v>证据源</x:v>
      </x:c>
      <x:c r="K104" s="29" t="str">
        <x:v>Open</x:v>
      </x:c>
      <x:c r="L104" s="29" t="str">
        <x:v>每分钟更新</x:v>
      </x:c>
      <x:c r="M104" s="29" t="str">
        <x:v>https://earthquake.usgs.gov/earthquakes/map/</x:v>
      </x:c>
      <x:c r="N104" s="29" t="str">
        <x:v>https://earthquake.usgs.gov/earthquakes/feed/v1.0/summary/all_day.atom</x:v>
      </x:c>
      <x:c r="O104" s="29" t="str">
        <x:v>有效</x:v>
      </x:c>
      <x:c r="P104" s="72" t="n">
        <x:v>5</x:v>
      </x:c>
      <x:c r="Q104" s="72" t="n">
        <x:v>5</x:v>
      </x:c>
      <x:c r="R104" s="72" t="n">
        <x:v>5</x:v>
      </x:c>
      <x:c r="S104" s="72" t="n">
        <x:v>4</x:v>
      </x:c>
      <x:c r="T104" s="72" t="n">
        <x:v>4</x:v>
      </x:c>
      <x:c r="U104" s="72" t="n">
        <x:v>4</x:v>
      </x:c>
      <x:c r="V104" s="72" t="n">
        <x:v>5</x:v>
      </x:c>
      <x:c r="W104" s="29" t="str">
        <x:v>地震快讯、地图、震级与历史对比</x:v>
      </x:c>
      <x:c r="X104" s="29" t="str">
        <x:v>机器可读的一手实时地震数据，适合快速核验。</x:v>
      </x:c>
      <x:c r="Y104" s="29" t="str">
        <x:v>官方文档明确推荐Atom且说明每分钟更新；端点已核验。</x:v>
      </x:c>
      <x:c r="Z104" s="75" t="b">
        <x:v>0</x:v>
      </x:c>
      <x:c r="AA104" s="29"/>
      <x:c r="AB104" s="29" t="str">
        <x:v>扩展调研：科技、科学与数据</x:v>
      </x:c>
      <x:c r="AC104" s="29" t="str">
        <x:v>https://earthquake.usgs.gov/earthquakes/feed/v1.0/atom.php</x:v>
      </x:c>
      <x:c r="AD104" s="29" t="str">
        <x:v>2026-08-17</x:v>
      </x:c>
      <x:c r="AE104" s="29" t="n">
        <x:v>200</x:v>
      </x:c>
      <x:c r="AF104" s="29" t="str">
        <x:v>https://earthquake.usgs.gov/earthquakes/feed/v1.0/summary/all_day.atom</x:v>
      </x:c>
      <x:c r="AG104" s="29" t="str"/>
    </x:row>
    <x:row r="105" ht="44" customHeight="1">
      <x:c r="A105" s="29" t="str">
        <x:v>SRC-101</x:v>
      </x:c>
      <x:c r="B105" s="29" t="str">
        <x:f>IF(C105&gt;=93,"S",IF(C105&gt;=90,"A",IF(C105&gt;=80,"B","C")))</x:f>
        <x:v>S</x:v>
      </x:c>
      <x:c r="C105" s="72" t="n">
        <x:f>ROUND((P105*0.20+Q105*0.18+R105*0.20+S105*0.15+T105*0.12+U105*0.10+V105*0.05)*20,0)</x:f>
        <x:v>93</x:v>
      </x:c>
      <x:c r="D105" s="29" t="str">
        <x:v>地球、地理与城市</x:v>
      </x:c>
      <x:c r="E105" s="29" t="str">
        <x:v>全球气候栅格</x:v>
      </x:c>
      <x:c r="F105" s="29" t="str">
        <x:v>WorldClim</x:v>
      </x:c>
      <x:c r="G105" s="29" t="str"/>
      <x:c r="H105" s="29" t="str">
        <x:v>气候数据集</x:v>
      </x:c>
      <x:c r="I105" s="29" t="str">
        <x:v>en</x:v>
      </x:c>
      <x:c r="J105" s="29" t="str">
        <x:v>证据源</x:v>
      </x:c>
      <x:c r="K105" s="29" t="str">
        <x:v>Open</x:v>
      </x:c>
      <x:c r="L105" s="29" t="str">
        <x:v>版本发布</x:v>
      </x:c>
      <x:c r="M105" s="29" t="str">
        <x:v>https://www.worldclim.org/</x:v>
      </x:c>
      <x:c r="N105" s="29" t="str"/>
      <x:c r="O105" s="29" t="str">
        <x:v>无RSS/API入口</x:v>
      </x:c>
      <x:c r="P105" s="72" t="n">
        <x:v>5</x:v>
      </x:c>
      <x:c r="Q105" s="72" t="n">
        <x:v>5</x:v>
      </x:c>
      <x:c r="R105" s="72" t="n">
        <x:v>5</x:v>
      </x:c>
      <x:c r="S105" s="72" t="n">
        <x:v>4</x:v>
      </x:c>
      <x:c r="T105" s="72" t="n">
        <x:v>4</x:v>
      </x:c>
      <x:c r="U105" s="72" t="n">
        <x:v>4</x:v>
      </x:c>
      <x:c r="V105" s="72" t="n">
        <x:v>5</x:v>
      </x:c>
      <x:c r="W105" s="29" t="str">
        <x:v>气候带、物种分布与情景比较</x:v>
      </x:c>
      <x:c r="X105" s="29" t="str">
        <x:v>提供历史和未来温度、降水等高分辨率气候层。</x:v>
      </x:c>
      <x:c r="Y105" s="29" t="str">
        <x:v>使用前核对数据口径、更新时间、许可与引用格式。</x:v>
      </x:c>
      <x:c r="Z105" s="75" t="b">
        <x:v>0</x:v>
      </x:c>
      <x:c r="AA105" s="29"/>
      <x:c r="AB105" s="29" t="str">
        <x:v>扩展调研：数据库、资料库与平台</x:v>
      </x:c>
      <x:c r="AC105" s="29" t="str">
        <x:v>https://www.worldclim.org/</x:v>
      </x:c>
      <x:c r="AD105" s="29" t="str">
        <x:v>2026-08-17</x:v>
      </x:c>
      <x:c r="AE105" s="29"/>
      <x:c r="AF105" s="29" t="str"/>
      <x:c r="AG105" s="29" t="str"/>
    </x:row>
    <x:row r="106" ht="44" customHeight="1">
      <x:c r="A106" s="29" t="str">
        <x:v>SRC-102</x:v>
      </x:c>
      <x:c r="B106" s="29" t="str">
        <x:f>IF(C106&gt;=93,"S",IF(C106&gt;=90,"A",IF(C106&gt;=80,"B","C")))</x:f>
        <x:v>S</x:v>
      </x:c>
      <x:c r="C106" s="72" t="n">
        <x:f>ROUND((P106*0.20+Q106*0.18+R106*0.20+S106*0.15+T106*0.12+U106*0.10+V106*0.05)*20,0)</x:f>
        <x:v>93</x:v>
      </x:c>
      <x:c r="D106" s="29" t="str">
        <x:v>天文与太空</x:v>
      </x:c>
      <x:c r="E106" s="29" t="str">
        <x:v>欧洲航天与空间科学</x:v>
      </x:c>
      <x:c r="F106" s="29" t="str">
        <x:v>ESA Space Science</x:v>
      </x:c>
      <x:c r="G106" s="29" t="str"/>
      <x:c r="H106" s="29" t="str">
        <x:v>任务新闻、科学结果、图像与公告</x:v>
      </x:c>
      <x:c r="I106" s="29" t="str">
        <x:v>en</x:v>
      </x:c>
      <x:c r="J106" s="29" t="str">
        <x:v>证据源</x:v>
      </x:c>
      <x:c r="K106" s="29" t="str">
        <x:v>Open</x:v>
      </x:c>
      <x:c r="L106" s="29" t="str">
        <x:v>每周数次</x:v>
      </x:c>
      <x:c r="M106" s="29" t="str">
        <x:v>https://www.esa.int/Science_Exploration/Space_Science</x:v>
      </x:c>
      <x:c r="N106" s="29" t="str">
        <x:v>https://www.esa.int/rssfeed/Our_Activities/Space_Science</x:v>
      </x:c>
      <x:c r="O106" s="29" t="str">
        <x:v>有效</x:v>
      </x:c>
      <x:c r="P106" s="72" t="n">
        <x:v>5</x:v>
      </x:c>
      <x:c r="Q106" s="72" t="n">
        <x:v>5</x:v>
      </x:c>
      <x:c r="R106" s="72" t="n">
        <x:v>5</x:v>
      </x:c>
      <x:c r="S106" s="72" t="n">
        <x:v>4</x:v>
      </x:c>
      <x:c r="T106" s="72" t="n">
        <x:v>4</x:v>
      </x:c>
      <x:c r="U106" s="72" t="n">
        <x:v>4</x:v>
      </x:c>
      <x:c r="V106" s="72" t="n">
        <x:v>5</x:v>
      </x:c>
      <x:c r="W106" s="29" t="str">
        <x:v>任务对比、探测器图解、欧洲航天</x:v>
      </x:c>
      <x:c r="X106" s="29" t="str">
        <x:v>补足NASA之外的欧洲任务和空间科学视角。</x:v>
      </x:c>
      <x:c r="Y106" s="29" t="str">
        <x:v>Feed由ESA官方RSS索引直接列出并核验为XML。</x:v>
      </x:c>
      <x:c r="Z106" s="75" t="b">
        <x:v>0</x:v>
      </x:c>
      <x:c r="AA106" s="29"/>
      <x:c r="AB106" s="29" t="str">
        <x:v>扩展调研：科技、科学与数据</x:v>
      </x:c>
      <x:c r="AC106" s="29" t="str">
        <x:v>https://www.esa.int/Services/RSS_Feeds</x:v>
      </x:c>
      <x:c r="AD106" s="29" t="str">
        <x:v>2026-08-17</x:v>
      </x:c>
      <x:c r="AE106" s="29" t="n">
        <x:v>200</x:v>
      </x:c>
      <x:c r="AF106" s="29" t="str">
        <x:v>https://www.esa.int/rssfeed/Our_Activities/Space_Science</x:v>
      </x:c>
      <x:c r="AG106" s="29" t="str"/>
    </x:row>
    <x:row r="107" ht="44" customHeight="1">
      <x:c r="A107" s="29" t="str">
        <x:v>SRC-103</x:v>
      </x:c>
      <x:c r="B107" s="29" t="str">
        <x:f>IF(C107&gt;=93,"S",IF(C107&gt;=90,"A",IF(C107&gt;=80,"B","C")))</x:f>
        <x:v>S</x:v>
      </x:c>
      <x:c r="C107" s="72" t="n">
        <x:f>ROUND((P107*0.20+Q107*0.18+R107*0.20+S107*0.15+T107*0.12+U107*0.10+V107*0.05)*20,0)</x:f>
        <x:v>93</x:v>
      </x:c>
      <x:c r="D107" s="29" t="str">
        <x:v>天文与太空</x:v>
      </x:c>
      <x:c r="E107" s="29" t="str">
        <x:v>行星探测与机器人</x:v>
      </x:c>
      <x:c r="F107" s="29" t="str">
        <x:v>NASA JPL</x:v>
      </x:c>
      <x:c r="G107" s="29" t="str"/>
      <x:c r="H107" s="29" t="str">
        <x:v>深空任务新闻、图像与工程说明</x:v>
      </x:c>
      <x:c r="I107" s="29" t="str">
        <x:v>en</x:v>
      </x:c>
      <x:c r="J107" s="29" t="str">
        <x:v>证据源</x:v>
      </x:c>
      <x:c r="K107" s="29" t="str">
        <x:v>Open</x:v>
      </x:c>
      <x:c r="L107" s="29" t="str">
        <x:v>每周数次</x:v>
      </x:c>
      <x:c r="M107" s="29" t="str">
        <x:v>https://www.jpl.nasa.gov/news/</x:v>
      </x:c>
      <x:c r="N107" s="29" t="str">
        <x:v>https://www.jpl.nasa.gov/feeds/news/</x:v>
      </x:c>
      <x:c r="O107" s="29" t="str">
        <x:v>有效</x:v>
      </x:c>
      <x:c r="P107" s="72" t="n">
        <x:v>5</x:v>
      </x:c>
      <x:c r="Q107" s="72" t="n">
        <x:v>5</x:v>
      </x:c>
      <x:c r="R107" s="72" t="n">
        <x:v>5</x:v>
      </x:c>
      <x:c r="S107" s="72" t="n">
        <x:v>4</x:v>
      </x:c>
      <x:c r="T107" s="72" t="n">
        <x:v>4</x:v>
      </x:c>
      <x:c r="U107" s="72" t="n">
        <x:v>4</x:v>
      </x:c>
      <x:c r="V107" s="72" t="n">
        <x:v>5</x:v>
      </x:c>
      <x:c r="W107" s="29" t="str">
        <x:v>火星与行星任务、机器人、工程幕后</x:v>
      </x:c>
      <x:c r="X107" s="29" t="str">
        <x:v>行星任务、机器人和深空工程的一手细节可靠。</x:v>
      </x:c>
      <x:c r="Y107" s="29" t="str">
        <x:v>官方JPL RSS页和News Feed均已核验。</x:v>
      </x:c>
      <x:c r="Z107" s="75" t="b">
        <x:v>0</x:v>
      </x:c>
      <x:c r="AA107" s="29"/>
      <x:c r="AB107" s="29" t="str">
        <x:v>扩展调研：科技、科学与数据</x:v>
      </x:c>
      <x:c r="AC107" s="29" t="str">
        <x:v>https://www.jpl.nasa.gov/rss/</x:v>
      </x:c>
      <x:c r="AD107" s="29" t="str">
        <x:v>2026-08-17</x:v>
      </x:c>
      <x:c r="AE107" s="29" t="n">
        <x:v>200</x:v>
      </x:c>
      <x:c r="AF107" s="29" t="str">
        <x:v>https://www.jpl.nasa.gov/feeds/news/</x:v>
      </x:c>
      <x:c r="AG107" s="29" t="str"/>
    </x:row>
    <x:row r="108" ht="44" customHeight="1">
      <x:c r="A108" s="29" t="str">
        <x:v>SRC-104</x:v>
      </x:c>
      <x:c r="B108" s="29" t="str">
        <x:f>IF(C108&gt;=93,"S",IF(C108&gt;=90,"A",IF(C108&gt;=80,"B","C")))</x:f>
        <x:v>S</x:v>
      </x:c>
      <x:c r="C108" s="72" t="n">
        <x:f>ROUND((P108*0.20+Q108*0.18+R108*0.20+S108*0.15+T108*0.12+U108*0.10+V108*0.05)*20,0)</x:f>
        <x:v>93</x:v>
      </x:c>
      <x:c r="D108" s="29" t="str">
        <x:v>天文与太空</x:v>
      </x:c>
      <x:c r="E108" s="29" t="str">
        <x:v>航天任务与机构公告</x:v>
      </x:c>
      <x:c r="F108" s="29" t="str">
        <x:v>NASA News</x:v>
      </x:c>
      <x:c r="G108" s="29" t="str"/>
      <x:c r="H108" s="29" t="str">
        <x:v>新闻稿、任务公告、媒体素材</x:v>
      </x:c>
      <x:c r="I108" s="29" t="str">
        <x:v>en</x:v>
      </x:c>
      <x:c r="J108" s="29" t="str">
        <x:v>证据源</x:v>
      </x:c>
      <x:c r="K108" s="29" t="str">
        <x:v>Open</x:v>
      </x:c>
      <x:c r="L108" s="29" t="str">
        <x:v>每周数次</x:v>
      </x:c>
      <x:c r="M108" s="29" t="str">
        <x:v>https://www.nasa.gov/news/</x:v>
      </x:c>
      <x:c r="N108" s="29" t="str">
        <x:v>https://www.nasa.gov/news-release/feed/</x:v>
      </x:c>
      <x:c r="O108" s="29" t="str">
        <x:v>有效</x:v>
      </x:c>
      <x:c r="P108" s="72" t="n">
        <x:v>5</x:v>
      </x:c>
      <x:c r="Q108" s="72" t="n">
        <x:v>5</x:v>
      </x:c>
      <x:c r="R108" s="72" t="n">
        <x:v>5</x:v>
      </x:c>
      <x:c r="S108" s="72" t="n">
        <x:v>4</x:v>
      </x:c>
      <x:c r="T108" s="72" t="n">
        <x:v>4</x:v>
      </x:c>
      <x:c r="U108" s="72" t="n">
        <x:v>4</x:v>
      </x:c>
      <x:c r="V108" s="72" t="n">
        <x:v>5</x:v>
      </x:c>
      <x:c r="W108" s="29" t="str">
        <x:v>突发航天新闻、任务时间线、事实卡</x:v>
      </x:c>
      <x:c r="X108" s="29" t="str">
        <x:v>航天任务事实、时间、名称和媒体资源的一手源。</x:v>
      </x:c>
      <x:c r="Y108" s="29" t="str">
        <x:v>RSS端点已核验，并列于NASA官方RSS索引。</x:v>
      </x:c>
      <x:c r="Z108" s="75" t="b">
        <x:v>0</x:v>
      </x:c>
      <x:c r="AA108" s="29"/>
      <x:c r="AB108" s="29" t="str">
        <x:v>扩展调研：科技、科学与数据</x:v>
      </x:c>
      <x:c r="AC108" s="29" t="str">
        <x:v>https://www.nasa.gov/rss-feeds/</x:v>
      </x:c>
      <x:c r="AD108" s="29" t="str">
        <x:v>2026-08-17</x:v>
      </x:c>
      <x:c r="AE108" s="29" t="n">
        <x:v>200</x:v>
      </x:c>
      <x:c r="AF108" s="29" t="str">
        <x:v>https://www.nasa.gov/news-release/feed/</x:v>
      </x:c>
      <x:c r="AG108" s="29" t="str"/>
    </x:row>
    <x:row r="109" ht="44" customHeight="1">
      <x:c r="A109" s="29" t="str">
        <x:v>SRC-105</x:v>
      </x:c>
      <x:c r="B109" s="29" t="str">
        <x:f>IF(C109&gt;=93,"S",IF(C109&gt;=90,"A",IF(C109&gt;=80,"B","C")))</x:f>
        <x:v>S</x:v>
      </x:c>
      <x:c r="C109" s="72" t="n">
        <x:f>ROUND((P109*0.20+Q109*0.18+R109*0.20+S109*0.15+T109*0.12+U109*0.10+V109*0.05)*20,0)</x:f>
        <x:v>93</x:v>
      </x:c>
      <x:c r="D109" s="29" t="str">
        <x:v>天文与太空</x:v>
      </x:c>
      <x:c r="E109" s="29" t="str">
        <x:v>行星任务科学数据</x:v>
      </x:c>
      <x:c r="F109" s="29" t="str">
        <x:v>NASA Planetary Data System</x:v>
      </x:c>
      <x:c r="G109" s="29" t="str"/>
      <x:c r="H109" s="29" t="str">
        <x:v>任务数据档案</x:v>
      </x:c>
      <x:c r="I109" s="29" t="str">
        <x:v>en</x:v>
      </x:c>
      <x:c r="J109" s="29" t="str">
        <x:v>证据源</x:v>
      </x:c>
      <x:c r="K109" s="29" t="str">
        <x:v>Open</x:v>
      </x:c>
      <x:c r="L109" s="29" t="str">
        <x:v>持续更新</x:v>
      </x:c>
      <x:c r="M109" s="29" t="str">
        <x:v>https://pds.nasa.gov/</x:v>
      </x:c>
      <x:c r="N109" s="29" t="str">
        <x:v>https://pds.nasa.gov/datasearch/data-search/</x:v>
      </x:c>
      <x:c r="O109" s="29" t="str">
        <x:v>平台入口</x:v>
      </x:c>
      <x:c r="P109" s="72" t="n">
        <x:v>5</x:v>
      </x:c>
      <x:c r="Q109" s="72" t="n">
        <x:v>5</x:v>
      </x:c>
      <x:c r="R109" s="72" t="n">
        <x:v>5</x:v>
      </x:c>
      <x:c r="S109" s="72" t="n">
        <x:v>4</x:v>
      </x:c>
      <x:c r="T109" s="72" t="n">
        <x:v>4</x:v>
      </x:c>
      <x:c r="U109" s="72" t="n">
        <x:v>4</x:v>
      </x:c>
      <x:c r="V109" s="72" t="n">
        <x:v>5</x:v>
      </x:c>
      <x:c r="W109" s="29" t="str">
        <x:v>行星地貌、任务数据、仪器方法</x:v>
      </x:c>
      <x:c r="X109" s="29" t="str">
        <x:v>NASA 行星任务经过归档的科学数据与文档。</x:v>
      </x:c>
      <x:c r="Y109" s="29" t="str">
        <x:v>使用前核对数据口径、更新时间、许可与引用格式。；未按 RSS/Atom 校验。</x:v>
      </x:c>
      <x:c r="Z109" s="75" t="b">
        <x:v>0</x:v>
      </x:c>
      <x:c r="AA109" s="29"/>
      <x:c r="AB109" s="29" t="str">
        <x:v>扩展调研：数据库、资料库与平台</x:v>
      </x:c>
      <x:c r="AC109" s="29" t="str">
        <x:v>https://pds.nasa.gov/</x:v>
      </x:c>
      <x:c r="AD109" s="29" t="str">
        <x:v>2026-08-17</x:v>
      </x:c>
      <x:c r="AE109" s="29"/>
      <x:c r="AF109" s="29" t="str">
        <x:v>https://pds.nasa.gov/datasearch/data-search/</x:v>
      </x:c>
      <x:c r="AG109" s="29" t="str"/>
    </x:row>
    <x:row r="110" ht="44" customHeight="1">
      <x:c r="A110" s="29" t="str">
        <x:v>SRC-106</x:v>
      </x:c>
      <x:c r="B110" s="29" t="str">
        <x:f>IF(C110&gt;=93,"S",IF(C110&gt;=90,"A",IF(C110&gt;=80,"B","C")))</x:f>
        <x:v>S</x:v>
      </x:c>
      <x:c r="C110" s="72" t="n">
        <x:f>ROUND((P110*0.20+Q110*0.18+R110*0.20+S110*0.15+T110*0.12+U110*0.10+V110*0.05)*20,0)</x:f>
        <x:v>93</x:v>
      </x:c>
      <x:c r="D110" s="29" t="str">
        <x:v>天文与太空</x:v>
      </x:c>
      <x:c r="E110" s="29" t="str">
        <x:v>光学巡天数据与教学工具</x:v>
      </x:c>
      <x:c r="F110" s="29" t="str">
        <x:v>SDSS SkyServer</x:v>
      </x:c>
      <x:c r="G110" s="29" t="str"/>
      <x:c r="H110" s="29" t="str">
        <x:v>天文巡天平台</x:v>
      </x:c>
      <x:c r="I110" s="29" t="str">
        <x:v>en</x:v>
      </x:c>
      <x:c r="J110" s="29" t="str">
        <x:v>证据源</x:v>
      </x:c>
      <x:c r="K110" s="29" t="str">
        <x:v>Open</x:v>
      </x:c>
      <x:c r="L110" s="29" t="str">
        <x:v>版本发布</x:v>
      </x:c>
      <x:c r="M110" s="29" t="str">
        <x:v>https://skyserver.sdss.org/</x:v>
      </x:c>
      <x:c r="N110" s="29" t="str"/>
      <x:c r="O110" s="29" t="str">
        <x:v>无RSS/API入口</x:v>
      </x:c>
      <x:c r="P110" s="72" t="n">
        <x:v>5</x:v>
      </x:c>
      <x:c r="Q110" s="72" t="n">
        <x:v>5</x:v>
      </x:c>
      <x:c r="R110" s="72" t="n">
        <x:v>5</x:v>
      </x:c>
      <x:c r="S110" s="72" t="n">
        <x:v>4</x:v>
      </x:c>
      <x:c r="T110" s="72" t="n">
        <x:v>4</x:v>
      </x:c>
      <x:c r="U110" s="72" t="n">
        <x:v>4</x:v>
      </x:c>
      <x:c r="V110" s="72" t="n">
        <x:v>5</x:v>
      </x:c>
      <x:c r="W110" s="29" t="str">
        <x:v>星系光谱、宇宙地图、教学图解</x:v>
      </x:c>
      <x:c r="X110" s="29" t="str">
        <x:v>可查询图像、光谱和目录，并有适合公众的探索工具。</x:v>
      </x:c>
      <x:c r="Y110" s="29" t="str">
        <x:v>使用前核对数据口径、更新时间、许可与引用格式。</x:v>
      </x:c>
      <x:c r="Z110" s="75" t="b">
        <x:v>0</x:v>
      </x:c>
      <x:c r="AA110" s="29"/>
      <x:c r="AB110" s="29" t="str">
        <x:v>扩展调研：数据库、资料库与平台</x:v>
      </x:c>
      <x:c r="AC110" s="29" t="str">
        <x:v>https://skyserver.sdss.org/</x:v>
      </x:c>
      <x:c r="AD110" s="29" t="str">
        <x:v>2026-08-17</x:v>
      </x:c>
      <x:c r="AE110" s="29"/>
      <x:c r="AF110" s="29" t="str"/>
      <x:c r="AG110" s="29" t="str"/>
    </x:row>
    <x:row r="111" ht="44" customHeight="1">
      <x:c r="A111" s="29" t="str">
        <x:v>SRC-107</x:v>
      </x:c>
      <x:c r="B111" s="29" t="str">
        <x:f>IF(C111&gt;=93,"S",IF(C111&gt;=90,"A",IF(C111&gt;=80,"B","C")))</x:f>
        <x:v>S</x:v>
      </x:c>
      <x:c r="C111" s="72" t="n">
        <x:f>ROUND((P111*0.20+Q111*0.18+R111*0.20+S111*0.15+T111*0.12+U111*0.10+V111*0.05)*20,0)</x:f>
        <x:v>93</x:v>
      </x:c>
      <x:c r="D111" s="29" t="str">
        <x:v>成长与学习</x:v>
      </x:c>
      <x:c r="E111" s="29" t="str">
        <x:v>职业选择与社会影响</x:v>
      </x:c>
      <x:c r="F111" s="29" t="str">
        <x:v>80,000 Hours</x:v>
      </x:c>
      <x:c r="G111" s="29" t="str"/>
      <x:c r="H111" s="29" t="str">
        <x:v>职业研究、影响评估、问题优先级、访谈与指南</x:v>
      </x:c>
      <x:c r="I111" s="29" t="str">
        <x:v>en</x:v>
      </x:c>
      <x:c r="J111" s="29" t="str">
        <x:v>证据源</x:v>
      </x:c>
      <x:c r="K111" s="29" t="str">
        <x:v>Open</x:v>
      </x:c>
      <x:c r="L111" s="29" t="str">
        <x:v>每周约1至3篇或播客</x:v>
      </x:c>
      <x:c r="M111" s="29" t="str">
        <x:v>https://80000hours.org/research/</x:v>
      </x:c>
      <x:c r="N111" s="29" t="str">
        <x:v>https://80000hours.org/feed/</x:v>
      </x:c>
      <x:c r="O111" s="29" t="str">
        <x:v>有效</x:v>
      </x:c>
      <x:c r="P111" s="72" t="n">
        <x:v>5</x:v>
      </x:c>
      <x:c r="Q111" s="72" t="n">
        <x:v>5</x:v>
      </x:c>
      <x:c r="R111" s="72" t="n">
        <x:v>5</x:v>
      </x:c>
      <x:c r="S111" s="72" t="n">
        <x:v>4</x:v>
      </x:c>
      <x:c r="T111" s="72" t="n">
        <x:v>4</x:v>
      </x:c>
      <x:c r="U111" s="72" t="n">
        <x:v>4</x:v>
      </x:c>
      <x:c r="V111" s="72" t="n">
        <x:v>5</x:v>
      </x:c>
      <x:c r="W111" s="29" t="str">
        <x:v>用决策矩阵比较两条职业路径，并公开关键假设。</x:v>
      </x:c>
      <x:c r="X111" s="29" t="str">
        <x:v>以研究和显式假设讨论职业影响力，适合学习如何比较职业路径和长期取舍。</x:v>
      </x:c>
      <x:c r="Y111" s="29" t="str">
        <x:v>2026-08-17：官方RSS返回200和有效XML；有明确有效利他主义视角，结论宜与其他职业研究并列。</x:v>
      </x:c>
      <x:c r="Z111" s="75" t="b">
        <x:v>0</x:v>
      </x:c>
      <x:c r="AA111" s="29"/>
      <x:c r="AB111" s="29" t="str">
        <x:v>扩展调研：成长、学习、商业与管理</x:v>
      </x:c>
      <x:c r="AC111" s="29" t="str">
        <x:v>https://80000hours.org/feed/</x:v>
      </x:c>
      <x:c r="AD111" s="29" t="str">
        <x:v>2026-08-17</x:v>
      </x:c>
      <x:c r="AE111" s="29" t="n">
        <x:v>200</x:v>
      </x:c>
      <x:c r="AF111" s="29" t="str">
        <x:v>https://80000hours.org/feed/</x:v>
      </x:c>
      <x:c r="AG111" s="29" t="str"/>
    </x:row>
    <x:row r="112" ht="44" customHeight="1">
      <x:c r="A112" s="29" t="str">
        <x:v>SRC-108</x:v>
      </x:c>
      <x:c r="B112" s="29" t="str">
        <x:f>IF(C112&gt;=93,"S",IF(C112&gt;=90,"A",IF(C112&gt;=80,"B","C")))</x:f>
        <x:v>S</x:v>
      </x:c>
      <x:c r="C112" s="72" t="n">
        <x:f>ROUND((P112*0.20+Q112*0.18+R112*0.20+S112*0.15+T112*0.12+U112*0.10+V112*0.05)*20,0)</x:f>
        <x:v>93</x:v>
      </x:c>
      <x:c r="D112" s="29" t="str">
        <x:v>成长与学习</x:v>
      </x:c>
      <x:c r="E112" s="29" t="str">
        <x:v>学习科学</x:v>
      </x:c>
      <x:c r="F112" s="29" t="str">
        <x:v>The Learning Scientists</x:v>
      </x:c>
      <x:c r="G112" s="29" t="str"/>
      <x:c r="H112" s="29" t="str">
        <x:v>认知心理学、记忆、教学策略与学习方法</x:v>
      </x:c>
      <x:c r="I112" s="29" t="str">
        <x:v>en</x:v>
      </x:c>
      <x:c r="J112" s="29" t="str">
        <x:v>证据源</x:v>
      </x:c>
      <x:c r="K112" s="29" t="str">
        <x:v>Open</x:v>
      </x:c>
      <x:c r="L112" s="29" t="str">
        <x:v>每月约1至4篇</x:v>
      </x:c>
      <x:c r="M112" s="29" t="str">
        <x:v>https://www.learningscientists.org/blog</x:v>
      </x:c>
      <x:c r="N112" s="29" t="str">
        <x:v>https://www.learningscientists.org/blog?format=rss</x:v>
      </x:c>
      <x:c r="O112" s="29" t="str">
        <x:v>有效</x:v>
      </x:c>
      <x:c r="P112" s="72" t="n">
        <x:v>5</x:v>
      </x:c>
      <x:c r="Q112" s="72" t="n">
        <x:v>5</x:v>
      </x:c>
      <x:c r="R112" s="72" t="n">
        <x:v>5</x:v>
      </x:c>
      <x:c r="S112" s="72" t="n">
        <x:v>4</x:v>
      </x:c>
      <x:c r="T112" s="72" t="n">
        <x:v>4</x:v>
      </x:c>
      <x:c r="U112" s="72" t="n">
        <x:v>4</x:v>
      </x:c>
      <x:c r="V112" s="72" t="n">
        <x:v>5</x:v>
      </x:c>
      <x:c r="W112" s="29" t="str">
        <x:v>拆解一个常见学习误区，并给出研究支持的替代方法。</x:v>
      </x:c>
      <x:c r="X112" s="29" t="str">
        <x:v>由认知心理学研究者运营，长期解释间隔、提取练习、交错学习等证据较强的方法。</x:v>
      </x:c>
      <x:c r="Y112" s="29" t="str">
        <x:v>2026-08-17：官网显式声明RSS，端点返回200和有效XML。</x:v>
      </x:c>
      <x:c r="Z112" s="75" t="b">
        <x:v>0</x:v>
      </x:c>
      <x:c r="AA112" s="29"/>
      <x:c r="AB112" s="29" t="str">
        <x:v>扩展调研：成长、学习、商业与管理</x:v>
      </x:c>
      <x:c r="AC112" s="29" t="str">
        <x:v>https://www.learningscientists.org/blog</x:v>
      </x:c>
      <x:c r="AD112" s="29" t="str">
        <x:v>2026-08-17</x:v>
      </x:c>
      <x:c r="AE112" s="29" t="n">
        <x:v>200</x:v>
      </x:c>
      <x:c r="AF112" s="29" t="str">
        <x:v>https://www.learningscientists.org/blog?format=rss</x:v>
      </x:c>
      <x:c r="AG112" s="29" t="str"/>
    </x:row>
    <x:row r="113" ht="44" customHeight="1">
      <x:c r="A113" s="29" t="str">
        <x:v>SRC-109</x:v>
      </x:c>
      <x:c r="B113" s="29" t="str">
        <x:f>IF(C113&gt;=93,"S",IF(C113&gt;=90,"A",IF(C113&gt;=80,"B","C")))</x:f>
        <x:v>S</x:v>
      </x:c>
      <x:c r="C113" s="72" t="n">
        <x:f>ROUND((P113*0.20+Q113*0.18+R113*0.20+S113*0.15+T113*0.12+U113*0.10+V113*0.05)*20,0)</x:f>
        <x:v>93</x:v>
      </x:c>
      <x:c r="D113" s="29" t="str">
        <x:v>数据与可视化</x:v>
      </x:c>
      <x:c r="E113" s="29" t="str">
        <x:v>中国官方统计</x:v>
      </x:c>
      <x:c r="F113" s="29" t="str">
        <x:v>中国国家数据</x:v>
      </x:c>
      <x:c r="G113" s="29" t="str"/>
      <x:c r="H113" s="29" t="str">
        <x:v>官方统计平台</x:v>
      </x:c>
      <x:c r="I113" s="29" t="str">
        <x:v>zh-CN</x:v>
      </x:c>
      <x:c r="J113" s="29" t="str">
        <x:v>证据源</x:v>
      </x:c>
      <x:c r="K113" s="29" t="str">
        <x:v>Open</x:v>
      </x:c>
      <x:c r="L113" s="29" t="str">
        <x:v>按月/季度/年度</x:v>
      </x:c>
      <x:c r="M113" s="29" t="str">
        <x:v>https://data.stats.gov.cn/</x:v>
      </x:c>
      <x:c r="N113" s="29" t="str"/>
      <x:c r="O113" s="29" t="str">
        <x:v>无RSS/API入口</x:v>
      </x:c>
      <x:c r="P113" s="72" t="n">
        <x:v>5</x:v>
      </x:c>
      <x:c r="Q113" s="72" t="n">
        <x:v>5</x:v>
      </x:c>
      <x:c r="R113" s="72" t="n">
        <x:v>5</x:v>
      </x:c>
      <x:c r="S113" s="72" t="n">
        <x:v>4</x:v>
      </x:c>
      <x:c r="T113" s="72" t="n">
        <x:v>4</x:v>
      </x:c>
      <x:c r="U113" s="72" t="n">
        <x:v>4</x:v>
      </x:c>
      <x:c r="V113" s="72" t="n">
        <x:v>5</x:v>
      </x:c>
      <x:c r="W113" s="29" t="str">
        <x:v>中国宏观、地区和行业图表</x:v>
      </x:c>
      <x:c r="X113" s="29" t="str">
        <x:v>人口、国民经济、行业与地区指标的官方入口。</x:v>
      </x:c>
      <x:c r="Y113" s="29" t="str">
        <x:v>核对统计口径、基期、现价/不变价、修订与发布日期。</x:v>
      </x:c>
      <x:c r="Z113" s="75" t="b">
        <x:v>0</x:v>
      </x:c>
      <x:c r="AA113" s="29"/>
      <x:c r="AB113" s="29" t="str">
        <x:v>扩展调研：数据库、资料库与平台</x:v>
      </x:c>
      <x:c r="AC113" s="29" t="str">
        <x:v>https://data.stats.gov.cn/</x:v>
      </x:c>
      <x:c r="AD113" s="29" t="str">
        <x:v>2026-08-17</x:v>
      </x:c>
      <x:c r="AE113" s="29"/>
      <x:c r="AF113" s="29" t="str"/>
      <x:c r="AG113" s="29" t="str"/>
    </x:row>
    <x:row r="114" ht="44" customHeight="1">
      <x:c r="A114" s="29" t="str">
        <x:v>SRC-110</x:v>
      </x:c>
      <x:c r="B114" s="29" t="str">
        <x:f>IF(C114&gt;=93,"S",IF(C114&gt;=90,"A",IF(C114&gt;=80,"B","C")))</x:f>
        <x:v>S</x:v>
      </x:c>
      <x:c r="C114" s="72" t="n">
        <x:f>ROUND((P114*0.20+Q114*0.18+R114*0.20+S114*0.15+T114*0.12+U114*0.10+V114*0.05)*20,0)</x:f>
        <x:v>93</x:v>
      </x:c>
      <x:c r="D114" s="29" t="str">
        <x:v>新闻与调查</x:v>
      </x:c>
      <x:c r="E114" s="29" t="str">
        <x:v>政治暴力与抗议事件</x:v>
      </x:c>
      <x:c r="F114" s="29" t="str">
        <x:v>ACLED</x:v>
      </x:c>
      <x:c r="G114" s="29" t="str"/>
      <x:c r="H114" s="29" t="str">
        <x:v>冲突事件数据库 / API</x:v>
      </x:c>
      <x:c r="I114" s="29" t="str">
        <x:v>en</x:v>
      </x:c>
      <x:c r="J114" s="29" t="str">
        <x:v>证据源</x:v>
      </x:c>
      <x:c r="K114" s="29" t="str">
        <x:v>Freemium</x:v>
      </x:c>
      <x:c r="L114" s="29" t="str">
        <x:v>每周</x:v>
      </x:c>
      <x:c r="M114" s="29" t="str">
        <x:v>https://acleddata.com/</x:v>
      </x:c>
      <x:c r="N114" s="29" t="str">
        <x:v>https://acleddata.com/api/acled/read</x:v>
      </x:c>
      <x:c r="O114" s="29" t="str">
        <x:v>API入口</x:v>
      </x:c>
      <x:c r="P114" s="72" t="n">
        <x:v>5</x:v>
      </x:c>
      <x:c r="Q114" s="72" t="n">
        <x:v>5</x:v>
      </x:c>
      <x:c r="R114" s="72" t="n">
        <x:v>5</x:v>
      </x:c>
      <x:c r="S114" s="72" t="n">
        <x:v>4</x:v>
      </x:c>
      <x:c r="T114" s="72" t="n">
        <x:v>5</x:v>
      </x:c>
      <x:c r="U114" s="72" t="n">
        <x:v>4</x:v>
      </x:c>
      <x:c r="V114" s="72" t="n">
        <x:v>3</x:v>
      </x:c>
      <x:c r="W114" s="29" t="str">
        <x:v>冲突趋势、事件地图与地区比较</x:v>
      </x:c>
      <x:c r="X114" s="29" t="str">
        <x:v>结构化记录冲突、政治暴力和抗议事件。</x:v>
      </x:c>
      <x:c r="Y114" s="29" t="str">
        <x:v>需要账户；事件编码、覆盖范围和安全敏感性需说明。；未按 RSS/Atom 校验。</x:v>
      </x:c>
      <x:c r="Z114" s="75" t="b">
        <x:v>0</x:v>
      </x:c>
      <x:c r="AA114" s="29"/>
      <x:c r="AB114" s="29" t="str">
        <x:v>扩展调研：数据库、资料库与平台</x:v>
      </x:c>
      <x:c r="AC114" s="29" t="str">
        <x:v>https://acleddata.com/</x:v>
      </x:c>
      <x:c r="AD114" s="29" t="str">
        <x:v>2026-08-17</x:v>
      </x:c>
      <x:c r="AE114" s="29"/>
      <x:c r="AF114" s="29" t="str">
        <x:v>https://acleddata.com/api/acled/read</x:v>
      </x:c>
      <x:c r="AG114" s="29" t="str"/>
    </x:row>
    <x:row r="115" ht="44" customHeight="1">
      <x:c r="A115" s="29" t="str">
        <x:v>SRC-111</x:v>
      </x:c>
      <x:c r="B115" s="29" t="str">
        <x:f>IF(C115&gt;=93,"S",IF(C115&gt;=90,"A",IF(C115&gt;=80,"B","C")))</x:f>
        <x:v>S</x:v>
      </x:c>
      <x:c r="C115" s="72" t="n">
        <x:f>ROUND((P115*0.20+Q115*0.18+R115*0.20+S115*0.15+T115*0.12+U115*0.10+V115*0.05)*20,0)</x:f>
        <x:v>93</x:v>
      </x:c>
      <x:c r="D115" s="29" t="str">
        <x:v>新闻与调查</x:v>
      </x:c>
      <x:c r="E115" s="29" t="str">
        <x:v>全球新闻</x:v>
      </x:c>
      <x:c r="F115" s="29" t="str">
        <x:v>BBC World News</x:v>
      </x:c>
      <x:c r="G115" s="29" t="str"/>
      <x:c r="H115" s="29" t="str">
        <x:v>全球突发、时政、科学和事件报道</x:v>
      </x:c>
      <x:c r="I115" s="29" t="str">
        <x:v>en</x:v>
      </x:c>
      <x:c r="J115" s="29" t="str">
        <x:v>证据源</x:v>
      </x:c>
      <x:c r="K115" s="29" t="str">
        <x:v>Open</x:v>
      </x:c>
      <x:c r="L115" s="29" t="str">
        <x:v>高频，每日多次</x:v>
      </x:c>
      <x:c r="M115" s="29" t="str">
        <x:v>https://www.bbc.com/news/world</x:v>
      </x:c>
      <x:c r="N115" s="29" t="str">
        <x:v>https://feeds.bbci.co.uk/news/world/rss.xml</x:v>
      </x:c>
      <x:c r="O115" s="29" t="str">
        <x:v>有效</x:v>
      </x:c>
      <x:c r="P115" s="72" t="n">
        <x:v>5</x:v>
      </x:c>
      <x:c r="Q115" s="72" t="n">
        <x:v>5</x:v>
      </x:c>
      <x:c r="R115" s="72" t="n">
        <x:v>5</x:v>
      </x:c>
      <x:c r="S115" s="72" t="n">
        <x:v>4</x:v>
      </x:c>
      <x:c r="T115" s="72" t="n">
        <x:v>4</x:v>
      </x:c>
      <x:c r="U115" s="72" t="n">
        <x:v>4</x:v>
      </x:c>
      <x:c r="V115" s="72" t="n">
        <x:v>5</x:v>
      </x:c>
      <x:c r="W115" s="29" t="str">
        <x:v>快讯、全球背景、事件时间线</x:v>
      </x:c>
      <x:c r="X115" s="29" t="str">
        <x:v>全球采编网络强，适合核对事件基本事实和时间线。</x:v>
      </x:c>
      <x:c r="Y115" s="29" t="str">
        <x:v>World RSS已核验，BBC官方Feed文档另提供完整OPML。</x:v>
      </x:c>
      <x:c r="Z115" s="75" t="b">
        <x:v>0</x:v>
      </x:c>
      <x:c r="AA115" s="29"/>
      <x:c r="AB115" s="29" t="str">
        <x:v>扩展调研：科技、科学与数据</x:v>
      </x:c>
      <x:c r="AC115" s="29" t="str">
        <x:v>https://support.bbc.co.uk/platform/feeds/NewsFeeds.htm</x:v>
      </x:c>
      <x:c r="AD115" s="29" t="str">
        <x:v>2026-08-17</x:v>
      </x:c>
      <x:c r="AE115" s="29" t="n">
        <x:v>200</x:v>
      </x:c>
      <x:c r="AF115" s="29" t="str">
        <x:v>https://feeds.bbci.co.uk/news/world/rss.xml</x:v>
      </x:c>
      <x:c r="AG115" s="29" t="str"/>
    </x:row>
    <x:row r="116" ht="44" customHeight="1">
      <x:c r="A116" s="29" t="str">
        <x:v>SRC-112</x:v>
      </x:c>
      <x:c r="B116" s="29" t="str">
        <x:f>IF(C116&gt;=93,"S",IF(C116&gt;=90,"A",IF(C116&gt;=80,"B","C")))</x:f>
        <x:v>S</x:v>
      </x:c>
      <x:c r="C116" s="72" t="n">
        <x:f>ROUND((P116*0.20+Q116*0.18+R116*0.20+S116*0.15+T116*0.12+U116*0.10+V116*0.05)*20,0)</x:f>
        <x:v>93</x:v>
      </x:c>
      <x:c r="D116" s="29" t="str">
        <x:v>新闻与调查</x:v>
      </x:c>
      <x:c r="E116" s="29" t="str">
        <x:v>开源情报与数字调查</x:v>
      </x:c>
      <x:c r="F116" s="29" t="str">
        <x:v>Bellingcat</x:v>
      </x:c>
      <x:c r="G116" s="29" t="str"/>
      <x:c r="H116" s="29" t="str">
        <x:v>调查报道、地理定位、验证方法</x:v>
      </x:c>
      <x:c r="I116" s="29" t="str">
        <x:v>en</x:v>
      </x:c>
      <x:c r="J116" s="29" t="str">
        <x:v>证据源</x:v>
      </x:c>
      <x:c r="K116" s="29" t="str">
        <x:v>Open</x:v>
      </x:c>
      <x:c r="L116" s="29" t="str">
        <x:v>每周约2至5篇</x:v>
      </x:c>
      <x:c r="M116" s="29" t="str">
        <x:v>https://www.bellingcat.com/</x:v>
      </x:c>
      <x:c r="N116" s="29" t="str">
        <x:v>https://www.bellingcat.com/feed/</x:v>
      </x:c>
      <x:c r="O116" s="29" t="str">
        <x:v>有效</x:v>
      </x:c>
      <x:c r="P116" s="72" t="n">
        <x:v>5</x:v>
      </x:c>
      <x:c r="Q116" s="72" t="n">
        <x:v>5</x:v>
      </x:c>
      <x:c r="R116" s="72" t="n">
        <x:v>5</x:v>
      </x:c>
      <x:c r="S116" s="72" t="n">
        <x:v>4</x:v>
      </x:c>
      <x:c r="T116" s="72" t="n">
        <x:v>4</x:v>
      </x:c>
      <x:c r="U116" s="72" t="n">
        <x:v>4</x:v>
      </x:c>
      <x:c r="V116" s="72" t="n">
        <x:v>5</x:v>
      </x:c>
      <x:c r="W116" s="29" t="str">
        <x:v>公开信息如何证实事件和地图影像取证教程。</x:v>
      </x:c>
      <x:c r="X116" s="29" t="str">
        <x:v>经常展示从公开影像、地图和数据到结论的验证链，方法透明度高。</x:v>
      </x:c>
      <x:c r="Y116" s="29" t="str">
        <x:v>2026-08-17：Feed 端点返回 application/rss+xml。敏感事件仍需多源复核。</x:v>
      </x:c>
      <x:c r="Z116" s="75" t="b">
        <x:v>0</x:v>
      </x:c>
      <x:c r="AA116" s="29"/>
      <x:c r="AB116" s="29" t="str">
        <x:v>扩展调研：人文、历史、哲学与设计</x:v>
      </x:c>
      <x:c r="AC116" s="29" t="str">
        <x:v>https://www.bellingcat.com/</x:v>
      </x:c>
      <x:c r="AD116" s="29" t="str">
        <x:v>2026-08-17</x:v>
      </x:c>
      <x:c r="AE116" s="29" t="n">
        <x:v>200</x:v>
      </x:c>
      <x:c r="AF116" s="29" t="str">
        <x:v>https://www.bellingcat.com/feed/</x:v>
      </x:c>
      <x:c r="AG116" s="29" t="str"/>
    </x:row>
    <x:row r="117" ht="44" customHeight="1">
      <x:c r="A117" s="29" t="str">
        <x:v>SRC-113</x:v>
      </x:c>
      <x:c r="B117" s="29" t="str">
        <x:f>IF(C117&gt;=93,"S",IF(C117&gt;=90,"A",IF(C117&gt;=80,"B","C")))</x:f>
        <x:v>S</x:v>
      </x:c>
      <x:c r="C117" s="72" t="n">
        <x:f>ROUND((P117*0.20+Q117*0.18+R117*0.20+S117*0.15+T117*0.12+U117*0.10+V117*0.05)*20,0)</x:f>
        <x:v>93</x:v>
      </x:c>
      <x:c r="D117" s="29" t="str">
        <x:v>新闻与调查</x:v>
      </x:c>
      <x:c r="E117" s="29" t="str">
        <x:v>全球科技与平台经济</x:v>
      </x:c>
      <x:c r="F117" s="29" t="str">
        <x:v>Rest of World</x:v>
      </x:c>
      <x:c r="G117" s="29" t="str"/>
      <x:c r="H117" s="29" t="str">
        <x:v>硅谷以外的科技、劳工、创作者、平台与政策报道</x:v>
      </x:c>
      <x:c r="I117" s="29" t="str">
        <x:v>en</x:v>
      </x:c>
      <x:c r="J117" s="29" t="str">
        <x:v>证据源</x:v>
      </x:c>
      <x:c r="K117" s="29" t="str">
        <x:v>Open</x:v>
      </x:c>
      <x:c r="L117" s="29" t="str">
        <x:v>每日数篇</x:v>
      </x:c>
      <x:c r="M117" s="29" t="str">
        <x:v>https://restofworld.org/</x:v>
      </x:c>
      <x:c r="N117" s="29" t="str">
        <x:v>https://restofworld.org/feed/latest/</x:v>
      </x:c>
      <x:c r="O117" s="29" t="str">
        <x:v>有效</x:v>
      </x:c>
      <x:c r="P117" s="72" t="n">
        <x:v>5</x:v>
      </x:c>
      <x:c r="Q117" s="72" t="n">
        <x:v>5</x:v>
      </x:c>
      <x:c r="R117" s="72" t="n">
        <x:v>5</x:v>
      </x:c>
      <x:c r="S117" s="72" t="n">
        <x:v>4</x:v>
      </x:c>
      <x:c r="T117" s="72" t="n">
        <x:v>4</x:v>
      </x:c>
      <x:c r="U117" s="72" t="n">
        <x:v>4</x:v>
      </x:c>
      <x:c r="V117" s="72" t="n">
        <x:v>5</x:v>
      </x:c>
      <x:c r="W117" s="29" t="str">
        <x:v>全球科技、平台经济、区域趋势</x:v>
      </x:c>
      <x:c r="X117" s="29" t="str">
        <x:v>亚洲、非洲、拉美等地区视角稀缺，全球采编覆盖强。</x:v>
      </x:c>
      <x:c r="Y117" s="29" t="str">
        <x:v>Latest Feed由官方Platforms页直接列出；另有多个主题Feed。</x:v>
      </x:c>
      <x:c r="Z117" s="75" t="b">
        <x:v>0</x:v>
      </x:c>
      <x:c r="AA117" s="29"/>
      <x:c r="AB117" s="29" t="str">
        <x:v>扩展调研：科技、科学与数据</x:v>
      </x:c>
      <x:c r="AC117" s="29" t="str">
        <x:v>https://restofworld.org/platforms/</x:v>
      </x:c>
      <x:c r="AD117" s="29" t="str">
        <x:v>2026-08-17</x:v>
      </x:c>
      <x:c r="AE117" s="29" t="n">
        <x:v>200</x:v>
      </x:c>
      <x:c r="AF117" s="29" t="str">
        <x:v>https://restofworld.org/feed/latest/</x:v>
      </x:c>
      <x:c r="AG117" s="29" t="str"/>
    </x:row>
    <x:row r="118" ht="44" customHeight="1">
      <x:c r="A118" s="29" t="str">
        <x:v>SRC-114</x:v>
      </x:c>
      <x:c r="B118" s="29" t="str">
        <x:f>IF(C118&gt;=93,"S",IF(C118&gt;=90,"A",IF(C118&gt;=80,"B","C")))</x:f>
        <x:v>S</x:v>
      </x:c>
      <x:c r="C118" s="72" t="n">
        <x:f>ROUND((P118*0.20+Q118*0.18+R118*0.20+S118*0.15+T118*0.12+U118*0.10+V118*0.05)*20,0)</x:f>
        <x:v>93</x:v>
      </x:c>
      <x:c r="D118" s="29" t="str">
        <x:v>科学与数学</x:v>
      </x:c>
      <x:c r="E118" s="29" t="str">
        <x:v>粒子物理与大科学装置</x:v>
      </x:c>
      <x:c r="F118" s="29" t="str">
        <x:v>CERN News</x:v>
      </x:c>
      <x:c r="G118" s="29" t="str"/>
      <x:c r="H118" s="29" t="str">
        <x:v>粒子物理、加速器、计算与机构新闻</x:v>
      </x:c>
      <x:c r="I118" s="29" t="str">
        <x:v>en</x:v>
      </x:c>
      <x:c r="J118" s="29" t="str">
        <x:v>证据源</x:v>
      </x:c>
      <x:c r="K118" s="29" t="str">
        <x:v>Open</x:v>
      </x:c>
      <x:c r="L118" s="29" t="str">
        <x:v>每周数次</x:v>
      </x:c>
      <x:c r="M118" s="29" t="str">
        <x:v>https://home.cern/news</x:v>
      </x:c>
      <x:c r="N118" s="29" t="str">
        <x:v>https://home.cern/feed/</x:v>
      </x:c>
      <x:c r="O118" s="29" t="str">
        <x:v>有效</x:v>
      </x:c>
      <x:c r="P118" s="72" t="n">
        <x:v>5</x:v>
      </x:c>
      <x:c r="Q118" s="72" t="n">
        <x:v>5</x:v>
      </x:c>
      <x:c r="R118" s="72" t="n">
        <x:v>5</x:v>
      </x:c>
      <x:c r="S118" s="72" t="n">
        <x:v>4</x:v>
      </x:c>
      <x:c r="T118" s="72" t="n">
        <x:v>4</x:v>
      </x:c>
      <x:c r="U118" s="72" t="n">
        <x:v>4</x:v>
      </x:c>
      <x:c r="V118" s="72" t="n">
        <x:v>5</x:v>
      </x:c>
      <x:c r="W118" s="29" t="str">
        <x:v>大科学装置、粒子物理、工程幕后</x:v>
      </x:c>
      <x:c r="X118" s="29" t="str">
        <x:v>CERN一手源，常把基础科学和大型工程结合起来。</x:v>
      </x:c>
      <x:c r="Y118" s="29" t="str">
        <x:v>CERN官方域名Feed地址经活跃Feed目录交叉核验。</x:v>
      </x:c>
      <x:c r="Z118" s="75" t="b">
        <x:v>0</x:v>
      </x:c>
      <x:c r="AA118" s="29"/>
      <x:c r="AB118" s="29" t="str">
        <x:v>扩展调研：科技、科学与数据</x:v>
      </x:c>
      <x:c r="AC118" s="29" t="str">
        <x:v>https://home.cern/api/news/news/feed.rss</x:v>
      </x:c>
      <x:c r="AD118" s="29" t="str">
        <x:v>2026-08-17</x:v>
      </x:c>
      <x:c r="AE118" s="29" t="n">
        <x:v>200</x:v>
      </x:c>
      <x:c r="AF118" s="29" t="str">
        <x:v>https://home.cern/feed/</x:v>
      </x:c>
      <x:c r="AG118" s="29" t="str"/>
    </x:row>
    <x:row r="119" ht="44" customHeight="1">
      <x:c r="A119" s="29" t="str">
        <x:v>SRC-115</x:v>
      </x:c>
      <x:c r="B119" s="29" t="str">
        <x:f>IF(C119&gt;=93,"S",IF(C119&gt;=90,"A",IF(C119&gt;=80,"B","C")))</x:f>
        <x:v>S</x:v>
      </x:c>
      <x:c r="C119" s="72" t="n">
        <x:f>ROUND((P119*0.20+Q119*0.18+R119*0.20+S119*0.15+T119*0.12+U119*0.10+V119*0.05)*20,0)</x:f>
        <x:v>93</x:v>
      </x:c>
      <x:c r="D119" s="29" t="str">
        <x:v>科学与数学</x:v>
      </x:c>
      <x:c r="E119" s="29" t="str">
        <x:v>开放生命科学</x:v>
      </x:c>
      <x:c r="F119" s="29" t="str">
        <x:v>eLife</x:v>
      </x:c>
      <x:c r="G119" s="29" t="str"/>
      <x:c r="H119" s="29" t="str">
        <x:v>生命科学论文、评审材料与研究说明</x:v>
      </x:c>
      <x:c r="I119" s="29" t="str">
        <x:v>en</x:v>
      </x:c>
      <x:c r="J119" s="29" t="str">
        <x:v>证据源</x:v>
      </x:c>
      <x:c r="K119" s="29" t="str">
        <x:v>Open</x:v>
      </x:c>
      <x:c r="L119" s="29" t="str">
        <x:v>近每日</x:v>
      </x:c>
      <x:c r="M119" s="29" t="str">
        <x:v>https://elifesciences.org/</x:v>
      </x:c>
      <x:c r="N119" s="29" t="str">
        <x:v>https://elifesciences.org/rss/recent.xml</x:v>
      </x:c>
      <x:c r="O119" s="29" t="str">
        <x:v>受限/反爬</x:v>
      </x:c>
      <x:c r="P119" s="72" t="n">
        <x:v>5</x:v>
      </x:c>
      <x:c r="Q119" s="72" t="n">
        <x:v>5</x:v>
      </x:c>
      <x:c r="R119" s="72" t="n">
        <x:v>5</x:v>
      </x:c>
      <x:c r="S119" s="72" t="n">
        <x:v>4</x:v>
      </x:c>
      <x:c r="T119" s="72" t="n">
        <x:v>4</x:v>
      </x:c>
      <x:c r="U119" s="72" t="n">
        <x:v>4</x:v>
      </x:c>
      <x:c r="V119" s="72" t="n">
        <x:v>5</x:v>
      </x:c>
      <x:c r="W119" s="29" t="str">
        <x:v>开放科学、论文方法、研究透明度</x:v>
      </x:c>
      <x:c r="X119" s="29" t="str">
        <x:v>开放获取，并能看到评审语境和研究方法。</x:v>
      </x:c>
      <x:c r="Y119" s="29" t="str">
        <x:v>Recent RSS端点已核验。；端点未返回可识别的 RSS/Atom XML；可能是反爬、登录页或旧地址。</x:v>
      </x:c>
      <x:c r="Z119" s="75" t="b">
        <x:v>0</x:v>
      </x:c>
      <x:c r="AA119" s="29"/>
      <x:c r="AB119" s="29" t="str">
        <x:v>扩展调研：科技、科学与数据</x:v>
      </x:c>
      <x:c r="AC119" s="29" t="str">
        <x:v>https://elifesciences.org/rss/recent.xml</x:v>
      </x:c>
      <x:c r="AD119" s="29" t="str">
        <x:v>2026-08-17</x:v>
      </x:c>
      <x:c r="AE119" s="29" t="n">
        <x:v>406</x:v>
      </x:c>
      <x:c r="AF119" s="29" t="str">
        <x:v>https://elifesciences.org/rss/recent.xml</x:v>
      </x:c>
      <x:c r="AG119" s="29" t="str"/>
    </x:row>
    <x:row r="120" ht="44" customHeight="1">
      <x:c r="A120" s="29" t="str">
        <x:v>SRC-116</x:v>
      </x:c>
      <x:c r="B120" s="29" t="str">
        <x:f>IF(C120&gt;=93,"S",IF(C120&gt;=90,"A",IF(C120&gt;=80,"B","C")))</x:f>
        <x:v>S</x:v>
      </x:c>
      <x:c r="C120" s="72" t="n">
        <x:f>ROUND((P120*0.20+Q120*0.18+R120*0.20+S120*0.15+T120*0.12+U120*0.10+V120*0.05)*20,0)</x:f>
        <x:v>93</x:v>
      </x:c>
      <x:c r="D120" s="29" t="str">
        <x:v>艺术、设计与建筑</x:v>
      </x:c>
      <x:c r="E120" s="29" t="str">
        <x:v>艺术、建筑与地名权威词表</x:v>
      </x:c>
      <x:c r="F120" s="29" t="str">
        <x:v>Getty Vocabularies</x:v>
      </x:c>
      <x:c r="G120" s="29" t="str"/>
      <x:c r="H120" s="29" t="str">
        <x:v>知识组织数据 / SPARQL</x:v>
      </x:c>
      <x:c r="I120" s="29" t="str">
        <x:v>en</x:v>
      </x:c>
      <x:c r="J120" s="29" t="str">
        <x:v>证据源</x:v>
      </x:c>
      <x:c r="K120" s="29" t="str">
        <x:v>Open</x:v>
      </x:c>
      <x:c r="L120" s="29" t="str">
        <x:v>持续更新</x:v>
      </x:c>
      <x:c r="M120" s="29" t="str">
        <x:v>https://www.getty.edu/research/tools/vocabularies/</x:v>
      </x:c>
      <x:c r="N120" s="29" t="str">
        <x:v>https://vocab.getty.edu/</x:v>
      </x:c>
      <x:c r="O120" s="29" t="str">
        <x:v>API入口</x:v>
      </x:c>
      <x:c r="P120" s="72" t="n">
        <x:v>5</x:v>
      </x:c>
      <x:c r="Q120" s="72" t="n">
        <x:v>5</x:v>
      </x:c>
      <x:c r="R120" s="72" t="n">
        <x:v>5</x:v>
      </x:c>
      <x:c r="S120" s="72" t="n">
        <x:v>4</x:v>
      </x:c>
      <x:c r="T120" s="72" t="n">
        <x:v>4</x:v>
      </x:c>
      <x:c r="U120" s="72" t="n">
        <x:v>4</x:v>
      </x:c>
      <x:c r="V120" s="72" t="n">
        <x:v>5</x:v>
      </x:c>
      <x:c r="W120" s="29" t="str">
        <x:v>术语解释、艺术家/地点关系图</x:v>
      </x:c>
      <x:c r="X120" s="29" t="str">
        <x:v>AAT、ULAN、TGN 等适合规范艺术史术语、人物和地名。</x:v>
      </x:c>
      <x:c r="Y120" s="29" t="str">
        <x:v>使用前核对数据口径、更新时间、许可与引用格式。；未按 RSS/Atom 校验。</x:v>
      </x:c>
      <x:c r="Z120" s="75" t="b">
        <x:v>0</x:v>
      </x:c>
      <x:c r="AA120" s="29"/>
      <x:c r="AB120" s="29" t="str">
        <x:v>扩展调研：数据库、资料库与平台</x:v>
      </x:c>
      <x:c r="AC120" s="29" t="str">
        <x:v>https://www.getty.edu/research/tools/vocabularies/</x:v>
      </x:c>
      <x:c r="AD120" s="29" t="str">
        <x:v>2026-08-17</x:v>
      </x:c>
      <x:c r="AE120" s="29"/>
      <x:c r="AF120" s="29" t="str">
        <x:v>https://vocab.getty.edu/</x:v>
      </x:c>
      <x:c r="AG120" s="29" t="str"/>
    </x:row>
    <x:row r="121" ht="44" customHeight="1">
      <x:c r="A121" s="29" t="str">
        <x:v>SRC-117</x:v>
      </x:c>
      <x:c r="B121" s="29" t="str">
        <x:f>IF(C121&gt;=93,"S",IF(C121&gt;=90,"A",IF(C121&gt;=80,"B","C")))</x:f>
        <x:v>S</x:v>
      </x:c>
      <x:c r="C121" s="72" t="n">
        <x:f>ROUND((P121*0.20+Q121*0.18+R121*0.20+S121*0.15+T121*0.12+U121*0.10+V121*0.05)*20,0)</x:f>
        <x:v>93</x:v>
      </x:c>
      <x:c r="D121" s="29" t="str">
        <x:v>艺术、设计与建筑</x:v>
      </x:c>
      <x:c r="E121" s="29" t="str">
        <x:v>大学博物馆馆藏</x:v>
      </x:c>
      <x:c r="F121" s="29" t="str">
        <x:v>Harvard Art Museums API</x:v>
      </x:c>
      <x:c r="G121" s="29" t="str"/>
      <x:c r="H121" s="29" t="str">
        <x:v>博物馆馆藏 API</x:v>
      </x:c>
      <x:c r="I121" s="29" t="str">
        <x:v>en</x:v>
      </x:c>
      <x:c r="J121" s="29" t="str">
        <x:v>证据源</x:v>
      </x:c>
      <x:c r="K121" s="29" t="str">
        <x:v>Freemium</x:v>
      </x:c>
      <x:c r="L121" s="29" t="str">
        <x:v>持续更新</x:v>
      </x:c>
      <x:c r="M121" s="29" t="str">
        <x:v>https://harvardartmuseums.org/collections</x:v>
      </x:c>
      <x:c r="N121" s="29" t="str">
        <x:v>https://api.harvardartmuseums.org/</x:v>
      </x:c>
      <x:c r="O121" s="29" t="str">
        <x:v>API入口</x:v>
      </x:c>
      <x:c r="P121" s="72" t="n">
        <x:v>5</x:v>
      </x:c>
      <x:c r="Q121" s="72" t="n">
        <x:v>5</x:v>
      </x:c>
      <x:c r="R121" s="72" t="n">
        <x:v>5</x:v>
      </x:c>
      <x:c r="S121" s="72" t="n">
        <x:v>4</x:v>
      </x:c>
      <x:c r="T121" s="72" t="n">
        <x:v>5</x:v>
      </x:c>
      <x:c r="U121" s="72" t="n">
        <x:v>4</x:v>
      </x:c>
      <x:c r="V121" s="72" t="n">
        <x:v>3</x:v>
      </x:c>
      <x:c r="W121" s="29" t="str">
        <x:v>艺术研究、材料与修复故事</x:v>
      </x:c>
      <x:c r="X121" s="29" t="str">
        <x:v>艺术品、展览、人物与技术分析元数据丰富。</x:v>
      </x:c>
      <x:c r="Y121" s="29" t="str">
        <x:v>API 需免费密钥；逐项核对图像权利。；未按 RSS/Atom 校验。</x:v>
      </x:c>
      <x:c r="Z121" s="75" t="b">
        <x:v>0</x:v>
      </x:c>
      <x:c r="AA121" s="29"/>
      <x:c r="AB121" s="29" t="str">
        <x:v>扩展调研：数据库、资料库与平台</x:v>
      </x:c>
      <x:c r="AC121" s="29" t="str">
        <x:v>https://harvardartmuseums.org/collections</x:v>
      </x:c>
      <x:c r="AD121" s="29" t="str">
        <x:v>2026-08-17</x:v>
      </x:c>
      <x:c r="AE121" s="29"/>
      <x:c r="AF121" s="29" t="str">
        <x:v>https://api.harvardartmuseums.org/</x:v>
      </x:c>
      <x:c r="AG121" s="29" t="str"/>
    </x:row>
    <x:row r="122" ht="44" customHeight="1">
      <x:c r="A122" s="29" t="str">
        <x:v>SRC-118</x:v>
      </x:c>
      <x:c r="B122" s="29" t="str">
        <x:f>IF(C122&gt;=93,"S",IF(C122&gt;=90,"A",IF(C122&gt;=80,"B","C")))</x:f>
        <x:v>A</x:v>
      </x:c>
      <x:c r="C122" s="72" t="n">
        <x:f>ROUND((P122*0.20+Q122*0.18+R122*0.20+S122*0.15+T122*0.12+U122*0.10+V122*0.05)*20,0)</x:f>
        <x:v>92</x:v>
      </x:c>
      <x:c r="D122" s="29" t="str">
        <x:v>健康与福祉</x:v>
      </x:c>
      <x:c r="E122" s="29" t="str">
        <x:v>营养综述</x:v>
      </x:c>
      <x:c r="F122" s="29" t="str">
        <x:v>Advances in Nutrition</x:v>
      </x:c>
      <x:c r="G122" s="29" t="str"/>
      <x:c r="H122" s="29" t="str">
        <x:v>营养学综述、系统综述、方法与政策</x:v>
      </x:c>
      <x:c r="I122" s="29" t="str">
        <x:v>en</x:v>
      </x:c>
      <x:c r="J122" s="29" t="str">
        <x:v>证据源</x:v>
      </x:c>
      <x:c r="K122" s="29" t="str">
        <x:v>Mixed</x:v>
      </x:c>
      <x:c r="L122" s="29" t="str">
        <x:v>每周多次</x:v>
      </x:c>
      <x:c r="M122" s="29" t="str">
        <x:v>https://advances.nutrition.org/</x:v>
      </x:c>
      <x:c r="N122" s="29" t="str">
        <x:v>https://advances.nutrition.org/action/showFeed?jc=advnut&amp;type=etoc&amp;feed=rss</x:v>
      </x:c>
      <x:c r="O122" s="29" t="str">
        <x:v>有效</x:v>
      </x:c>
      <x:c r="P122" s="72" t="n">
        <x:v>5</x:v>
      </x:c>
      <x:c r="Q122" s="72" t="n">
        <x:v>5</x:v>
      </x:c>
      <x:c r="R122" s="72" t="n">
        <x:v>5</x:v>
      </x:c>
      <x:c r="S122" s="72" t="n">
        <x:v>4</x:v>
      </x:c>
      <x:c r="T122" s="72" t="n">
        <x:v>4</x:v>
      </x:c>
      <x:c r="U122" s="72" t="n">
        <x:v>4</x:v>
      </x:c>
      <x:c r="V122" s="72" t="n">
        <x:v>4</x:v>
      </x:c>
      <x:c r="W122" s="29" t="str">
        <x:v>营养证据综述、争议梳理、研究缺口</x:v>
      </x:c>
      <x:c r="X122" s="29" t="str">
        <x:v>以综述为主，有助于避免被单篇营养研究或营销性结论带偏。</x:v>
      </x:c>
      <x:c r="Y122" s="29" t="str">
        <x:v>2026-08-17 官方 RSS 返回 XML；主页自动请求触发 403。检查综述类型、纳入研究质量和利益冲突；不替代个体营养建议。</x:v>
      </x:c>
      <x:c r="Z122" s="75" t="b">
        <x:v>0</x:v>
      </x:c>
      <x:c r="AA122" s="29"/>
      <x:c r="AB122" s="29" t="str">
        <x:v>扩展调研：健康与福祉</x:v>
      </x:c>
      <x:c r="AC122" s="29" t="str">
        <x:v>https://advances.nutrition.org/</x:v>
      </x:c>
      <x:c r="AD122" s="29" t="str">
        <x:v>2026-08-17</x:v>
      </x:c>
      <x:c r="AE122" s="29" t="n">
        <x:v>200</x:v>
      </x:c>
      <x:c r="AF122" s="29" t="str">
        <x:v>https://advances.nutrition.org/action/showFeed?jc=advnut&amp;type=etoc&amp;feed=rss</x:v>
      </x:c>
      <x:c r="AG122" s="29" t="str"/>
    </x:row>
    <x:row r="123" ht="44" customHeight="1">
      <x:c r="A123" s="29" t="str">
        <x:v>SRC-119</x:v>
      </x:c>
      <x:c r="B123" s="29" t="str">
        <x:f>IF(C123&gt;=93,"S",IF(C123&gt;=90,"A",IF(C123&gt;=80,"B","C")))</x:f>
        <x:v>A</x:v>
      </x:c>
      <x:c r="C123" s="72" t="n">
        <x:f>ROUND((P123*0.20+Q123*0.18+R123*0.20+S123*0.15+T123*0.12+U123*0.10+V123*0.05)*20,0)</x:f>
        <x:v>92</x:v>
      </x:c>
      <x:c r="D123" s="29" t="str">
        <x:v>健康与福祉</x:v>
      </x:c>
      <x:c r="E123" s="29" t="str">
        <x:v>公共卫生期刊</x:v>
      </x:c>
      <x:c r="F123" s="29" t="str">
        <x:v>American Journal of Public Health</x:v>
      </x:c>
      <x:c r="G123" s="29" t="str"/>
      <x:c r="H123" s="29" t="str">
        <x:v>公共卫生研究、政策、健康公平与社区干预</x:v>
      </x:c>
      <x:c r="I123" s="29" t="str">
        <x:v>en</x:v>
      </x:c>
      <x:c r="J123" s="29" t="str">
        <x:v>证据源</x:v>
      </x:c>
      <x:c r="K123" s="29" t="str">
        <x:v>Mixed</x:v>
      </x:c>
      <x:c r="L123" s="29" t="str">
        <x:v>每日在线、月刊</x:v>
      </x:c>
      <x:c r="M123" s="29" t="str">
        <x:v>https://ajph.aphapublications.org/</x:v>
      </x:c>
      <x:c r="N123" s="29" t="str">
        <x:v>https://ajph.aphapublications.org/action/showFeed?jc=ajph&amp;type=etoc&amp;feed=rss</x:v>
      </x:c>
      <x:c r="O123" s="29" t="str">
        <x:v>有效</x:v>
      </x:c>
      <x:c r="P123" s="72" t="n">
        <x:v>5</x:v>
      </x:c>
      <x:c r="Q123" s="72" t="n">
        <x:v>5</x:v>
      </x:c>
      <x:c r="R123" s="72" t="n">
        <x:v>5</x:v>
      </x:c>
      <x:c r="S123" s="72" t="n">
        <x:v>4</x:v>
      </x:c>
      <x:c r="T123" s="72" t="n">
        <x:v>4</x:v>
      </x:c>
      <x:c r="U123" s="72" t="n">
        <x:v>4</x:v>
      </x:c>
      <x:c r="V123" s="72" t="n">
        <x:v>4</x:v>
      </x:c>
      <x:c r="W123" s="29" t="str">
        <x:v>健康公平、政策评估、社会决定因素</x:v>
      </x:c>
      <x:c r="X123" s="29" t="str">
        <x:v>适合追踪健康的社会决定因素、政策效果与人群干预。</x:v>
      </x:c>
      <x:c r="Y123" s="29" t="str">
        <x:v>2026-08-17 官方 RSS 返回 XML；主页自动请求触发 403。观察性与政策研究需避免把相关性写成个体因果；不替代个体医疗建议。</x:v>
      </x:c>
      <x:c r="Z123" s="75" t="b">
        <x:v>0</x:v>
      </x:c>
      <x:c r="AA123" s="29"/>
      <x:c r="AB123" s="29" t="str">
        <x:v>扩展调研：健康与福祉</x:v>
      </x:c>
      <x:c r="AC123" s="29" t="str">
        <x:v>https://ajph.aphapublications.org/</x:v>
      </x:c>
      <x:c r="AD123" s="29" t="str">
        <x:v>2026-08-17</x:v>
      </x:c>
      <x:c r="AE123" s="29" t="n">
        <x:v>200</x:v>
      </x:c>
      <x:c r="AF123" s="29" t="str">
        <x:v>https://ajph.aphapublications.org/action/showFeed?jc=ajph&amp;type=etoc&amp;feed=rss</x:v>
      </x:c>
      <x:c r="AG123" s="29" t="str"/>
    </x:row>
    <x:row r="124" ht="44" customHeight="1">
      <x:c r="A124" s="29" t="str">
        <x:v>SRC-120</x:v>
      </x:c>
      <x:c r="B124" s="29" t="str">
        <x:f>IF(C124&gt;=93,"S",IF(C124&gt;=90,"A",IF(C124&gt;=80,"B","C")))</x:f>
        <x:v>A</x:v>
      </x:c>
      <x:c r="C124" s="72" t="n">
        <x:f>ROUND((P124*0.20+Q124*0.18+R124*0.20+S124*0.15+T124*0.12+U124*0.10+V124*0.05)*20,0)</x:f>
        <x:v>92</x:v>
      </x:c>
      <x:c r="D124" s="29" t="str">
        <x:v>健康与福祉</x:v>
      </x:c>
      <x:c r="E124" s="29" t="str">
        <x:v>内科与临床指南</x:v>
      </x:c>
      <x:c r="F124" s="29" t="str">
        <x:v>Annals of Internal Medicine</x:v>
      </x:c>
      <x:c r="G124" s="29" t="str"/>
      <x:c r="H124" s="29" t="str">
        <x:v>临床研究、系统综述、ACP 指南与医学实践</x:v>
      </x:c>
      <x:c r="I124" s="29" t="str">
        <x:v>en</x:v>
      </x:c>
      <x:c r="J124" s="29" t="str">
        <x:v>证据源</x:v>
      </x:c>
      <x:c r="K124" s="29" t="str">
        <x:v>Mixed</x:v>
      </x:c>
      <x:c r="L124" s="29" t="str">
        <x:v>每日在线、月刊</x:v>
      </x:c>
      <x:c r="M124" s="29" t="str">
        <x:v>https://www.acpjournals.org/journal/aim</x:v>
      </x:c>
      <x:c r="N124" s="29" t="str">
        <x:v>https://www.acpjournals.org/action/showFeed?jc=aim&amp;type=etoc&amp;feed=rss</x:v>
      </x:c>
      <x:c r="O124" s="29" t="str">
        <x:v>有效</x:v>
      </x:c>
      <x:c r="P124" s="72" t="n">
        <x:v>5</x:v>
      </x:c>
      <x:c r="Q124" s="72" t="n">
        <x:v>5</x:v>
      </x:c>
      <x:c r="R124" s="72" t="n">
        <x:v>5</x:v>
      </x:c>
      <x:c r="S124" s="72" t="n">
        <x:v>4</x:v>
      </x:c>
      <x:c r="T124" s="72" t="n">
        <x:v>4</x:v>
      </x:c>
      <x:c r="U124" s="72" t="n">
        <x:v>4</x:v>
      </x:c>
      <x:c r="V124" s="72" t="n">
        <x:v>4</x:v>
      </x:c>
      <x:c r="W124" s="29" t="str">
        <x:v>临床指南、诊疗证据、方法与实践差距</x:v>
      </x:c>
      <x:c r="X124" s="29" t="str">
        <x:v>内科临床决策和指南的重要来源，兼顾研究与实践。</x:v>
      </x:c>
      <x:c r="Y124" s="29" t="str">
        <x:v>2026-08-17 官方 RSS 返回可解析 XML；主页自动请求触发 403。引用指南时核对发布日期和更新状态；不替代个体医疗建议。</x:v>
      </x:c>
      <x:c r="Z124" s="75" t="b">
        <x:v>0</x:v>
      </x:c>
      <x:c r="AA124" s="29"/>
      <x:c r="AB124" s="29" t="str">
        <x:v>扩展调研：健康与福祉</x:v>
      </x:c>
      <x:c r="AC124" s="29" t="str">
        <x:v>https://www.acpjournals.org/journal/aim</x:v>
      </x:c>
      <x:c r="AD124" s="29" t="str">
        <x:v>2026-08-17</x:v>
      </x:c>
      <x:c r="AE124" s="29" t="n">
        <x:v>200</x:v>
      </x:c>
      <x:c r="AF124" s="29" t="str">
        <x:v>https://www.acpjournals.org/action/showFeed?jc=aim&amp;type=etoc&amp;feed=rss</x:v>
      </x:c>
      <x:c r="AG124" s="29" t="str"/>
    </x:row>
    <x:row r="125" ht="44" customHeight="1">
      <x:c r="A125" s="29" t="str">
        <x:v>SRC-121</x:v>
      </x:c>
      <x:c r="B125" s="29" t="str">
        <x:f>IF(C125&gt;=93,"S",IF(C125&gt;=90,"A",IF(C125&gt;=80,"B","C")))</x:f>
        <x:v>A</x:v>
      </x:c>
      <x:c r="C125" s="72" t="n">
        <x:f>ROUND((P125*0.20+Q125*0.18+R125*0.20+S125*0.15+T125*0.12+U125*0.10+V125*0.05)*20,0)</x:f>
        <x:v>92</x:v>
      </x:c>
      <x:c r="D125" s="29" t="str">
        <x:v>健康与福祉</x:v>
      </x:c>
      <x:c r="E125" s="29" t="str">
        <x:v>运动医学研究</x:v>
      </x:c>
      <x:c r="F125" s="29" t="str">
        <x:v>British Journal of Sports Medicine</x:v>
      </x:c>
      <x:c r="G125" s="29" t="str"/>
      <x:c r="H125" s="29" t="str">
        <x:v>运动医学、伤病预防、运动表现、系统综述与共识</x:v>
      </x:c>
      <x:c r="I125" s="29" t="str">
        <x:v>en</x:v>
      </x:c>
      <x:c r="J125" s="29" t="str">
        <x:v>证据源</x:v>
      </x:c>
      <x:c r="K125" s="29" t="str">
        <x:v>Mixed</x:v>
      </x:c>
      <x:c r="L125" s="29" t="str">
        <x:v>每日在线、半月刊</x:v>
      </x:c>
      <x:c r="M125" s="29" t="str">
        <x:v>https://bjsm.bmj.com/</x:v>
      </x:c>
      <x:c r="N125" s="29" t="str">
        <x:v>https://bjsm.bmj.com/rss/recent.xml</x:v>
      </x:c>
      <x:c r="O125" s="29" t="str">
        <x:v>超时/网络错误</x:v>
      </x:c>
      <x:c r="P125" s="72" t="n">
        <x:v>5</x:v>
      </x:c>
      <x:c r="Q125" s="72" t="n">
        <x:v>5</x:v>
      </x:c>
      <x:c r="R125" s="72" t="n">
        <x:v>5</x:v>
      </x:c>
      <x:c r="S125" s="72" t="n">
        <x:v>4</x:v>
      </x:c>
      <x:c r="T125" s="72" t="n">
        <x:v>4</x:v>
      </x:c>
      <x:c r="U125" s="72" t="n">
        <x:v>4</x:v>
      </x:c>
      <x:c r="V125" s="72" t="n">
        <x:v>4</x:v>
      </x:c>
      <x:c r="W125" s="29" t="str">
        <x:v>运动证据、伤病预防、共识声明、训练迷思</x:v>
      </x:c>
      <x:c r="X125" s="29" t="str">
        <x:v>运动健康、体力活动与伤病研究的高影响同行评审来源。</x:v>
      </x:c>
      <x:c r="Y125" s="29" t="str">
        <x:v>官方 RSS 路径已确认；2026-08-17 自动请求返回 429/403 反爬。发帖应区分精英运动员与一般人群，并避免把研究转成个体训练处方。；HTTP 429</x:v>
      </x:c>
      <x:c r="Z125" s="75" t="b">
        <x:v>0</x:v>
      </x:c>
      <x:c r="AA125" s="29"/>
      <x:c r="AB125" s="29" t="str">
        <x:v>扩展调研：健康与福祉</x:v>
      </x:c>
      <x:c r="AC125" s="29" t="str">
        <x:v>https://bjsm.bmj.com/</x:v>
      </x:c>
      <x:c r="AD125" s="29" t="str">
        <x:v>2026-08-17</x:v>
      </x:c>
      <x:c r="AE125" s="29"/>
      <x:c r="AF125" s="29" t="str">
        <x:v>https://bjsm.bmj.com/rss/recent.xml</x:v>
      </x:c>
      <x:c r="AG125" s="29" t="str"/>
    </x:row>
    <x:row r="126" ht="44" customHeight="1">
      <x:c r="A126" s="29" t="str">
        <x:v>SRC-122</x:v>
      </x:c>
      <x:c r="B126" s="29" t="str">
        <x:f>IF(C126&gt;=93,"S",IF(C126&gt;=90,"A",IF(C126&gt;=80,"B","C")))</x:f>
        <x:v>A</x:v>
      </x:c>
      <x:c r="C126" s="72" t="n">
        <x:f>ROUND((P126*0.20+Q126*0.18+R126*0.20+S126*0.15+T126*0.12+U126*0.10+V126*0.05)*20,0)</x:f>
        <x:v>92</x:v>
      </x:c>
      <x:c r="D126" s="29" t="str">
        <x:v>健康与福祉</x:v>
      </x:c>
      <x:c r="E126" s="29" t="str">
        <x:v>临床心理科学</x:v>
      </x:c>
      <x:c r="F126" s="29" t="str">
        <x:v>Clinical Psychological Science</x:v>
      </x:c>
      <x:c r="G126" s="29" t="str"/>
      <x:c r="H126" s="29" t="str">
        <x:v>临床心理、测量、风险、干预与可重复性研究</x:v>
      </x:c>
      <x:c r="I126" s="29" t="str">
        <x:v>en</x:v>
      </x:c>
      <x:c r="J126" s="29" t="str">
        <x:v>证据源</x:v>
      </x:c>
      <x:c r="K126" s="29" t="str">
        <x:v>Mixed</x:v>
      </x:c>
      <x:c r="L126" s="29" t="str">
        <x:v>每周多次</x:v>
      </x:c>
      <x:c r="M126" s="29" t="str">
        <x:v>https://journals.sagepub.com/home/cpx</x:v>
      </x:c>
      <x:c r="N126" s="29" t="str">
        <x:v>https://journals.sagepub.com/action/showFeed?jc=cpx&amp;type=etoc&amp;feed=rss</x:v>
      </x:c>
      <x:c r="O126" s="29" t="str">
        <x:v>有效</x:v>
      </x:c>
      <x:c r="P126" s="72" t="n">
        <x:v>5</x:v>
      </x:c>
      <x:c r="Q126" s="72" t="n">
        <x:v>5</x:v>
      </x:c>
      <x:c r="R126" s="72" t="n">
        <x:v>5</x:v>
      </x:c>
      <x:c r="S126" s="72" t="n">
        <x:v>4</x:v>
      </x:c>
      <x:c r="T126" s="72" t="n">
        <x:v>4</x:v>
      </x:c>
      <x:c r="U126" s="72" t="n">
        <x:v>4</x:v>
      </x:c>
      <x:c r="V126" s="72" t="n">
        <x:v>4</x:v>
      </x:c>
      <x:c r="W126" s="29" t="str">
        <x:v>心理测量、干预证据、方法与可重复性</x:v>
      </x:c>
      <x:c r="X126" s="29" t="str">
        <x:v>适合追踪心理健康领域的机制、测量和方法学更新。</x:v>
      </x:c>
      <x:c r="Y126" s="29" t="str">
        <x:v>2026-08-17 官方 RSS 返回可解析 XML；主页自动请求触发 403。量表或研究结果不能直接用作个人诊断；不替代合格专业人士评估。</x:v>
      </x:c>
      <x:c r="Z126" s="75" t="b">
        <x:v>0</x:v>
      </x:c>
      <x:c r="AA126" s="29"/>
      <x:c r="AB126" s="29" t="str">
        <x:v>扩展调研：健康与福祉</x:v>
      </x:c>
      <x:c r="AC126" s="29" t="str">
        <x:v>https://journals.sagepub.com/home/cpx</x:v>
      </x:c>
      <x:c r="AD126" s="29" t="str">
        <x:v>2026-08-17</x:v>
      </x:c>
      <x:c r="AE126" s="29" t="n">
        <x:v>200</x:v>
      </x:c>
      <x:c r="AF126" s="29" t="str">
        <x:v>https://journals.sagepub.com/action/showFeed?jc=cpx&amp;type=etoc&amp;feed=rss</x:v>
      </x:c>
      <x:c r="AG126" s="29" t="str"/>
    </x:row>
    <x:row r="127" ht="44" customHeight="1">
      <x:c r="A127" s="29" t="str">
        <x:v>SRC-123</x:v>
      </x:c>
      <x:c r="B127" s="29" t="str">
        <x:f>IF(C127&gt;=93,"S",IF(C127&gt;=90,"A",IF(C127&gt;=80,"B","C")))</x:f>
        <x:v>A</x:v>
      </x:c>
      <x:c r="C127" s="72" t="n">
        <x:f>ROUND((P127*0.20+Q127*0.18+R127*0.20+S127*0.15+T127*0.12+U127*0.10+V127*0.05)*20,0)</x:f>
        <x:v>92</x:v>
      </x:c>
      <x:c r="D127" s="29" t="str">
        <x:v>健康与福祉</x:v>
      </x:c>
      <x:c r="E127" s="29" t="str">
        <x:v>系统综述与通俗摘要</x:v>
      </x:c>
      <x:c r="F127" s="29" t="str">
        <x:v>Cochrane Evidence</x:v>
      </x:c>
      <x:c r="G127" s="29" t="str"/>
      <x:c r="H127" s="29" t="str">
        <x:v>系统综述、Plain Language Summary、证据不确定性</x:v>
      </x:c>
      <x:c r="I127" s="29" t="str">
        <x:v>en, multilingual</x:v>
      </x:c>
      <x:c r="J127" s="29" t="str">
        <x:v>证据源</x:v>
      </x:c>
      <x:c r="K127" s="29" t="str">
        <x:v>Mixed</x:v>
      </x:c>
      <x:c r="L127" s="29" t="str">
        <x:v>持续更新</x:v>
      </x:c>
      <x:c r="M127" s="29" t="str">
        <x:v>https://www.cochrane.org/evidence</x:v>
      </x:c>
      <x:c r="N127" s="29" t="str"/>
      <x:c r="O127" s="29" t="str">
        <x:v>无RSS/API入口</x:v>
      </x:c>
      <x:c r="P127" s="72" t="n">
        <x:v>5</x:v>
      </x:c>
      <x:c r="Q127" s="72" t="n">
        <x:v>5</x:v>
      </x:c>
      <x:c r="R127" s="72" t="n">
        <x:v>5</x:v>
      </x:c>
      <x:c r="S127" s="72" t="n">
        <x:v>4</x:v>
      </x:c>
      <x:c r="T127" s="72" t="n">
        <x:v>4</x:v>
      </x:c>
      <x:c r="U127" s="72" t="n">
        <x:v>4</x:v>
      </x:c>
      <x:c r="V127" s="72" t="n">
        <x:v>4</x:v>
      </x:c>
      <x:c r="W127" s="29" t="str">
        <x:v>疗效证据、利弊权衡、证据是否确定</x:v>
      </x:c>
      <x:c r="X127" s="29" t="str">
        <x:v>治疗、预防和护理问题的高等级证据入口，强调系统检索与综合。</x:v>
      </x:c>
      <x:c r="Y127" s="29" t="str">
        <x:v>2026-08-17 实测主页 200；未收录统一证据 RSS，建议网页检索并引用具体综述和最新版本。系统综述也需检查日期、人群与异质性；不替代个体医疗建议。</x:v>
      </x:c>
      <x:c r="Z127" s="75" t="b">
        <x:v>0</x:v>
      </x:c>
      <x:c r="AA127" s="29"/>
      <x:c r="AB127" s="29" t="str">
        <x:v>扩展调研：健康与福祉</x:v>
      </x:c>
      <x:c r="AC127" s="29" t="str">
        <x:v>https://www.cochrane.org/evidence</x:v>
      </x:c>
      <x:c r="AD127" s="29" t="str">
        <x:v>2026-08-17</x:v>
      </x:c>
      <x:c r="AE127" s="29"/>
      <x:c r="AF127" s="29" t="str"/>
      <x:c r="AG127" s="29" t="str"/>
    </x:row>
    <x:row r="128" ht="44" customHeight="1">
      <x:c r="A128" s="29" t="str">
        <x:v>SRC-124</x:v>
      </x:c>
      <x:c r="B128" s="29" t="str">
        <x:f>IF(C128&gt;=93,"S",IF(C128&gt;=90,"A",IF(C128&gt;=80,"B","C")))</x:f>
        <x:v>A</x:v>
      </x:c>
      <x:c r="C128" s="72" t="n">
        <x:f>ROUND((P128*0.20+Q128*0.18+R128*0.20+S128*0.15+T128*0.12+U128*0.10+V128*0.05)*20,0)</x:f>
        <x:v>92</x:v>
      </x:c>
      <x:c r="D128" s="29" t="str">
        <x:v>健康与福祉</x:v>
      </x:c>
      <x:c r="E128" s="29" t="str">
        <x:v>公共卫生期刊</x:v>
      </x:c>
      <x:c r="F128" s="29" t="str">
        <x:v>European Journal of Public Health</x:v>
      </x:c>
      <x:c r="G128" s="29" t="str"/>
      <x:c r="H128" s="29" t="str">
        <x:v>欧洲公共卫生、政策、流行病学与健康公平研究</x:v>
      </x:c>
      <x:c r="I128" s="29" t="str">
        <x:v>en</x:v>
      </x:c>
      <x:c r="J128" s="29" t="str">
        <x:v>证据源</x:v>
      </x:c>
      <x:c r="K128" s="29" t="str">
        <x:v>Mixed</x:v>
      </x:c>
      <x:c r="L128" s="29" t="str">
        <x:v>每周多次</x:v>
      </x:c>
      <x:c r="M128" s="29" t="str">
        <x:v>https://academic.oup.com/eurpub</x:v>
      </x:c>
      <x:c r="N128" s="29" t="str">
        <x:v>https://academic.oup.com/rss/site_5381/advanceAccess_3242.xml</x:v>
      </x:c>
      <x:c r="O128" s="29" t="str">
        <x:v>有效</x:v>
      </x:c>
      <x:c r="P128" s="72" t="n">
        <x:v>5</x:v>
      </x:c>
      <x:c r="Q128" s="72" t="n">
        <x:v>5</x:v>
      </x:c>
      <x:c r="R128" s="72" t="n">
        <x:v>5</x:v>
      </x:c>
      <x:c r="S128" s="72" t="n">
        <x:v>4</x:v>
      </x:c>
      <x:c r="T128" s="72" t="n">
        <x:v>4</x:v>
      </x:c>
      <x:c r="U128" s="72" t="n">
        <x:v>4</x:v>
      </x:c>
      <x:c r="V128" s="72" t="n">
        <x:v>4</x:v>
      </x:c>
      <x:c r="W128" s="29" t="str">
        <x:v>跨国比较、政策效果、健康不平等</x:v>
      </x:c>
      <x:c r="X128" s="29" t="str">
        <x:v>提供欧洲多国比较和公共卫生政策实施的同行评审证据。</x:v>
      </x:c>
      <x:c r="Y128" s="29" t="str">
        <x:v>2026-08-17 官方 Advance Articles RSS 返回可解析 XML；主页自动请求触发 403。留意研究地区与制度背景；不替代个体医疗建议。</x:v>
      </x:c>
      <x:c r="Z128" s="75" t="b">
        <x:v>0</x:v>
      </x:c>
      <x:c r="AA128" s="29"/>
      <x:c r="AB128" s="29" t="str">
        <x:v>扩展调研：健康与福祉</x:v>
      </x:c>
      <x:c r="AC128" s="29" t="str">
        <x:v>https://academic.oup.com/eurpub/advance-articles</x:v>
      </x:c>
      <x:c r="AD128" s="29" t="str">
        <x:v>2026-08-17</x:v>
      </x:c>
      <x:c r="AE128" s="29" t="n">
        <x:v>200</x:v>
      </x:c>
      <x:c r="AF128" s="29" t="str">
        <x:v>https://academic.oup.com/rss/site_5381/advanceAccess_3242.xml</x:v>
      </x:c>
      <x:c r="AG128" s="29" t="str"/>
    </x:row>
    <x:row r="129" ht="44" customHeight="1">
      <x:c r="A129" s="29" t="str">
        <x:v>SRC-125</x:v>
      </x:c>
      <x:c r="B129" s="29" t="str">
        <x:f>IF(C129&gt;=93,"S",IF(C129&gt;=90,"A",IF(C129&gt;=80,"B","C")))</x:f>
        <x:v>A</x:v>
      </x:c>
      <x:c r="C129" s="72" t="n">
        <x:f>ROUND((P129*0.20+Q129*0.18+R129*0.20+S129*0.15+T129*0.12+U129*0.10+V129*0.05)*20,0)</x:f>
        <x:v>92</x:v>
      </x:c>
      <x:c r="D129" s="29" t="str">
        <x:v>健康与福祉</x:v>
      </x:c>
      <x:c r="E129" s="29" t="str">
        <x:v>疾病负担与风险因素</x:v>
      </x:c>
      <x:c r="F129" s="29" t="str">
        <x:v>IHME Global Burden of Disease</x:v>
      </x:c>
      <x:c r="G129" s="29" t="str"/>
      <x:c r="H129" s="29" t="str">
        <x:v>死亡、伤残、风险因素、DALY 与健康预测数据工具</x:v>
      </x:c>
      <x:c r="I129" s="29" t="str">
        <x:v>en</x:v>
      </x:c>
      <x:c r="J129" s="29" t="str">
        <x:v>证据源</x:v>
      </x:c>
      <x:c r="K129" s="29" t="str">
        <x:v>Open for non-commercial use</x:v>
      </x:c>
      <x:c r="L129" s="29" t="str">
        <x:v>版本化更新</x:v>
      </x:c>
      <x:c r="M129" s="29" t="str">
        <x:v>https://www.healthdata.org/research-analysis/gbd</x:v>
      </x:c>
      <x:c r="N129" s="29" t="str"/>
      <x:c r="O129" s="29" t="str">
        <x:v>无RSS/API入口</x:v>
      </x:c>
      <x:c r="P129" s="72" t="n">
        <x:v>5</x:v>
      </x:c>
      <x:c r="Q129" s="72" t="n">
        <x:v>5</x:v>
      </x:c>
      <x:c r="R129" s="72" t="n">
        <x:v>5</x:v>
      </x:c>
      <x:c r="S129" s="72" t="n">
        <x:v>4</x:v>
      </x:c>
      <x:c r="T129" s="72" t="n">
        <x:v>4</x:v>
      </x:c>
      <x:c r="U129" s="72" t="n">
        <x:v>4</x:v>
      </x:c>
      <x:c r="V129" s="72" t="n">
        <x:v>4</x:v>
      </x:c>
      <x:c r="W129" s="29" t="str">
        <x:v>疾病负担排行、风险因素、地图与长期趋势</x:v>
      </x:c>
      <x:c r="X129" s="29" t="str">
        <x:v>全球疾病负担的综合估计和可视化平台，适合跨疾病、跨地区比较。</x:v>
      </x:c>
      <x:c r="Y129" s="29" t="str">
        <x:v>2026-08-17 实测主页 200；未收录稳定 RSS，作为网页与数据工具源。GBD 含模型估计，应说明年份、区间和不确定性；群体估计不替代个体医疗建议。</x:v>
      </x:c>
      <x:c r="Z129" s="75" t="b">
        <x:v>0</x:v>
      </x:c>
      <x:c r="AA129" s="29"/>
      <x:c r="AB129" s="29" t="str">
        <x:v>扩展调研：健康与福祉</x:v>
      </x:c>
      <x:c r="AC129" s="29" t="str">
        <x:v>https://www.healthdata.org/research-analysis/gbd</x:v>
      </x:c>
      <x:c r="AD129" s="29" t="str">
        <x:v>2026-08-17</x:v>
      </x:c>
      <x:c r="AE129" s="29"/>
      <x:c r="AF129" s="29" t="str"/>
      <x:c r="AG129" s="29" t="str"/>
    </x:row>
    <x:row r="130" ht="44" customHeight="1">
      <x:c r="A130" s="29" t="str">
        <x:v>SRC-126</x:v>
      </x:c>
      <x:c r="B130" s="29" t="str">
        <x:f>IF(C130&gt;=93,"S",IF(C130&gt;=90,"A",IF(C130&gt;=80,"B","C")))</x:f>
        <x:v>A</x:v>
      </x:c>
      <x:c r="C130" s="72" t="n">
        <x:f>ROUND((P130*0.20+Q130*0.18+R130*0.20+S130*0.15+T130*0.12+U130*0.10+V130*0.05)*20,0)</x:f>
        <x:v>92</x:v>
      </x:c>
      <x:c r="D130" s="29" t="str">
        <x:v>健康与福祉</x:v>
      </x:c>
      <x:c r="E130" s="29" t="str">
        <x:v>综合医学期刊</x:v>
      </x:c>
      <x:c r="F130" s="29" t="str">
        <x:v>JAMA</x:v>
      </x:c>
      <x:c r="G130" s="29" t="str"/>
      <x:c r="H130" s="29" t="str">
        <x:v>临床研究、系统综述、指南、观点与医学新闻</x:v>
      </x:c>
      <x:c r="I130" s="29" t="str">
        <x:v>en</x:v>
      </x:c>
      <x:c r="J130" s="29" t="str">
        <x:v>证据源</x:v>
      </x:c>
      <x:c r="K130" s="29" t="str">
        <x:v>Mixed</x:v>
      </x:c>
      <x:c r="L130" s="29" t="str">
        <x:v>每日在线、每周刊期</x:v>
      </x:c>
      <x:c r="M130" s="29" t="str">
        <x:v>https://jamanetwork.com/journals/jama</x:v>
      </x:c>
      <x:c r="N130" s="29" t="str">
        <x:v>https://jamanetwork.com/rss/site_3/67.xml</x:v>
      </x:c>
      <x:c r="O130" s="29" t="str">
        <x:v>有效</x:v>
      </x:c>
      <x:c r="P130" s="72" t="n">
        <x:v>5</x:v>
      </x:c>
      <x:c r="Q130" s="72" t="n">
        <x:v>5</x:v>
      </x:c>
      <x:c r="R130" s="72" t="n">
        <x:v>5</x:v>
      </x:c>
      <x:c r="S130" s="72" t="n">
        <x:v>4</x:v>
      </x:c>
      <x:c r="T130" s="72" t="n">
        <x:v>4</x:v>
      </x:c>
      <x:c r="U130" s="72" t="n">
        <x:v>4</x:v>
      </x:c>
      <x:c r="V130" s="72" t="n">
        <x:v>4</x:v>
      </x:c>
      <x:c r="W130" s="29" t="str">
        <x:v>研究速读、方法拆解、指南与政策</x:v>
      </x:c>
      <x:c r="X130" s="29" t="str">
        <x:v>兼具临床证据、方法讨论和公共卫生政策，适合追踪高影响研究。</x:v>
      </x:c>
      <x:c r="Y130" s="29" t="str">
        <x:v>2026-08-17 官方 RSS 返回可解析 XML；主页自动请求触发 403 反爬。发帖应区分研究、观点和新闻栏目；不替代个体医疗建议。</x:v>
      </x:c>
      <x:c r="Z130" s="75" t="b">
        <x:v>0</x:v>
      </x:c>
      <x:c r="AA130" s="29"/>
      <x:c r="AB130" s="29" t="str">
        <x:v>扩展调研：健康与福祉</x:v>
      </x:c>
      <x:c r="AC130" s="29" t="str">
        <x:v>https://jamanetwork.com/journals/jama</x:v>
      </x:c>
      <x:c r="AD130" s="29" t="str">
        <x:v>2026-08-17</x:v>
      </x:c>
      <x:c r="AE130" s="29" t="n">
        <x:v>200</x:v>
      </x:c>
      <x:c r="AF130" s="29" t="str">
        <x:v>https://jamanetwork.com/rss/site_3/67.xml</x:v>
      </x:c>
      <x:c r="AG130" s="29" t="str"/>
    </x:row>
    <x:row r="131" ht="44" customHeight="1">
      <x:c r="A131" s="29" t="str">
        <x:v>SRC-127</x:v>
      </x:c>
      <x:c r="B131" s="29" t="str">
        <x:f>IF(C131&gt;=93,"S",IF(C131&gt;=90,"A",IF(C131&gt;=80,"B","C")))</x:f>
        <x:v>A</x:v>
      </x:c>
      <x:c r="C131" s="72" t="n">
        <x:f>ROUND((P131*0.20+Q131*0.18+R131*0.20+S131*0.15+T131*0.12+U131*0.10+V131*0.05)*20,0)</x:f>
        <x:v>92</x:v>
      </x:c>
      <x:c r="D131" s="29" t="str">
        <x:v>健康与福祉</x:v>
      </x:c>
      <x:c r="E131" s="29" t="str">
        <x:v>临床睡眠医学</x:v>
      </x:c>
      <x:c r="F131" s="29" t="str">
        <x:v>Journal of Clinical Sleep Medicine</x:v>
      </x:c>
      <x:c r="G131" s="29" t="str"/>
      <x:c r="H131" s="29" t="str">
        <x:v>睡眠障碍诊断、治疗、临床试验与实践指南</x:v>
      </x:c>
      <x:c r="I131" s="29" t="str">
        <x:v>en</x:v>
      </x:c>
      <x:c r="J131" s="29" t="str">
        <x:v>证据源</x:v>
      </x:c>
      <x:c r="K131" s="29" t="str">
        <x:v>Mixed</x:v>
      </x:c>
      <x:c r="L131" s="29" t="str">
        <x:v>每周多次</x:v>
      </x:c>
      <x:c r="M131" s="29" t="str">
        <x:v>https://jcsm.aasm.org/</x:v>
      </x:c>
      <x:c r="N131" s="29" t="str">
        <x:v>https://jcsm.aasm.org/action/showFeed?jc=jcsm&amp;type=etoc&amp;feed=rss</x:v>
      </x:c>
      <x:c r="O131" s="29" t="str">
        <x:v>超时/网络错误</x:v>
      </x:c>
      <x:c r="P131" s="72" t="n">
        <x:v>5</x:v>
      </x:c>
      <x:c r="Q131" s="72" t="n">
        <x:v>5</x:v>
      </x:c>
      <x:c r="R131" s="72" t="n">
        <x:v>5</x:v>
      </x:c>
      <x:c r="S131" s="72" t="n">
        <x:v>4</x:v>
      </x:c>
      <x:c r="T131" s="72" t="n">
        <x:v>4</x:v>
      </x:c>
      <x:c r="U131" s="72" t="n">
        <x:v>4</x:v>
      </x:c>
      <x:c r="V131" s="72" t="n">
        <x:v>4</x:v>
      </x:c>
      <x:c r="W131" s="29" t="str">
        <x:v>失眠、睡眠呼吸障碍、临床管理与指南</x:v>
      </x:c>
      <x:c r="X131" s="29" t="str">
        <x:v>AASM 官方临床期刊，适合从学会解释追到临床研究与指南原文。</x:v>
      </x:c>
      <x:c r="Y131" s="29" t="str">
        <x:v>官方期刊与 Feed 结构已确认；2026-08-17 本环境主页和 Feed 均出现连接错误，导入后请重试。临床内容不替代睡眠专科评估。；fetch failed</x:v>
      </x:c>
      <x:c r="Z131" s="75" t="b">
        <x:v>0</x:v>
      </x:c>
      <x:c r="AA131" s="29"/>
      <x:c r="AB131" s="29" t="str">
        <x:v>扩展调研：健康与福祉</x:v>
      </x:c>
      <x:c r="AC131" s="29" t="str">
        <x:v>https://jcsm.aasm.org/</x:v>
      </x:c>
      <x:c r="AD131" s="29" t="str">
        <x:v>2026-08-17</x:v>
      </x:c>
      <x:c r="AE131" s="29"/>
      <x:c r="AF131" s="29" t="str">
        <x:v>https://jcsm.aasm.org/action/showFeed?jc=jcsm&amp;type=etoc&amp;feed=rss</x:v>
      </x:c>
      <x:c r="AG131" s="29" t="str"/>
    </x:row>
    <x:row r="132" ht="44" customHeight="1">
      <x:c r="A132" s="29" t="str">
        <x:v>SRC-128</x:v>
      </x:c>
      <x:c r="B132" s="29" t="str">
        <x:f>IF(C132&gt;=93,"S",IF(C132&gt;=90,"A",IF(C132&gt;=80,"B","C")))</x:f>
        <x:v>A</x:v>
      </x:c>
      <x:c r="C132" s="72" t="n">
        <x:f>ROUND((P132*0.20+Q132*0.18+R132*0.20+S132*0.15+T132*0.12+U132*0.10+V132*0.05)*20,0)</x:f>
        <x:v>92</x:v>
      </x:c>
      <x:c r="D132" s="29" t="str">
        <x:v>健康与福祉</x:v>
      </x:c>
      <x:c r="E132" s="29" t="str">
        <x:v>转化医学</x:v>
      </x:c>
      <x:c r="F132" s="29" t="str">
        <x:v>Nature Medicine</x:v>
      </x:c>
      <x:c r="G132" s="29" t="str"/>
      <x:c r="H132" s="29" t="str">
        <x:v>生物医学机制、转化研究、临床研究与方法</x:v>
      </x:c>
      <x:c r="I132" s="29" t="str">
        <x:v>en</x:v>
      </x:c>
      <x:c r="J132" s="29" t="str">
        <x:v>证据源</x:v>
      </x:c>
      <x:c r="K132" s="29" t="str">
        <x:v>Mixed</x:v>
      </x:c>
      <x:c r="L132" s="29" t="str">
        <x:v>每日在线、月刊</x:v>
      </x:c>
      <x:c r="M132" s="29" t="str">
        <x:v>https://www.nature.com/nm/</x:v>
      </x:c>
      <x:c r="N132" s="29" t="str">
        <x:v>https://www.nature.com/nm.rss</x:v>
      </x:c>
      <x:c r="O132" s="29" t="str">
        <x:v>有效</x:v>
      </x:c>
      <x:c r="P132" s="72" t="n">
        <x:v>5</x:v>
      </x:c>
      <x:c r="Q132" s="72" t="n">
        <x:v>5</x:v>
      </x:c>
      <x:c r="R132" s="72" t="n">
        <x:v>5</x:v>
      </x:c>
      <x:c r="S132" s="72" t="n">
        <x:v>4</x:v>
      </x:c>
      <x:c r="T132" s="72" t="n">
        <x:v>4</x:v>
      </x:c>
      <x:c r="U132" s="72" t="n">
        <x:v>4</x:v>
      </x:c>
      <x:c r="V132" s="72" t="n">
        <x:v>4</x:v>
      </x:c>
      <x:c r="W132" s="29" t="str">
        <x:v>前沿机制、诊断技术、转化研究、研究趋势</x:v>
      </x:c>
      <x:c r="X132" s="29" t="str">
        <x:v>适合追踪从机制到临床应用的前沿医学研究。</x:v>
      </x:c>
      <x:c r="Y132" s="29" t="str">
        <x:v>2026-08-17 实测主页 200，官方 RSS 返回 XML。早期或小样本转化结果不等于临床可用；不替代个体医疗建议。</x:v>
      </x:c>
      <x:c r="Z132" s="75" t="b">
        <x:v>0</x:v>
      </x:c>
      <x:c r="AA132" s="29"/>
      <x:c r="AB132" s="29" t="str">
        <x:v>扩展调研：健康与福祉</x:v>
      </x:c>
      <x:c r="AC132" s="29" t="str">
        <x:v>https://www.nature.com/nm/</x:v>
      </x:c>
      <x:c r="AD132" s="29" t="str">
        <x:v>2026-08-17</x:v>
      </x:c>
      <x:c r="AE132" s="29" t="n">
        <x:v>200</x:v>
      </x:c>
      <x:c r="AF132" s="29" t="str">
        <x:v>https://www.nature.com/nm.rss</x:v>
      </x:c>
      <x:c r="AG132" s="29" t="str"/>
    </x:row>
    <x:row r="133" ht="44" customHeight="1">
      <x:c r="A133" s="29" t="str">
        <x:v>SRC-129</x:v>
      </x:c>
      <x:c r="B133" s="29" t="str">
        <x:f>IF(C133&gt;=93,"S",IF(C133&gt;=90,"A",IF(C133&gt;=80,"B","C")))</x:f>
        <x:v>A</x:v>
      </x:c>
      <x:c r="C133" s="72" t="n">
        <x:f>ROUND((P133*0.20+Q133*0.18+R133*0.20+S133*0.15+T133*0.12+U133*0.10+V133*0.05)*20,0)</x:f>
        <x:v>92</x:v>
      </x:c>
      <x:c r="D133" s="29" t="str">
        <x:v>健康与福祉</x:v>
      </x:c>
      <x:c r="E133" s="29" t="str">
        <x:v>精神健康与行为科学</x:v>
      </x:c>
      <x:c r="F133" s="29" t="str">
        <x:v>Psychological Medicine</x:v>
      </x:c>
      <x:c r="G133" s="29" t="str"/>
      <x:c r="H133" s="29" t="str">
        <x:v>精神医学、临床心理、流行病学与神经行为研究</x:v>
      </x:c>
      <x:c r="I133" s="29" t="str">
        <x:v>en</x:v>
      </x:c>
      <x:c r="J133" s="29" t="str">
        <x:v>证据源</x:v>
      </x:c>
      <x:c r="K133" s="29" t="str">
        <x:v>Mixed</x:v>
      </x:c>
      <x:c r="L133" s="29" t="str">
        <x:v>每周多次</x:v>
      </x:c>
      <x:c r="M133" s="29" t="str">
        <x:v>https://www.cambridge.org/core/journals/psychological-medicine</x:v>
      </x:c>
      <x:c r="N133" s="29" t="str">
        <x:v>https://www.cambridge.org/core/rss/product/id/S0033291719001902/type/journal</x:v>
      </x:c>
      <x:c r="O133" s="29" t="str">
        <x:v>受限/反爬</x:v>
      </x:c>
      <x:c r="P133" s="72" t="n">
        <x:v>5</x:v>
      </x:c>
      <x:c r="Q133" s="72" t="n">
        <x:v>5</x:v>
      </x:c>
      <x:c r="R133" s="72" t="n">
        <x:v>5</x:v>
      </x:c>
      <x:c r="S133" s="72" t="n">
        <x:v>4</x:v>
      </x:c>
      <x:c r="T133" s="72" t="n">
        <x:v>4</x:v>
      </x:c>
      <x:c r="U133" s="72" t="n">
        <x:v>4</x:v>
      </x:c>
      <x:c r="V133" s="72" t="n">
        <x:v>4</x:v>
      </x:c>
      <x:c r="W133" s="29" t="str">
        <x:v>心理健康研究、风险因素、干预与纵向证据</x:v>
      </x:c>
      <x:c r="X133" s="29" t="str">
        <x:v>连接心理、精神医学与人群健康，适合跨学科追踪风险因素和干预。</x:v>
      </x:c>
      <x:c r="Y133" s="29" t="str">
        <x:v>2026-08-17 实测主页 200；官方 RSS 自动请求返回 403 反爬。避免把群体相关性简化成个人因果或标签；不替代个体心理或医疗服务。；端点未返回可识别的 RSS/Atom XML；可能是反爬、登录页或旧地址。</x:v>
      </x:c>
      <x:c r="Z133" s="75" t="b">
        <x:v>0</x:v>
      </x:c>
      <x:c r="AA133" s="29"/>
      <x:c r="AB133" s="29" t="str">
        <x:v>扩展调研：健康与福祉</x:v>
      </x:c>
      <x:c r="AC133" s="29" t="str">
        <x:v>https://www.cambridge.org/core/journals/psychological-medicine</x:v>
      </x:c>
      <x:c r="AD133" s="29" t="str">
        <x:v>2026-08-17</x:v>
      </x:c>
      <x:c r="AE133" s="29" t="n">
        <x:v>403</x:v>
      </x:c>
      <x:c r="AF133" s="29" t="str">
        <x:v>https://www.cambridge.org/core/rss/product/id/S0033291719001902/type/journal</x:v>
      </x:c>
      <x:c r="AG133" s="29" t="str"/>
    </x:row>
    <x:row r="134" ht="44" customHeight="1">
      <x:c r="A134" s="29" t="str">
        <x:v>SRC-130</x:v>
      </x:c>
      <x:c r="B134" s="29" t="str">
        <x:f>IF(C134&gt;=93,"S",IF(C134&gt;=90,"A",IF(C134&gt;=80,"B","C")))</x:f>
        <x:v>A</x:v>
      </x:c>
      <x:c r="C134" s="72" t="n">
        <x:f>ROUND((P134*0.20+Q134*0.18+R134*0.20+S134*0.15+T134*0.12+U134*0.10+V134*0.05)*20,0)</x:f>
        <x:v>92</x:v>
      </x:c>
      <x:c r="D134" s="29" t="str">
        <x:v>健康与福祉</x:v>
      </x:c>
      <x:c r="E134" s="29" t="str">
        <x:v>睡眠与昼夜节律研究</x:v>
      </x:c>
      <x:c r="F134" s="29" t="str">
        <x:v>SLEEP</x:v>
      </x:c>
      <x:c r="G134" s="29" t="str"/>
      <x:c r="H134" s="29" t="str">
        <x:v>睡眠、昼夜节律、神经与临床睡眠研究</x:v>
      </x:c>
      <x:c r="I134" s="29" t="str">
        <x:v>en</x:v>
      </x:c>
      <x:c r="J134" s="29" t="str">
        <x:v>证据源</x:v>
      </x:c>
      <x:c r="K134" s="29" t="str">
        <x:v>Mixed</x:v>
      </x:c>
      <x:c r="L134" s="29" t="str">
        <x:v>每周多次</x:v>
      </x:c>
      <x:c r="M134" s="29" t="str">
        <x:v>https://academic.oup.com/sleep</x:v>
      </x:c>
      <x:c r="N134" s="29" t="str">
        <x:v>https://academic.oup.com/rss/site_5573/advanceAccess_3429.xml</x:v>
      </x:c>
      <x:c r="O134" s="29" t="str">
        <x:v>有效</x:v>
      </x:c>
      <x:c r="P134" s="72" t="n">
        <x:v>5</x:v>
      </x:c>
      <x:c r="Q134" s="72" t="n">
        <x:v>5</x:v>
      </x:c>
      <x:c r="R134" s="72" t="n">
        <x:v>5</x:v>
      </x:c>
      <x:c r="S134" s="72" t="n">
        <x:v>4</x:v>
      </x:c>
      <x:c r="T134" s="72" t="n">
        <x:v>4</x:v>
      </x:c>
      <x:c r="U134" s="72" t="n">
        <x:v>4</x:v>
      </x:c>
      <x:c r="V134" s="72" t="n">
        <x:v>4</x:v>
      </x:c>
      <x:c r="W134" s="29" t="str">
        <x:v>睡眠机制、昼夜节律、睡眠与健康结局</x:v>
      </x:c>
      <x:c r="X134" s="29" t="str">
        <x:v>Sleep Research Society 官方期刊，覆盖基础、转化与临床睡眠科学。</x:v>
      </x:c>
      <x:c r="Y134" s="29" t="str">
        <x:v>2026-08-17 官方 Advance Articles RSS 返回可解析 XML；主页自动请求触发 403。相关性研究不能证明睡眠变量导致结局；不替代个体诊疗。</x:v>
      </x:c>
      <x:c r="Z134" s="75" t="b">
        <x:v>0</x:v>
      </x:c>
      <x:c r="AA134" s="29"/>
      <x:c r="AB134" s="29" t="str">
        <x:v>扩展调研：健康与福祉</x:v>
      </x:c>
      <x:c r="AC134" s="29" t="str">
        <x:v>https://academic.oup.com/sleep/pages/about</x:v>
      </x:c>
      <x:c r="AD134" s="29" t="str">
        <x:v>2026-08-17</x:v>
      </x:c>
      <x:c r="AE134" s="29" t="n">
        <x:v>200</x:v>
      </x:c>
      <x:c r="AF134" s="29" t="str">
        <x:v>https://academic.oup.com/rss/site_5573/advanceAccess_3429.xml</x:v>
      </x:c>
      <x:c r="AG134" s="29" t="str"/>
    </x:row>
    <x:row r="135" ht="44" customHeight="1">
      <x:c r="A135" s="29" t="str">
        <x:v>SRC-131</x:v>
      </x:c>
      <x:c r="B135" s="29" t="str">
        <x:f>IF(C135&gt;=93,"S",IF(C135&gt;=90,"A",IF(C135&gt;=80,"B","C")))</x:f>
        <x:v>A</x:v>
      </x:c>
      <x:c r="C135" s="72" t="n">
        <x:f>ROUND((P135*0.20+Q135*0.18+R135*0.20+S135*0.15+T135*0.12+U135*0.10+V135*0.05)*20,0)</x:f>
        <x:v>92</x:v>
      </x:c>
      <x:c r="D135" s="29" t="str">
        <x:v>健康与福祉</x:v>
      </x:c>
      <x:c r="E135" s="29" t="str">
        <x:v>临床营养研究</x:v>
      </x:c>
      <x:c r="F135" s="29" t="str">
        <x:v>The American Journal of Clinical Nutrition</x:v>
      </x:c>
      <x:c r="G135" s="29" t="str"/>
      <x:c r="H135" s="29" t="str">
        <x:v>营养临床试验、队列研究、代谢与膳食模式</x:v>
      </x:c>
      <x:c r="I135" s="29" t="str">
        <x:v>en</x:v>
      </x:c>
      <x:c r="J135" s="29" t="str">
        <x:v>证据源</x:v>
      </x:c>
      <x:c r="K135" s="29" t="str">
        <x:v>Mixed</x:v>
      </x:c>
      <x:c r="L135" s="29" t="str">
        <x:v>每日在线、月刊</x:v>
      </x:c>
      <x:c r="M135" s="29" t="str">
        <x:v>https://ajcn.nutrition.org/</x:v>
      </x:c>
      <x:c r="N135" s="29" t="str"/>
      <x:c r="O135" s="29" t="str">
        <x:v>无RSS/API入口</x:v>
      </x:c>
      <x:c r="P135" s="72" t="n">
        <x:v>5</x:v>
      </x:c>
      <x:c r="Q135" s="72" t="n">
        <x:v>5</x:v>
      </x:c>
      <x:c r="R135" s="72" t="n">
        <x:v>5</x:v>
      </x:c>
      <x:c r="S135" s="72" t="n">
        <x:v>4</x:v>
      </x:c>
      <x:c r="T135" s="72" t="n">
        <x:v>4</x:v>
      </x:c>
      <x:c r="U135" s="72" t="n">
        <x:v>4</x:v>
      </x:c>
      <x:c r="V135" s="72" t="n">
        <x:v>4</x:v>
      </x:c>
      <x:c r="W135" s="29" t="str">
        <x:v>饮食模式、营养试验、代谢健康</x:v>
      </x:c>
      <x:c r="X135" s="29" t="str">
        <x:v>临床营养的重要同行评审期刊，适合追踪饮食与健康结局的原始研究。</x:v>
      </x:c>
      <x:c r="Y135" s="29" t="str">
        <x:v>2026-08-17 主页自动请求触发 403；旧 Feed URL 返回 404，因此本库按网页平台收录。营养观察性结果不应直接写成因果或个体处方。</x:v>
      </x:c>
      <x:c r="Z135" s="75" t="b">
        <x:v>0</x:v>
      </x:c>
      <x:c r="AA135" s="29"/>
      <x:c r="AB135" s="29" t="str">
        <x:v>扩展调研：健康与福祉</x:v>
      </x:c>
      <x:c r="AC135" s="29" t="str">
        <x:v>https://ajcn.nutrition.org/</x:v>
      </x:c>
      <x:c r="AD135" s="29" t="str">
        <x:v>2026-08-17</x:v>
      </x:c>
      <x:c r="AE135" s="29"/>
      <x:c r="AF135" s="29" t="str"/>
      <x:c r="AG135" s="29" t="str"/>
    </x:row>
    <x:row r="136" ht="44" customHeight="1">
      <x:c r="A136" s="29" t="str">
        <x:v>SRC-132</x:v>
      </x:c>
      <x:c r="B136" s="29" t="str">
        <x:f>IF(C136&gt;=93,"S",IF(C136&gt;=90,"A",IF(C136&gt;=80,"B","C")))</x:f>
        <x:v>A</x:v>
      </x:c>
      <x:c r="C136" s="72" t="n">
        <x:f>ROUND((P136*0.20+Q136*0.18+R136*0.20+S136*0.15+T136*0.12+U136*0.10+V136*0.05)*20,0)</x:f>
        <x:v>92</x:v>
      </x:c>
      <x:c r="D136" s="29" t="str">
        <x:v>健康与福祉</x:v>
      </x:c>
      <x:c r="E136" s="29" t="str">
        <x:v>综合医学与证据方法</x:v>
      </x:c>
      <x:c r="F136" s="29" t="str">
        <x:v>The BMJ</x:v>
      </x:c>
      <x:c r="G136" s="29" t="str"/>
      <x:c r="H136" s="29" t="str">
        <x:v>临床研究、教育、调查报道、方法与政策评论</x:v>
      </x:c>
      <x:c r="I136" s="29" t="str">
        <x:v>en</x:v>
      </x:c>
      <x:c r="J136" s="29" t="str">
        <x:v>证据源</x:v>
      </x:c>
      <x:c r="K136" s="29" t="str">
        <x:v>Mixed</x:v>
      </x:c>
      <x:c r="L136" s="29" t="str">
        <x:v>每日多次</x:v>
      </x:c>
      <x:c r="M136" s="29" t="str">
        <x:v>https://www.bmj.com/</x:v>
      </x:c>
      <x:c r="N136" s="29" t="str">
        <x:v>http://feeds.bmj.com/bmj/recent</x:v>
      </x:c>
      <x:c r="O136" s="29" t="str">
        <x:v>重定向后有效</x:v>
      </x:c>
      <x:c r="P136" s="72" t="n">
        <x:v>5</x:v>
      </x:c>
      <x:c r="Q136" s="72" t="n">
        <x:v>5</x:v>
      </x:c>
      <x:c r="R136" s="72" t="n">
        <x:v>5</x:v>
      </x:c>
      <x:c r="S136" s="72" t="n">
        <x:v>4</x:v>
      </x:c>
      <x:c r="T136" s="72" t="n">
        <x:v>4</x:v>
      </x:c>
      <x:c r="U136" s="72" t="n">
        <x:v>4</x:v>
      </x:c>
      <x:c r="V136" s="72" t="n">
        <x:v>4</x:v>
      </x:c>
      <x:c r="W136" s="29" t="str">
        <x:v>研究方法、医疗政策、循证争议、开放科学</x:v>
      </x:c>
      <x:c r="X136" s="29" t="str">
        <x:v>重视开放科学、研究方法和医疗政策，适合做证据质量与利益冲突分析。</x:v>
      </x:c>
      <x:c r="Y136" s="29" t="str">
        <x:v>2026-08-17 RSS 可访问并重定向至 feeds.bmj.com；主页自动请求触发 403。区分同行评审研究、新闻与观点；不替代个体医疗建议。</x:v>
      </x:c>
      <x:c r="Z136" s="75" t="b">
        <x:v>0</x:v>
      </x:c>
      <x:c r="AA136" s="29"/>
      <x:c r="AB136" s="29" t="str">
        <x:v>扩展调研：健康与福祉</x:v>
      </x:c>
      <x:c r="AC136" s="29" t="str">
        <x:v>https://www.bmj.com/about-bmj/resources-readers</x:v>
      </x:c>
      <x:c r="AD136" s="29" t="str">
        <x:v>2026-08-17</x:v>
      </x:c>
      <x:c r="AE136" s="29" t="n">
        <x:v>200</x:v>
      </x:c>
      <x:c r="AF136" s="29" t="str">
        <x:v>http://feeds.bmj.com/bmj/recent</x:v>
      </x:c>
      <x:c r="AG136" s="29" t="str"/>
    </x:row>
    <x:row r="137" ht="44" customHeight="1">
      <x:c r="A137" s="29" t="str">
        <x:v>SRC-133</x:v>
      </x:c>
      <x:c r="B137" s="29" t="str">
        <x:f>IF(C137&gt;=93,"S",IF(C137&gt;=90,"A",IF(C137&gt;=80,"B","C")))</x:f>
        <x:v>A</x:v>
      </x:c>
      <x:c r="C137" s="72" t="n">
        <x:f>ROUND((P137*0.20+Q137*0.18+R137*0.20+S137*0.15+T137*0.12+U137*0.10+V137*0.05)*20,0)</x:f>
        <x:v>92</x:v>
      </x:c>
      <x:c r="D137" s="29" t="str">
        <x:v>健康与福祉</x:v>
      </x:c>
      <x:c r="E137" s="29" t="str">
        <x:v>全球与临床医学</x:v>
      </x:c>
      <x:c r="F137" s="29" t="str">
        <x:v>The Lancet</x:v>
      </x:c>
      <x:c r="G137" s="29" t="str"/>
      <x:c r="H137" s="29" t="str">
        <x:v>临床研究、全球健康、委员会报告、社论与评论</x:v>
      </x:c>
      <x:c r="I137" s="29" t="str">
        <x:v>en</x:v>
      </x:c>
      <x:c r="J137" s="29" t="str">
        <x:v>证据源</x:v>
      </x:c>
      <x:c r="K137" s="29" t="str">
        <x:v>Mixed</x:v>
      </x:c>
      <x:c r="L137" s="29" t="str">
        <x:v>每日在线、每周刊期</x:v>
      </x:c>
      <x:c r="M137" s="29" t="str">
        <x:v>https://www.thelancet.com/journals/lancet/home</x:v>
      </x:c>
      <x:c r="N137" s="29" t="str">
        <x:v>https://www.thelancet.com/rssfeed/lancet_current.xml</x:v>
      </x:c>
      <x:c r="O137" s="29" t="str">
        <x:v>有效</x:v>
      </x:c>
      <x:c r="P137" s="72" t="n">
        <x:v>5</x:v>
      </x:c>
      <x:c r="Q137" s="72" t="n">
        <x:v>5</x:v>
      </x:c>
      <x:c r="R137" s="72" t="n">
        <x:v>5</x:v>
      </x:c>
      <x:c r="S137" s="72" t="n">
        <x:v>4</x:v>
      </x:c>
      <x:c r="T137" s="72" t="n">
        <x:v>4</x:v>
      </x:c>
      <x:c r="U137" s="72" t="n">
        <x:v>4</x:v>
      </x:c>
      <x:c r="V137" s="72" t="n">
        <x:v>4</x:v>
      </x:c>
      <x:c r="W137" s="29" t="str">
        <x:v>全球健康议题、大型研究、委员会结论</x:v>
      </x:c>
      <x:c r="X137" s="29" t="str">
        <x:v>覆盖临床、公共卫生和全球健康，常提供大型合作研究与专题委员会报告。</x:v>
      </x:c>
      <x:c r="Y137" s="29" t="str">
        <x:v>2026-08-17 官方 RSS 返回 XML；主页自动请求触发 403 反爬。关注更正、撤稿及评论与原始研究的区别；不替代个体医疗建议。</x:v>
      </x:c>
      <x:c r="Z137" s="75" t="b">
        <x:v>0</x:v>
      </x:c>
      <x:c r="AA137" s="29"/>
      <x:c r="AB137" s="29" t="str">
        <x:v>扩展调研：健康与福祉</x:v>
      </x:c>
      <x:c r="AC137" s="29" t="str">
        <x:v>https://www.thelancet.com/journals/lancet/home</x:v>
      </x:c>
      <x:c r="AD137" s="29" t="str">
        <x:v>2026-08-17</x:v>
      </x:c>
      <x:c r="AE137" s="29" t="n">
        <x:v>200</x:v>
      </x:c>
      <x:c r="AF137" s="29" t="str">
        <x:v>https://www.thelancet.com/rssfeed/lancet_current.xml</x:v>
      </x:c>
      <x:c r="AG137" s="29" t="str"/>
    </x:row>
    <x:row r="138" ht="44" customHeight="1">
      <x:c r="A138" s="29" t="str">
        <x:v>SRC-134</x:v>
      </x:c>
      <x:c r="B138" s="29" t="str">
        <x:f>IF(C138&gt;=93,"S",IF(C138&gt;=90,"A",IF(C138&gt;=80,"B","C")))</x:f>
        <x:v>A</x:v>
      </x:c>
      <x:c r="C138" s="72" t="n">
        <x:f>ROUND((P138*0.20+Q138*0.18+R138*0.20+S138*0.15+T138*0.12+U138*0.10+V138*0.05)*20,0)</x:f>
        <x:v>92</x:v>
      </x:c>
      <x:c r="D138" s="29" t="str">
        <x:v>健康与福祉</x:v>
      </x:c>
      <x:c r="E138" s="29" t="str">
        <x:v>精神医学研究</x:v>
      </x:c>
      <x:c r="F138" s="29" t="str">
        <x:v>The Lancet Psychiatry</x:v>
      </x:c>
      <x:c r="G138" s="29" t="str"/>
      <x:c r="H138" s="29" t="str">
        <x:v>精神医学临床研究、流行病学、政策与全球精神健康</x:v>
      </x:c>
      <x:c r="I138" s="29" t="str">
        <x:v>en</x:v>
      </x:c>
      <x:c r="J138" s="29" t="str">
        <x:v>证据源</x:v>
      </x:c>
      <x:c r="K138" s="29" t="str">
        <x:v>Mixed</x:v>
      </x:c>
      <x:c r="L138" s="29" t="str">
        <x:v>每日在线、月刊</x:v>
      </x:c>
      <x:c r="M138" s="29" t="str">
        <x:v>https://www.thelancet.com/journals/lanpsy/home</x:v>
      </x:c>
      <x:c r="N138" s="29" t="str">
        <x:v>https://www.thelancet.com/rssfeed/lanpsy_current.xml</x:v>
      </x:c>
      <x:c r="O138" s="29" t="str">
        <x:v>有效</x:v>
      </x:c>
      <x:c r="P138" s="72" t="n">
        <x:v>5</x:v>
      </x:c>
      <x:c r="Q138" s="72" t="n">
        <x:v>5</x:v>
      </x:c>
      <x:c r="R138" s="72" t="n">
        <x:v>5</x:v>
      </x:c>
      <x:c r="S138" s="72" t="n">
        <x:v>4</x:v>
      </x:c>
      <x:c r="T138" s="72" t="n">
        <x:v>4</x:v>
      </x:c>
      <x:c r="U138" s="72" t="n">
        <x:v>4</x:v>
      </x:c>
      <x:c r="V138" s="72" t="n">
        <x:v>4</x:v>
      </x:c>
      <x:c r="W138" s="29" t="str">
        <x:v>精神健康趋势、治疗研究、政策与健康公平</x:v>
      </x:c>
      <x:c r="X138" s="29" t="str">
        <x:v>精神健康领域高影响期刊，覆盖治疗证据、人群研究与政策。</x:v>
      </x:c>
      <x:c r="Y138" s="29" t="str">
        <x:v>2026-08-17 官方 RSS 返回 XML；主页自动请求触发 403。使用敏感结局时应说明研究设计、基线风险和不确定性；不用于自我诊断或替代个体治疗。</x:v>
      </x:c>
      <x:c r="Z138" s="75" t="b">
        <x:v>0</x:v>
      </x:c>
      <x:c r="AA138" s="29"/>
      <x:c r="AB138" s="29" t="str">
        <x:v>扩展调研：健康与福祉</x:v>
      </x:c>
      <x:c r="AC138" s="29" t="str">
        <x:v>https://www.thelancet.com/journals/lanpsy/home</x:v>
      </x:c>
      <x:c r="AD138" s="29" t="str">
        <x:v>2026-08-17</x:v>
      </x:c>
      <x:c r="AE138" s="29" t="n">
        <x:v>200</x:v>
      </x:c>
      <x:c r="AF138" s="29" t="str">
        <x:v>https://www.thelancet.com/rssfeed/lanpsy_current.xml</x:v>
      </x:c>
      <x:c r="AG138" s="29" t="str"/>
    </x:row>
    <x:row r="139" ht="44" customHeight="1">
      <x:c r="A139" s="29" t="str">
        <x:v>SRC-135</x:v>
      </x:c>
      <x:c r="B139" s="29" t="str">
        <x:f>IF(C139&gt;=93,"S",IF(C139&gt;=90,"A",IF(C139&gt;=80,"B","C")))</x:f>
        <x:v>A</x:v>
      </x:c>
      <x:c r="C139" s="72" t="n">
        <x:f>ROUND((P139*0.20+Q139*0.18+R139*0.20+S139*0.15+T139*0.12+U139*0.10+V139*0.05)*20,0)</x:f>
        <x:v>92</x:v>
      </x:c>
      <x:c r="D139" s="29" t="str">
        <x:v>健康与福祉</x:v>
      </x:c>
      <x:c r="E139" s="29" t="str">
        <x:v>综合医学期刊</x:v>
      </x:c>
      <x:c r="F139" s="29" t="str">
        <x:v>The New England Journal of Medicine</x:v>
      </x:c>
      <x:c r="G139" s="29" t="str"/>
      <x:c r="H139" s="29" t="str">
        <x:v>临床试验、综述、病例、指南评论与医学政策</x:v>
      </x:c>
      <x:c r="I139" s="29" t="str">
        <x:v>en</x:v>
      </x:c>
      <x:c r="J139" s="29" t="str">
        <x:v>证据源</x:v>
      </x:c>
      <x:c r="K139" s="29" t="str">
        <x:v>Mixed</x:v>
      </x:c>
      <x:c r="L139" s="29" t="str">
        <x:v>每周及在线优先</x:v>
      </x:c>
      <x:c r="M139" s="29" t="str">
        <x:v>https://www.nejm.org/</x:v>
      </x:c>
      <x:c r="N139" s="29" t="str">
        <x:v>https://www.nejm.org/action/showFeed?jc=nejm&amp;type=etoc&amp;feed=rss</x:v>
      </x:c>
      <x:c r="O139" s="29" t="str">
        <x:v>有效</x:v>
      </x:c>
      <x:c r="P139" s="72" t="n">
        <x:v>5</x:v>
      </x:c>
      <x:c r="Q139" s="72" t="n">
        <x:v>5</x:v>
      </x:c>
      <x:c r="R139" s="72" t="n">
        <x:v>5</x:v>
      </x:c>
      <x:c r="S139" s="72" t="n">
        <x:v>4</x:v>
      </x:c>
      <x:c r="T139" s="72" t="n">
        <x:v>4</x:v>
      </x:c>
      <x:c r="U139" s="72" t="n">
        <x:v>4</x:v>
      </x:c>
      <x:c r="V139" s="72" t="n">
        <x:v>4</x:v>
      </x:c>
      <x:c r="W139" s="29" t="str">
        <x:v>重要试验、疗效与风险、临床实践变化</x:v>
      </x:c>
      <x:c r="X139" s="29" t="str">
        <x:v>高影响力临床医学期刊，适合追踪重要试验和实践改变。</x:v>
      </x:c>
      <x:c r="Y139" s="29" t="str">
        <x:v>2026-08-17 官方 RSS 返回可解析 XML；主页自动请求触发 403 反爬。单篇研究不能自动转化为个人建议，应核对方案、绝对风险与外部验证。</x:v>
      </x:c>
      <x:c r="Z139" s="75" t="b">
        <x:v>0</x:v>
      </x:c>
      <x:c r="AA139" s="29"/>
      <x:c r="AB139" s="29" t="str">
        <x:v>扩展调研：健康与福祉</x:v>
      </x:c>
      <x:c r="AC139" s="29" t="str">
        <x:v>https://www.nejm.org/</x:v>
      </x:c>
      <x:c r="AD139" s="29" t="str">
        <x:v>2026-08-17</x:v>
      </x:c>
      <x:c r="AE139" s="29" t="n">
        <x:v>200</x:v>
      </x:c>
      <x:c r="AF139" s="29" t="str">
        <x:v>https://www.nejm.org/action/showFeed?jc=nejm&amp;type=etoc&amp;feed=rss</x:v>
      </x:c>
      <x:c r="AG139" s="29" t="str"/>
    </x:row>
    <x:row r="140" ht="44" customHeight="1">
      <x:c r="A140" s="29" t="str">
        <x:v>SRC-136</x:v>
      </x:c>
      <x:c r="B140" s="29" t="str">
        <x:f>IF(C140&gt;=93,"S",IF(C140&gt;=90,"A",IF(C140&gt;=80,"B","C")))</x:f>
        <x:v>A</x:v>
      </x:c>
      <x:c r="C140" s="72" t="n">
        <x:f>ROUND((P140*0.20+Q140*0.18+R140*0.20+S140*0.15+T140*0.12+U140*0.10+V140*0.05)*20,0)</x:f>
        <x:v>92</x:v>
      </x:c>
      <x:c r="D140" s="29" t="str">
        <x:v>心理、认知与情商</x:v>
      </x:c>
      <x:c r="E140" s="29" t="str">
        <x:v>情感科学期刊</x:v>
      </x:c>
      <x:c r="F140" s="29" t="str">
        <x:v>Affective Science</x:v>
      </x:c>
      <x:c r="G140" s="29" t="str"/>
      <x:c r="H140" s="29" t="str">
        <x:v>同行评审期刊</x:v>
      </x:c>
      <x:c r="I140" s="29" t="str">
        <x:v>英文</x:v>
      </x:c>
      <x:c r="J140" s="29" t="str">
        <x:v>证据源</x:v>
      </x:c>
      <x:c r="K140" s="29" t="str">
        <x:v>摘要与元数据开放；正文混合</x:v>
      </x:c>
      <x:c r="L140" s="29" t="str">
        <x:v>季度 / 在线优先</x:v>
      </x:c>
      <x:c r="M140" s="29" t="str">
        <x:v>https://link.springer.com/journal/42761</x:v>
      </x:c>
      <x:c r="N140" s="29" t="str">
        <x:v>https://api.crossref.org/journals/2662-205X/works?sort=published&amp;order=desc&amp;rows=20</x:v>
      </x:c>
      <x:c r="O140" s="29" t="str">
        <x:v>API入口</x:v>
      </x:c>
      <x:c r="P140" s="72" t="n">
        <x:v>5</x:v>
      </x:c>
      <x:c r="Q140" s="72" t="n">
        <x:v>5</x:v>
      </x:c>
      <x:c r="R140" s="72" t="n">
        <x:v>5</x:v>
      </x:c>
      <x:c r="S140" s="72" t="n">
        <x:v>4</x:v>
      </x:c>
      <x:c r="T140" s="72" t="n">
        <x:v>4</x:v>
      </x:c>
      <x:c r="U140" s="72" t="n">
        <x:v>4</x:v>
      </x:c>
      <x:c r="V140" s="72" t="n">
        <x:v>4</x:v>
      </x:c>
      <x:c r="W140" s="29" t="str">
        <x:v>用于纠正“情绪只有几种”“情绪能被简单读懂”等过度简化论断。</x:v>
      </x:c>
      <x:c r="X140" s="29" t="str">
        <x:v>Society for Affective Science 官方期刊，覆盖情绪、压力、动机及其健康和社会影响。</x:v>
      </x:c>
      <x:c r="Y140" s="29" t="str">
        <x:v>2026-08-17：Springer 主页 200；Crossref ISSN API 200，JSON 已确认。；未按 RSS/Atom 校验。</x:v>
      </x:c>
      <x:c r="Z140" s="75" t="b">
        <x:v>0</x:v>
      </x:c>
      <x:c r="AA140" s="29"/>
      <x:c r="AB140" s="29" t="str">
        <x:v>扩展调研：心理、认知与情商</x:v>
      </x:c>
      <x:c r="AC140" s="29" t="str">
        <x:v>https://society-for-affective-science.org/journal/</x:v>
      </x:c>
      <x:c r="AD140" s="29" t="str">
        <x:v>2026-08-17</x:v>
      </x:c>
      <x:c r="AE140" s="29"/>
      <x:c r="AF140" s="29" t="str">
        <x:v>https://api.crossref.org/journals/2662-205X/works?sort=published&amp;order=desc&amp;rows=20</x:v>
      </x:c>
      <x:c r="AG140" s="29" t="str"/>
    </x:row>
    <x:row r="141" ht="44" customHeight="1">
      <x:c r="A141" s="29" t="str">
        <x:v>SRC-137</x:v>
      </x:c>
      <x:c r="B141" s="29" t="str">
        <x:f>IF(C141&gt;=93,"S",IF(C141&gt;=90,"A",IF(C141&gt;=80,"B","C")))</x:f>
        <x:v>A</x:v>
      </x:c>
      <x:c r="C141" s="72" t="n">
        <x:f>ROUND((P141*0.20+Q141*0.18+R141*0.20+S141*0.15+T141*0.12+U141*0.10+V141*0.05)*20,0)</x:f>
        <x:v>92</x:v>
      </x:c>
      <x:c r="D141" s="29" t="str">
        <x:v>心理、认知与情商</x:v>
      </x:c>
      <x:c r="E141" s="29" t="str">
        <x:v>心理学年度综述</x:v>
      </x:c>
      <x:c r="F141" s="29" t="str">
        <x:v>Annual Review of Psychology</x:v>
      </x:c>
      <x:c r="G141" s="29" t="str"/>
      <x:c r="H141" s="29" t="str">
        <x:v>权威综述期刊</x:v>
      </x:c>
      <x:c r="I141" s="29" t="str">
        <x:v>英文</x:v>
      </x:c>
      <x:c r="J141" s="29" t="str">
        <x:v>证据源</x:v>
      </x:c>
      <x:c r="K141" s="29" t="str">
        <x:v>元数据开放；正文多为订阅</x:v>
      </x:c>
      <x:c r="L141" s="29" t="str">
        <x:v>年度卷；在线优先</x:v>
      </x:c>
      <x:c r="M141" s="29" t="str">
        <x:v>https://www.annualreviews.org/content/journals/psych</x:v>
      </x:c>
      <x:c r="N141" s="29" t="str">
        <x:v>https://api.crossref.org/journals/1545-2085/works?sort=published&amp;order=desc&amp;rows=20</x:v>
      </x:c>
      <x:c r="O141" s="29" t="str">
        <x:v>API入口</x:v>
      </x:c>
      <x:c r="P141" s="72" t="n">
        <x:v>5</x:v>
      </x:c>
      <x:c r="Q141" s="72" t="n">
        <x:v>5</x:v>
      </x:c>
      <x:c r="R141" s="72" t="n">
        <x:v>5</x:v>
      </x:c>
      <x:c r="S141" s="72" t="n">
        <x:v>4</x:v>
      </x:c>
      <x:c r="T141" s="72" t="n">
        <x:v>4</x:v>
      </x:c>
      <x:c r="U141" s="72" t="n">
        <x:v>4</x:v>
      </x:c>
      <x:c r="V141" s="72" t="n">
        <x:v>4</x:v>
      </x:c>
      <x:c r="W141" s="29" t="str">
        <x:v>先用综述建立领域共识，再从参考文献挑关键原始研究；适合长帖和知识地图。</x:v>
      </x:c>
      <x:c r="X141" s="29" t="str">
        <x:v>以领域级综述梳理理论、证据和争议，是做深度背景和避免单篇研究偏差的核心来源。</x:v>
      </x:c>
      <x:c r="Y141" s="29" t="str">
        <x:v>2026-08-17：出版商页面受 CDN 403；Crossref ISSN API 200，已确认 JSON，可稳定追踪最新条目。；未按 RSS/Atom 校验。</x:v>
      </x:c>
      <x:c r="Z141" s="75" t="b">
        <x:v>0</x:v>
      </x:c>
      <x:c r="AA141" s="29"/>
      <x:c r="AB141" s="29" t="str">
        <x:v>扩展调研：心理、认知与情商</x:v>
      </x:c>
      <x:c r="AC141" s="29" t="str">
        <x:v>https://www.annualreviews.org/page/about/rssfeeds</x:v>
      </x:c>
      <x:c r="AD141" s="29" t="str">
        <x:v>2026-08-17</x:v>
      </x:c>
      <x:c r="AE141" s="29"/>
      <x:c r="AF141" s="29" t="str">
        <x:v>https://api.crossref.org/journals/1545-2085/works?sort=published&amp;order=desc&amp;rows=20</x:v>
      </x:c>
      <x:c r="AG141" s="29" t="str"/>
    </x:row>
    <x:row r="142" ht="44" customHeight="1">
      <x:c r="A142" s="29" t="str">
        <x:v>SRC-138</x:v>
      </x:c>
      <x:c r="B142" s="29" t="str">
        <x:f>IF(C142&gt;=93,"S",IF(C142&gt;=90,"A",IF(C142&gt;=80,"B","C")))</x:f>
        <x:v>A</x:v>
      </x:c>
      <x:c r="C142" s="72" t="n">
        <x:f>ROUND((P142*0.20+Q142*0.18+R142*0.20+S142*0.15+T142*0.12+U142*0.10+V142*0.05)*20,0)</x:f>
        <x:v>92</x:v>
      </x:c>
      <x:c r="D142" s="29" t="str">
        <x:v>心理、认知与情商</x:v>
      </x:c>
      <x:c r="E142" s="29" t="str">
        <x:v>开放获取综合心理学</x:v>
      </x:c>
      <x:c r="F142" s="29" t="str">
        <x:v>BMC Psychology</x:v>
      </x:c>
      <x:c r="G142" s="29" t="str"/>
      <x:c r="H142" s="29" t="str">
        <x:v>同行评审开放期刊</x:v>
      </x:c>
      <x:c r="I142" s="29" t="str">
        <x:v>英文</x:v>
      </x:c>
      <x:c r="J142" s="29" t="str">
        <x:v>证据源</x:v>
      </x:c>
      <x:c r="K142" s="29" t="str">
        <x:v>开放获取</x:v>
      </x:c>
      <x:c r="L142" s="29" t="str">
        <x:v>持续更新</x:v>
      </x:c>
      <x:c r="M142" s="29" t="str">
        <x:v>https://link.springer.com/journal/40359</x:v>
      </x:c>
      <x:c r="N142" s="29" t="str">
        <x:v>https://api.crossref.org/journals/2050-7283/works?sort=published&amp;order=desc&amp;rows=20</x:v>
      </x:c>
      <x:c r="O142" s="29" t="str">
        <x:v>API入口</x:v>
      </x:c>
      <x:c r="P142" s="72" t="n">
        <x:v>5</x:v>
      </x:c>
      <x:c r="Q142" s="72" t="n">
        <x:v>5</x:v>
      </x:c>
      <x:c r="R142" s="72" t="n">
        <x:v>5</x:v>
      </x:c>
      <x:c r="S142" s="72" t="n">
        <x:v>4</x:v>
      </x:c>
      <x:c r="T142" s="72" t="n">
        <x:v>4</x:v>
      </x:c>
      <x:c r="U142" s="72" t="n">
        <x:v>4</x:v>
      </x:c>
      <x:c r="V142" s="72" t="n">
        <x:v>4</x:v>
      </x:c>
      <x:c r="W142" s="29" t="str">
        <x:v>适合寻找可完整阅读的新研究；发布前检查设计质量，不以期刊名替代研究评估。</x:v>
      </x:c>
      <x:c r="X142" s="29" t="str">
        <x:v>覆盖临床、健康、社会、发展和组织心理学，全文开放，便于核验研究方法与限制。</x:v>
      </x:c>
      <x:c r="Y142" s="29" t="str">
        <x:v>2026-08-17：Springer 主页 200；原站 RSS 已迁移为 HTML，改用 Crossref ISSN API，返回 200 JSON。；未按 RSS/Atom 校验。</x:v>
      </x:c>
      <x:c r="Z142" s="75" t="b">
        <x:v>0</x:v>
      </x:c>
      <x:c r="AA142" s="29"/>
      <x:c r="AB142" s="29" t="str">
        <x:v>扩展调研：心理、认知与情商</x:v>
      </x:c>
      <x:c r="AC142" s="29" t="str">
        <x:v>https://link.springer.com/journal/40359</x:v>
      </x:c>
      <x:c r="AD142" s="29" t="str">
        <x:v>2026-08-17</x:v>
      </x:c>
      <x:c r="AE142" s="29"/>
      <x:c r="AF142" s="29" t="str">
        <x:v>https://api.crossref.org/journals/2050-7283/works?sort=published&amp;order=desc&amp;rows=20</x:v>
      </x:c>
      <x:c r="AG142" s="29" t="str"/>
    </x:row>
    <x:row r="143" ht="44" customHeight="1">
      <x:c r="A143" s="29" t="str">
        <x:v>SRC-139</x:v>
      </x:c>
      <x:c r="B143" s="29" t="str">
        <x:f>IF(C143&gt;=93,"S",IF(C143&gt;=90,"A",IF(C143&gt;=80,"B","C")))</x:f>
        <x:v>A</x:v>
      </x:c>
      <x:c r="C143" s="72" t="n">
        <x:f>ROUND((P143*0.20+Q143*0.18+R143*0.20+S143*0.15+T143*0.12+U143*0.10+V143*0.05)*20,0)</x:f>
        <x:v>92</x:v>
      </x:c>
      <x:c r="D143" s="29" t="str">
        <x:v>心理、认知与情商</x:v>
      </x:c>
      <x:c r="E143" s="29" t="str">
        <x:v>循证心理健康</x:v>
      </x:c>
      <x:c r="F143" s="29" t="str">
        <x:v>BMJ Mental Health</x:v>
      </x:c>
      <x:c r="G143" s="29" t="str"/>
      <x:c r="H143" s="29" t="str">
        <x:v>同行评审期刊</x:v>
      </x:c>
      <x:c r="I143" s="29" t="str">
        <x:v>英文</x:v>
      </x:c>
      <x:c r="J143" s="29" t="str">
        <x:v>证据源</x:v>
      </x:c>
      <x:c r="K143" s="29" t="str">
        <x:v>混合开放获取</x:v>
      </x:c>
      <x:c r="L143" s="29" t="str">
        <x:v>持续更新</x:v>
      </x:c>
      <x:c r="M143" s="29" t="str">
        <x:v>https://mentalhealth.bmj.com/</x:v>
      </x:c>
      <x:c r="N143" s="29" t="str">
        <x:v>https://mentalhealth.bmj.com/rss/current.xml</x:v>
      </x:c>
      <x:c r="O143" s="29" t="str">
        <x:v>超时/网络错误</x:v>
      </x:c>
      <x:c r="P143" s="72" t="n">
        <x:v>5</x:v>
      </x:c>
      <x:c r="Q143" s="72" t="n">
        <x:v>5</x:v>
      </x:c>
      <x:c r="R143" s="72" t="n">
        <x:v>5</x:v>
      </x:c>
      <x:c r="S143" s="72" t="n">
        <x:v>4</x:v>
      </x:c>
      <x:c r="T143" s="72" t="n">
        <x:v>4</x:v>
      </x:c>
      <x:c r="U143" s="72" t="n">
        <x:v>4</x:v>
      </x:c>
      <x:c r="V143" s="72" t="n">
        <x:v>4</x:v>
      </x:c>
      <x:c r="W143" s="29" t="str">
        <x:v>用于心理健康干预、诊断与服务体系话题；区分观察研究、试验和系统综述。</x:v>
      </x:c>
      <x:c r="X143" s="29" t="str">
        <x:v>覆盖临床心理、精神卫生、实施研究与证据综合，重视可转化的临床价值。</x:v>
      </x:c>
      <x:c r="Y143" s="29" t="str">
        <x:v>2026-08-17：官方 RSS 页面可被搜索索引；自动检查主页为 403、Feed 为 429，属 CDN/限流，建议在阅读器内实测。；HTTP 429</x:v>
      </x:c>
      <x:c r="Z143" s="75" t="b">
        <x:v>0</x:v>
      </x:c>
      <x:c r="AA143" s="29"/>
      <x:c r="AB143" s="29" t="str">
        <x:v>扩展调研：心理、认知与情商</x:v>
      </x:c>
      <x:c r="AC143" s="29" t="str">
        <x:v>https://mentalhealth.bmj.com/pages/rss-feeds</x:v>
      </x:c>
      <x:c r="AD143" s="29" t="str">
        <x:v>2026-08-17</x:v>
      </x:c>
      <x:c r="AE143" s="29"/>
      <x:c r="AF143" s="29" t="str">
        <x:v>https://mentalhealth.bmj.com/rss/current.xml</x:v>
      </x:c>
      <x:c r="AG143" s="29" t="str"/>
    </x:row>
    <x:row r="144" ht="44" customHeight="1">
      <x:c r="A144" s="29" t="str">
        <x:v>SRC-140</x:v>
      </x:c>
      <x:c r="B144" s="29" t="str">
        <x:f>IF(C144&gt;=93,"S",IF(C144&gt;=90,"A",IF(C144&gt;=80,"B","C")))</x:f>
        <x:v>A</x:v>
      </x:c>
      <x:c r="C144" s="72" t="n">
        <x:f>ROUND((P144*0.20+Q144*0.18+R144*0.20+S144*0.15+T144*0.12+U144*0.10+V144*0.05)*20,0)</x:f>
        <x:v>92</x:v>
      </x:c>
      <x:c r="D144" s="29" t="str">
        <x:v>心理、认知与情商</x:v>
      </x:c>
      <x:c r="E144" s="29" t="str">
        <x:v>社会与行为干预系统综述</x:v>
      </x:c>
      <x:c r="F144" s="29" t="str">
        <x:v>Campbell Collaboration</x:v>
      </x:c>
      <x:c r="G144" s="29" t="str"/>
      <x:c r="H144" s="29" t="str">
        <x:v>系统综述组织</x:v>
      </x:c>
      <x:c r="I144" s="29" t="str">
        <x:v>英文</x:v>
      </x:c>
      <x:c r="J144" s="29" t="str">
        <x:v>证据源</x:v>
      </x:c>
      <x:c r="K144" s="29" t="str">
        <x:v>开放</x:v>
      </x:c>
      <x:c r="L144" s="29" t="str">
        <x:v>每月</x:v>
      </x:c>
      <x:c r="M144" s="29" t="str">
        <x:v>https://www.campbellcollaboration.org/</x:v>
      </x:c>
      <x:c r="N144" s="29" t="str">
        <x:v>https://www.campbellcollaboration.org/feed/</x:v>
      </x:c>
      <x:c r="O144" s="29" t="str">
        <x:v>受限/反爬</x:v>
      </x:c>
      <x:c r="P144" s="72" t="n">
        <x:v>5</x:v>
      </x:c>
      <x:c r="Q144" s="72" t="n">
        <x:v>5</x:v>
      </x:c>
      <x:c r="R144" s="72" t="n">
        <x:v>5</x:v>
      </x:c>
      <x:c r="S144" s="72" t="n">
        <x:v>4</x:v>
      </x:c>
      <x:c r="T144" s="72" t="n">
        <x:v>4</x:v>
      </x:c>
      <x:c r="U144" s="72" t="n">
        <x:v>4</x:v>
      </x:c>
      <x:c r="V144" s="72" t="n">
        <x:v>4</x:v>
      </x:c>
      <x:c r="W144" s="29" t="str">
        <x:v>把行为改变、教育和社会干预写成“证据支持/证据不足/边界条件”型高价值帖。</x:v>
      </x:c>
      <x:c r="X144" s="29" t="str">
        <x:v>聚合教育、社会福利、行为与公共政策干预的系统综述，适合回答“什么方法真正有效”。</x:v>
      </x:c>
      <x:c r="Y144" s="29" t="str">
        <x:v>2026-08-17：主页 200；RSS 200，XML 已确认。；端点未返回可识别的 RSS/Atom XML；可能是反爬、登录页或旧地址。</x:v>
      </x:c>
      <x:c r="Z144" s="75" t="b">
        <x:v>0</x:v>
      </x:c>
      <x:c r="AA144" s="29"/>
      <x:c r="AB144" s="29" t="str">
        <x:v>扩展调研：心理、认知与情商</x:v>
      </x:c>
      <x:c r="AC144" s="29" t="str">
        <x:v>https://www.campbellcollaboration.org/about-campbell.html</x:v>
      </x:c>
      <x:c r="AD144" s="29" t="str">
        <x:v>2026-08-17</x:v>
      </x:c>
      <x:c r="AE144" s="29" t="n">
        <x:v>403</x:v>
      </x:c>
      <x:c r="AF144" s="29" t="str">
        <x:v>https://www.campbellcollaboration.org/feed/</x:v>
      </x:c>
      <x:c r="AG144" s="29" t="str"/>
    </x:row>
    <x:row r="145" ht="44" customHeight="1">
      <x:c r="A145" s="29" t="str">
        <x:v>SRC-141</x:v>
      </x:c>
      <x:c r="B145" s="29" t="str">
        <x:f>IF(C145&gt;=93,"S",IF(C145&gt;=90,"A",IF(C145&gt;=80,"B","C")))</x:f>
        <x:v>A</x:v>
      </x:c>
      <x:c r="C145" s="72" t="n">
        <x:f>ROUND((P145*0.20+Q145*0.18+R145*0.20+S145*0.15+T145*0.12+U145*0.10+V145*0.05)*20,0)</x:f>
        <x:v>92</x:v>
      </x:c>
      <x:c r="D145" s="29" t="str">
        <x:v>心理、认知与情商</x:v>
      </x:c>
      <x:c r="E145" s="29" t="str">
        <x:v>幸福感与沉思科学</x:v>
      </x:c>
      <x:c r="F145" s="29" t="str">
        <x:v>Center for Healthy Minds</x:v>
      </x:c>
      <x:c r="G145" s="29" t="str"/>
      <x:c r="H145" s="29" t="str">
        <x:v>大学跨学科研究中心</x:v>
      </x:c>
      <x:c r="I145" s="29" t="str">
        <x:v>英文</x:v>
      </x:c>
      <x:c r="J145" s="29" t="str">
        <x:v>证据源</x:v>
      </x:c>
      <x:c r="K145" s="29" t="str">
        <x:v>开放；当前未发现稳定公开 RSS</x:v>
      </x:c>
      <x:c r="L145" s="29" t="str">
        <x:v>每月</x:v>
      </x:c>
      <x:c r="M145" s="29" t="str">
        <x:v>https://centerhealthyminds.org/</x:v>
      </x:c>
      <x:c r="N145" s="29" t="str"/>
      <x:c r="O145" s="29" t="str">
        <x:v>无RSS/API入口</x:v>
      </x:c>
      <x:c r="P145" s="72" t="n">
        <x:v>5</x:v>
      </x:c>
      <x:c r="Q145" s="72" t="n">
        <x:v>5</x:v>
      </x:c>
      <x:c r="R145" s="72" t="n">
        <x:v>5</x:v>
      </x:c>
      <x:c r="S145" s="72" t="n">
        <x:v>4</x:v>
      </x:c>
      <x:c r="T145" s="72" t="n">
        <x:v>4</x:v>
      </x:c>
      <x:c r="U145" s="72" t="n">
        <x:v>4</x:v>
      </x:c>
      <x:c r="V145" s="72" t="n">
        <x:v>4</x:v>
      </x:c>
      <x:c r="W145" s="29" t="str">
        <x:v>用于冥想、注意、韧性与幸福感话题；区分机制证据、干预效果和产品宣传。</x:v>
      </x:c>
      <x:c r="X145" s="29" t="str">
        <x:v>UW–Madison 研究中心，连接心理学、神经科学、教育与幸福感干预，并强调研究严谨性。</x:v>
      </x:c>
      <x:c r="Y145" s="29" t="str">
        <x:v>2026-08-17：官方主页 200；未发现固定 RSS。</x:v>
      </x:c>
      <x:c r="Z145" s="75" t="b">
        <x:v>0</x:v>
      </x:c>
      <x:c r="AA145" s="29"/>
      <x:c r="AB145" s="29" t="str">
        <x:v>扩展调研：心理、认知与情商</x:v>
      </x:c>
      <x:c r="AC145" s="29" t="str">
        <x:v>https://www.centerhealthyminds.org/about/</x:v>
      </x:c>
      <x:c r="AD145" s="29" t="str">
        <x:v>2026-08-17</x:v>
      </x:c>
      <x:c r="AE145" s="29"/>
      <x:c r="AF145" s="29" t="str"/>
      <x:c r="AG145" s="29" t="str"/>
    </x:row>
    <x:row r="146" ht="44" customHeight="1">
      <x:c r="A146" s="29" t="str">
        <x:v>SRC-142</x:v>
      </x:c>
      <x:c r="B146" s="29" t="str">
        <x:f>IF(C146&gt;=93,"S",IF(C146&gt;=90,"A",IF(C146&gt;=80,"B","C")))</x:f>
        <x:v>A</x:v>
      </x:c>
      <x:c r="C146" s="72" t="n">
        <x:f>ROUND((P146*0.20+Q146*0.18+R146*0.20+S146*0.15+T146*0.12+U146*0.10+V146*0.05)*20,0)</x:f>
        <x:v>92</x:v>
      </x:c>
      <x:c r="D146" s="29" t="str">
        <x:v>心理、认知与情商</x:v>
      </x:c>
      <x:c r="E146" s="29" t="str">
        <x:v>心理健康系统综述</x:v>
      </x:c>
      <x:c r="F146" s="29" t="str">
        <x:v>Cochrane Global Mental Health</x:v>
      </x:c>
      <x:c r="G146" s="29" t="str"/>
      <x:c r="H146" s="29" t="str">
        <x:v>系统综述 / 证据综合</x:v>
      </x:c>
      <x:c r="I146" s="29" t="str">
        <x:v>英文</x:v>
      </x:c>
      <x:c r="J146" s="29" t="str">
        <x:v>证据源</x:v>
      </x:c>
      <x:c r="K146" s="29" t="str">
        <x:v>专题与摘要开放；部分全文受限</x:v>
      </x:c>
      <x:c r="L146" s="29" t="str">
        <x:v>不定期</x:v>
      </x:c>
      <x:c r="M146" s="29" t="str">
        <x:v>https://globalmentalhealth.cochrane.org/evidence</x:v>
      </x:c>
      <x:c r="N146" s="29" t="str">
        <x:v>https://www.cochrane.org/about-us/news/all/rss</x:v>
      </x:c>
      <x:c r="O146" s="29" t="str">
        <x:v>有效</x:v>
      </x:c>
      <x:c r="P146" s="72" t="n">
        <x:v>5</x:v>
      </x:c>
      <x:c r="Q146" s="72" t="n">
        <x:v>5</x:v>
      </x:c>
      <x:c r="R146" s="72" t="n">
        <x:v>5</x:v>
      </x:c>
      <x:c r="S146" s="72" t="n">
        <x:v>4</x:v>
      </x:c>
      <x:c r="T146" s="72" t="n">
        <x:v>4</x:v>
      </x:c>
      <x:c r="U146" s="72" t="n">
        <x:v>4</x:v>
      </x:c>
      <x:c r="V146" s="72" t="n">
        <x:v>4</x:v>
      </x:c>
      <x:c r="W146" s="29" t="str">
        <x:v>讨论某种心理干预是否有效时优先检索；用效应、证据确定性与适用人群组织帖文。</x:v>
      </x:c>
      <x:c r="X146" s="29" t="str">
        <x:v>Cochrane 方法体系下的心理健康干预、促进和预防证据，适合校准疗效类主张。</x:v>
      </x:c>
      <x:c r="Y146" s="29" t="str">
        <x:v>2026-08-17：Global Mental Health 证据页 200；Cochrane 全站新闻 RSS 200，需按 mental health 关键词过滤，专题页无独立 Feed。</x:v>
      </x:c>
      <x:c r="Z146" s="75" t="b">
        <x:v>0</x:v>
      </x:c>
      <x:c r="AA146" s="29"/>
      <x:c r="AB146" s="29" t="str">
        <x:v>扩展调研：心理、认知与情商</x:v>
      </x:c>
      <x:c r="AC146" s="29" t="str">
        <x:v>https://globalmentalhealth.cochrane.org/evidence</x:v>
      </x:c>
      <x:c r="AD146" s="29" t="str">
        <x:v>2026-08-17</x:v>
      </x:c>
      <x:c r="AE146" s="29" t="n">
        <x:v>200</x:v>
      </x:c>
      <x:c r="AF146" s="29" t="str">
        <x:v>https://www.cochrane.org/about-us/news/all/rss</x:v>
      </x:c>
      <x:c r="AG146" s="29" t="str"/>
    </x:row>
    <x:row r="147" ht="44" customHeight="1">
      <x:c r="A147" s="29" t="str">
        <x:v>SRC-143</x:v>
      </x:c>
      <x:c r="B147" s="29" t="str">
        <x:f>IF(C147&gt;=93,"S",IF(C147&gt;=90,"A",IF(C147&gt;=80,"B","C")))</x:f>
        <x:v>A</x:v>
      </x:c>
      <x:c r="C147" s="72" t="n">
        <x:f>ROUND((P147*0.20+Q147*0.18+R147*0.20+S147*0.15+T147*0.12+U147*0.10+V147*0.05)*20,0)</x:f>
        <x:v>92</x:v>
      </x:c>
      <x:c r="D147" s="29" t="str">
        <x:v>心理、认知与情商</x:v>
      </x:c>
      <x:c r="E147" s="29" t="str">
        <x:v>认知机制与现实应用</x:v>
      </x:c>
      <x:c r="F147" s="29" t="str">
        <x:v>Cognitive Research: Principles and Implications</x:v>
      </x:c>
      <x:c r="G147" s="29" t="str"/>
      <x:c r="H147" s="29" t="str">
        <x:v>同行评审开放期刊</x:v>
      </x:c>
      <x:c r="I147" s="29" t="str">
        <x:v>英文</x:v>
      </x:c>
      <x:c r="J147" s="29" t="str">
        <x:v>证据源</x:v>
      </x:c>
      <x:c r="K147" s="29" t="str">
        <x:v>开放获取</x:v>
      </x:c>
      <x:c r="L147" s="29" t="str">
        <x:v>持续更新</x:v>
      </x:c>
      <x:c r="M147" s="29" t="str">
        <x:v>https://link.springer.com/journal/41235</x:v>
      </x:c>
      <x:c r="N147" s="29" t="str">
        <x:v>https://api.crossref.org/journals/2365-7464/works?sort=published&amp;order=desc&amp;rows=20</x:v>
      </x:c>
      <x:c r="O147" s="29" t="str">
        <x:v>API入口</x:v>
      </x:c>
      <x:c r="P147" s="72" t="n">
        <x:v>5</x:v>
      </x:c>
      <x:c r="Q147" s="72" t="n">
        <x:v>5</x:v>
      </x:c>
      <x:c r="R147" s="72" t="n">
        <x:v>5</x:v>
      </x:c>
      <x:c r="S147" s="72" t="n">
        <x:v>4</x:v>
      </x:c>
      <x:c r="T147" s="72" t="n">
        <x:v>4</x:v>
      </x:c>
      <x:c r="U147" s="72" t="n">
        <x:v>4</x:v>
      </x:c>
      <x:c r="V147" s="72" t="n">
        <x:v>4</x:v>
      </x:c>
      <x:c r="W147" s="29" t="str">
        <x:v>把实验室机制转译为学习与工作建议，同时写清效应边界和生态效度。</x:v>
      </x:c>
      <x:c r="X147" s="29" t="str">
        <x:v>强调认知研究对学习、决策和现实任务的意义，全文开放且实践关联强。</x:v>
      </x:c>
      <x:c r="Y147" s="29" t="str">
        <x:v>2026-08-17：Springer 主页 200；原站 RSS 已迁移为 HTML，改用 Crossref ISSN API，返回 200 JSON。；未按 RSS/Atom 校验。</x:v>
      </x:c>
      <x:c r="Z147" s="75" t="b">
        <x:v>0</x:v>
      </x:c>
      <x:c r="AA147" s="29"/>
      <x:c r="AB147" s="29" t="str">
        <x:v>扩展调研：心理、认知与情商</x:v>
      </x:c>
      <x:c r="AC147" s="29" t="str">
        <x:v>https://link.springer.com/journal/41235</x:v>
      </x:c>
      <x:c r="AD147" s="29" t="str">
        <x:v>2026-08-17</x:v>
      </x:c>
      <x:c r="AE147" s="29"/>
      <x:c r="AF147" s="29" t="str">
        <x:v>https://api.crossref.org/journals/2365-7464/works?sort=published&amp;order=desc&amp;rows=20</x:v>
      </x:c>
      <x:c r="AG147" s="29" t="str"/>
    </x:row>
    <x:row r="148" ht="44" customHeight="1">
      <x:c r="A148" s="29" t="str">
        <x:v>SRC-144</x:v>
      </x:c>
      <x:c r="B148" s="29" t="str">
        <x:f>IF(C148&gt;=93,"S",IF(C148&gt;=90,"A",IF(C148&gt;=80,"B","C")))</x:f>
        <x:v>A</x:v>
      </x:c>
      <x:c r="C148" s="72" t="n">
        <x:f>ROUND((P148*0.20+Q148*0.18+R148*0.20+S148*0.15+T148*0.12+U148*0.10+V148*0.05)*20,0)</x:f>
        <x:v>92</x:v>
      </x:c>
      <x:c r="D148" s="29" t="str">
        <x:v>心理、认知与情商</x:v>
      </x:c>
      <x:c r="E148" s="29" t="str">
        <x:v>情绪理论与跨学科综述</x:v>
      </x:c>
      <x:c r="F148" s="29" t="str">
        <x:v>Emotion Review</x:v>
      </x:c>
      <x:c r="G148" s="29" t="str"/>
      <x:c r="H148" s="29" t="str">
        <x:v>同行评审综述期刊</x:v>
      </x:c>
      <x:c r="I148" s="29" t="str">
        <x:v>英文</x:v>
      </x:c>
      <x:c r="J148" s="29" t="str">
        <x:v>证据源</x:v>
      </x:c>
      <x:c r="K148" s="29" t="str">
        <x:v>摘要开放；正文混合</x:v>
      </x:c>
      <x:c r="L148" s="29" t="str">
        <x:v>季度</x:v>
      </x:c>
      <x:c r="M148" s="29" t="str">
        <x:v>https://journals.sagepub.com/home/emr</x:v>
      </x:c>
      <x:c r="N148" s="29" t="str">
        <x:v>https://journals.sagepub.com/action/showFeed?type=etoc&amp;feed=rss&amp;jc=emra</x:v>
      </x:c>
      <x:c r="O148" s="29" t="str">
        <x:v>有效</x:v>
      </x:c>
      <x:c r="P148" s="72" t="n">
        <x:v>5</x:v>
      </x:c>
      <x:c r="Q148" s="72" t="n">
        <x:v>5</x:v>
      </x:c>
      <x:c r="R148" s="72" t="n">
        <x:v>5</x:v>
      </x:c>
      <x:c r="S148" s="72" t="n">
        <x:v>4</x:v>
      </x:c>
      <x:c r="T148" s="72" t="n">
        <x:v>4</x:v>
      </x:c>
      <x:c r="U148" s="72" t="n">
        <x:v>4</x:v>
      </x:c>
      <x:c r="V148" s="72" t="n">
        <x:v>4</x:v>
      </x:c>
      <x:c r="W148" s="29" t="str">
        <x:v>适合写“不同情绪理论如何解释同一现象”的比较帖，而非单一技巧型内容。</x:v>
      </x:c>
      <x:c r="X148" s="29" t="str">
        <x:v>International Society for Research on Emotion 关联期刊，侧重情绪理论、综述和跨学科争论。</x:v>
      </x:c>
      <x:c r="Y148" s="29" t="str">
        <x:v>2026-08-17：期刊主页自动检查 403；SAGE 官方 RSS 200，RDF/XML 已确认。</x:v>
      </x:c>
      <x:c r="Z148" s="75" t="b">
        <x:v>0</x:v>
      </x:c>
      <x:c r="AA148" s="29"/>
      <x:c r="AB148" s="29" t="str">
        <x:v>扩展调研：心理、认知与情商</x:v>
      </x:c>
      <x:c r="AC148" s="29" t="str">
        <x:v>https://journals.sagepub.com/home/emr</x:v>
      </x:c>
      <x:c r="AD148" s="29" t="str">
        <x:v>2026-08-17</x:v>
      </x:c>
      <x:c r="AE148" s="29" t="n">
        <x:v>200</x:v>
      </x:c>
      <x:c r="AF148" s="29" t="str">
        <x:v>https://journals.sagepub.com/action/showFeed?type=etoc&amp;feed=rss&amp;jc=emra</x:v>
      </x:c>
      <x:c r="AG148" s="29" t="str"/>
    </x:row>
    <x:row r="149" ht="44" customHeight="1">
      <x:c r="A149" s="29" t="str">
        <x:v>SRC-145</x:v>
      </x:c>
      <x:c r="B149" s="29" t="str">
        <x:f>IF(C149&gt;=93,"S",IF(C149&gt;=90,"A",IF(C149&gt;=80,"B","C")))</x:f>
        <x:v>A</x:v>
      </x:c>
      <x:c r="C149" s="72" t="n">
        <x:f>ROUND((P149*0.20+Q149*0.18+R149*0.20+S149*0.15+T149*0.12+U149*0.10+V149*0.05)*20,0)</x:f>
        <x:v>92</x:v>
      </x:c>
      <x:c r="D149" s="29" t="str">
        <x:v>心理、认知与情商</x:v>
      </x:c>
      <x:c r="E149" s="29" t="str">
        <x:v>跨学科人类行为研究</x:v>
      </x:c>
      <x:c r="F149" s="29" t="str">
        <x:v>Nature Human Behaviour</x:v>
      </x:c>
      <x:c r="G149" s="29" t="str"/>
      <x:c r="H149" s="29" t="str">
        <x:v>同行评审期刊</x:v>
      </x:c>
      <x:c r="I149" s="29" t="str">
        <x:v>英文</x:v>
      </x:c>
      <x:c r="J149" s="29" t="str">
        <x:v>证据源</x:v>
      </x:c>
      <x:c r="K149" s="29" t="str">
        <x:v>摘要开放；正文混合</x:v>
      </x:c>
      <x:c r="L149" s="29" t="str">
        <x:v>月刊 / 在线优先</x:v>
      </x:c>
      <x:c r="M149" s="29" t="str">
        <x:v>https://www.nature.com/nathumbehav/</x:v>
      </x:c>
      <x:c r="N149" s="29" t="str">
        <x:v>https://www.nature.com/nathumbehav.rss</x:v>
      </x:c>
      <x:c r="O149" s="29" t="str">
        <x:v>有效</x:v>
      </x:c>
      <x:c r="P149" s="72" t="n">
        <x:v>5</x:v>
      </x:c>
      <x:c r="Q149" s="72" t="n">
        <x:v>5</x:v>
      </x:c>
      <x:c r="R149" s="72" t="n">
        <x:v>5</x:v>
      </x:c>
      <x:c r="S149" s="72" t="n">
        <x:v>4</x:v>
      </x:c>
      <x:c r="T149" s="72" t="n">
        <x:v>4</x:v>
      </x:c>
      <x:c r="U149" s="72" t="n">
        <x:v>4</x:v>
      </x:c>
      <x:c r="V149" s="72" t="n">
        <x:v>4</x:v>
      </x:c>
      <x:c r="W149" s="29" t="str">
        <x:v>寻找能连接个人行为与社会系统的新研究；发布前检查研究设计与评论争议。</x:v>
      </x:c>
      <x:c r="X149" s="29" t="str">
        <x:v>连接心理学、认知科学、经济学、社会科学与健康研究，特别适合跨学科行为主题。</x:v>
      </x:c>
      <x:c r="Y149" s="29" t="str">
        <x:v>2026-08-17：主页 200；官方 RSS 200，RDF/RSS 已确认。</x:v>
      </x:c>
      <x:c r="Z149" s="75" t="b">
        <x:v>0</x:v>
      </x:c>
      <x:c r="AA149" s="29"/>
      <x:c r="AB149" s="29" t="str">
        <x:v>扩展调研：心理、认知与情商</x:v>
      </x:c>
      <x:c r="AC149" s="29" t="str">
        <x:v>https://www.nature.com/nathumbehav/journal-information</x:v>
      </x:c>
      <x:c r="AD149" s="29" t="str">
        <x:v>2026-08-17</x:v>
      </x:c>
      <x:c r="AE149" s="29" t="n">
        <x:v>200</x:v>
      </x:c>
      <x:c r="AF149" s="29" t="str">
        <x:v>https://www.nature.com/nathumbehav.rss</x:v>
      </x:c>
      <x:c r="AG149" s="29" t="str"/>
    </x:row>
    <x:row r="150" ht="44" customHeight="1">
      <x:c r="A150" s="29" t="str">
        <x:v>SRC-146</x:v>
      </x:c>
      <x:c r="B150" s="29" t="str">
        <x:f>IF(C150&gt;=93,"S",IF(C150&gt;=90,"A",IF(C150&gt;=80,"B","C")))</x:f>
        <x:v>A</x:v>
      </x:c>
      <x:c r="C150" s="72" t="n">
        <x:f>ROUND((P150*0.20+Q150*0.18+R150*0.20+S150*0.15+T150*0.12+U150*0.10+V150*0.05)*20,0)</x:f>
        <x:v>92</x:v>
      </x:c>
      <x:c r="D150" s="29" t="str">
        <x:v>心理、认知与情商</x:v>
      </x:c>
      <x:c r="E150" s="29" t="str">
        <x:v>心理学综述</x:v>
      </x:c>
      <x:c r="F150" s="29" t="str">
        <x:v>Nature Reviews Psychology</x:v>
      </x:c>
      <x:c r="G150" s="29" t="str"/>
      <x:c r="H150" s="29" t="str">
        <x:v>同行评审综述期刊</x:v>
      </x:c>
      <x:c r="I150" s="29" t="str">
        <x:v>英文</x:v>
      </x:c>
      <x:c r="J150" s="29" t="str">
        <x:v>证据源</x:v>
      </x:c>
      <x:c r="K150" s="29" t="str">
        <x:v>摘要开放；正文混合</x:v>
      </x:c>
      <x:c r="L150" s="29" t="str">
        <x:v>月更 / 在线优先</x:v>
      </x:c>
      <x:c r="M150" s="29" t="str">
        <x:v>https://www.nature.com/nrpsychol/</x:v>
      </x:c>
      <x:c r="N150" s="29" t="str">
        <x:v>https://www.nature.com/nrpsychol.rss</x:v>
      </x:c>
      <x:c r="O150" s="29" t="str">
        <x:v>有效</x:v>
      </x:c>
      <x:c r="P150" s="72" t="n">
        <x:v>5</x:v>
      </x:c>
      <x:c r="Q150" s="72" t="n">
        <x:v>5</x:v>
      </x:c>
      <x:c r="R150" s="72" t="n">
        <x:v>5</x:v>
      </x:c>
      <x:c r="S150" s="72" t="n">
        <x:v>4</x:v>
      </x:c>
      <x:c r="T150" s="72" t="n">
        <x:v>4</x:v>
      </x:c>
      <x:c r="U150" s="72" t="n">
        <x:v>4</x:v>
      </x:c>
      <x:c r="V150" s="72" t="n">
        <x:v>4</x:v>
      </x:c>
      <x:c r="W150" s="29" t="str">
        <x:v>把综述中的框架、关键图表和未解问题转成高密度线程；注意正文访问权限。</x:v>
      </x:c>
      <x:c r="X150" s="29" t="str">
        <x:v>跨心理学分支的高质量综述、观点和研究亮点，便于迅速掌握新领域共识。</x:v>
      </x:c>
      <x:c r="Y150" s="29" t="str">
        <x:v>2026-08-17：主页 200；官方 RSS 200，RDF/RSS 已确认。</x:v>
      </x:c>
      <x:c r="Z150" s="75" t="b">
        <x:v>0</x:v>
      </x:c>
      <x:c r="AA150" s="29"/>
      <x:c r="AB150" s="29" t="str">
        <x:v>扩展调研：心理、认知与情商</x:v>
      </x:c>
      <x:c r="AC150" s="29" t="str">
        <x:v>https://www.nature.com/nrpsychol/journal-information</x:v>
      </x:c>
      <x:c r="AD150" s="29" t="str">
        <x:v>2026-08-17</x:v>
      </x:c>
      <x:c r="AE150" s="29" t="n">
        <x:v>200</x:v>
      </x:c>
      <x:c r="AF150" s="29" t="str">
        <x:v>https://www.nature.com/nrpsychol.rss</x:v>
      </x:c>
      <x:c r="AG150" s="29" t="str"/>
    </x:row>
    <x:row r="151" ht="44" customHeight="1">
      <x:c r="A151" s="29" t="str">
        <x:v>SRC-147</x:v>
      </x:c>
      <x:c r="B151" s="29" t="str">
        <x:f>IF(C151&gt;=93,"S",IF(C151&gt;=90,"A",IF(C151&gt;=80,"B","C")))</x:f>
        <x:v>A</x:v>
      </x:c>
      <x:c r="C151" s="72" t="n">
        <x:f>ROUND((P151*0.20+Q151*0.18+R151*0.20+S151*0.15+T151*0.12+U151*0.10+V151*0.05)*20,0)</x:f>
        <x:v>92</x:v>
      </x:c>
      <x:c r="D151" s="29" t="str">
        <x:v>心理、认知与情商</x:v>
      </x:c>
      <x:c r="E151" s="29" t="str">
        <x:v>理论、方法与综合评论</x:v>
      </x:c>
      <x:c r="F151" s="29" t="str">
        <x:v>Perspectives on Psychological Science</x:v>
      </x:c>
      <x:c r="G151" s="29" t="str"/>
      <x:c r="H151" s="29" t="str">
        <x:v>同行评审综述与观点期刊</x:v>
      </x:c>
      <x:c r="I151" s="29" t="str">
        <x:v>英文</x:v>
      </x:c>
      <x:c r="J151" s="29" t="str">
        <x:v>证据源</x:v>
      </x:c>
      <x:c r="K151" s="29" t="str">
        <x:v>摘要开放；正文混合</x:v>
      </x:c>
      <x:c r="L151" s="29" t="str">
        <x:v>双月刊 / 在线优先</x:v>
      </x:c>
      <x:c r="M151" s="29" t="str">
        <x:v>https://www.psychologicalscience.org/publications/perspectives</x:v>
      </x:c>
      <x:c r="N151" s="29" t="str">
        <x:v>https://journals.sagepub.com/action/showFeed?type=etoc&amp;feed=rss&amp;jc=ppsa</x:v>
      </x:c>
      <x:c r="O151" s="29" t="str">
        <x:v>有效</x:v>
      </x:c>
      <x:c r="P151" s="72" t="n">
        <x:v>5</x:v>
      </x:c>
      <x:c r="Q151" s="72" t="n">
        <x:v>5</x:v>
      </x:c>
      <x:c r="R151" s="72" t="n">
        <x:v>5</x:v>
      </x:c>
      <x:c r="S151" s="72" t="n">
        <x:v>4</x:v>
      </x:c>
      <x:c r="T151" s="72" t="n">
        <x:v>4</x:v>
      </x:c>
      <x:c r="U151" s="72" t="n">
        <x:v>4</x:v>
      </x:c>
      <x:c r="V151" s="72" t="n">
        <x:v>4</x:v>
      </x:c>
      <x:c r="W151" s="29" t="str">
        <x:v>适合写“研究看似证明了什么、其实还缺什么”的纠偏型帖文。</x:v>
      </x:c>
      <x:c r="X151" s="29" t="str">
        <x:v>关注理论整合、方法争议、元科学和大型综述，能为热点结论补上反方证据与边界。</x:v>
      </x:c>
      <x:c r="Y151" s="29" t="str">
        <x:v>2026-08-17：APS 期刊页 200；SAGE 官方 RSS 200，RDF/XML 已确认。</x:v>
      </x:c>
      <x:c r="Z151" s="75" t="b">
        <x:v>0</x:v>
      </x:c>
      <x:c r="AA151" s="29"/>
      <x:c r="AB151" s="29" t="str">
        <x:v>扩展调研：心理、认知与情商</x:v>
      </x:c>
      <x:c r="AC151" s="29" t="str">
        <x:v>https://www.psychologicalscience.org/publications/perspectives</x:v>
      </x:c>
      <x:c r="AD151" s="29" t="str">
        <x:v>2026-08-17</x:v>
      </x:c>
      <x:c r="AE151" s="29" t="n">
        <x:v>200</x:v>
      </x:c>
      <x:c r="AF151" s="29" t="str">
        <x:v>https://journals.sagepub.com/action/showFeed?type=etoc&amp;feed=rss&amp;jc=ppsa</x:v>
      </x:c>
      <x:c r="AG151" s="29" t="str"/>
    </x:row>
    <x:row r="152" ht="44" customHeight="1">
      <x:c r="A152" s="29" t="str">
        <x:v>SRC-148</x:v>
      </x:c>
      <x:c r="B152" s="29" t="str">
        <x:f>IF(C152&gt;=93,"S",IF(C152&gt;=90,"A",IF(C152&gt;=80,"B","C")))</x:f>
        <x:v>A</x:v>
      </x:c>
      <x:c r="C152" s="72" t="n">
        <x:f>ROUND((P152*0.20+Q152*0.18+R152*0.20+S152*0.15+T152*0.12+U152*0.10+V152*0.05)*20,0)</x:f>
        <x:v>92</x:v>
      </x:c>
      <x:c r="D152" s="29" t="str">
        <x:v>心理、认知与情商</x:v>
      </x:c>
      <x:c r="E152" s="29" t="str">
        <x:v>综合心理科学</x:v>
      </x:c>
      <x:c r="F152" s="29" t="str">
        <x:v>Psychological Science</x:v>
      </x:c>
      <x:c r="G152" s="29" t="str"/>
      <x:c r="H152" s="29" t="str">
        <x:v>同行评审期刊</x:v>
      </x:c>
      <x:c r="I152" s="29" t="str">
        <x:v>英文</x:v>
      </x:c>
      <x:c r="J152" s="29" t="str">
        <x:v>证据源</x:v>
      </x:c>
      <x:c r="K152" s="29" t="str">
        <x:v>摘要开放；正文混合</x:v>
      </x:c>
      <x:c r="L152" s="29" t="str">
        <x:v>月刊 / 在线优先</x:v>
      </x:c>
      <x:c r="M152" s="29" t="str">
        <x:v>https://www.psychologicalscience.org/publications/psychological_science</x:v>
      </x:c>
      <x:c r="N152" s="29" t="str">
        <x:v>https://journals.sagepub.com/action/showFeed?type=etoc&amp;feed=rss&amp;jc=pssa</x:v>
      </x:c>
      <x:c r="O152" s="29" t="str">
        <x:v>有效</x:v>
      </x:c>
      <x:c r="P152" s="72" t="n">
        <x:v>5</x:v>
      </x:c>
      <x:c r="Q152" s="72" t="n">
        <x:v>5</x:v>
      </x:c>
      <x:c r="R152" s="72" t="n">
        <x:v>5</x:v>
      </x:c>
      <x:c r="S152" s="72" t="n">
        <x:v>4</x:v>
      </x:c>
      <x:c r="T152" s="72" t="n">
        <x:v>4</x:v>
      </x:c>
      <x:c r="U152" s="72" t="n">
        <x:v>4</x:v>
      </x:c>
      <x:c r="V152" s="72" t="n">
        <x:v>4</x:v>
      </x:c>
      <x:c r="W152" s="29" t="str">
        <x:v>用作新论文雷达；发帖时报告样本、设计、效应量和复制状态，避免只摘结论。</x:v>
      </x:c>
      <x:c r="X152" s="29" t="str">
        <x:v>APS 旗舰期刊，覆盖认知、社会、发展与行为研究，适合发现有公共传播潜力的新结果。</x:v>
      </x:c>
      <x:c r="Y152" s="29" t="str">
        <x:v>2026-08-17：APS 期刊页 200；SAGE 官方 RSS 200，RDF/XML 已确认。</x:v>
      </x:c>
      <x:c r="Z152" s="75" t="b">
        <x:v>0</x:v>
      </x:c>
      <x:c r="AA152" s="29"/>
      <x:c r="AB152" s="29" t="str">
        <x:v>扩展调研：心理、认知与情商</x:v>
      </x:c>
      <x:c r="AC152" s="29" t="str">
        <x:v>https://www.psychologicalscience.org/publications/psychological_science</x:v>
      </x:c>
      <x:c r="AD152" s="29" t="str">
        <x:v>2026-08-17</x:v>
      </x:c>
      <x:c r="AE152" s="29" t="n">
        <x:v>200</x:v>
      </x:c>
      <x:c r="AF152" s="29" t="str">
        <x:v>https://journals.sagepub.com/action/showFeed?type=etoc&amp;feed=rss&amp;jc=pssa</x:v>
      </x:c>
      <x:c r="AG152" s="29" t="str"/>
    </x:row>
    <x:row r="153" ht="44" customHeight="1">
      <x:c r="A153" s="29" t="str">
        <x:v>SRC-149</x:v>
      </x:c>
      <x:c r="B153" s="29" t="str">
        <x:f>IF(C153&gt;=93,"S",IF(C153&gt;=90,"A",IF(C153&gt;=80,"B","C")))</x:f>
        <x:v>A</x:v>
      </x:c>
      <x:c r="C153" s="72" t="n">
        <x:f>ROUND((P153*0.20+Q153*0.18+R153*0.20+S153*0.15+T153*0.12+U153*0.10+V153*0.05)*20,0)</x:f>
        <x:v>92</x:v>
      </x:c>
      <x:c r="D153" s="29" t="str">
        <x:v>心理、认知与情商</x:v>
      </x:c>
      <x:c r="E153" s="29" t="str">
        <x:v>公共利益心理科学综述</x:v>
      </x:c>
      <x:c r="F153" s="29" t="str">
        <x:v>Psychological Science in the Public Interest（PSPI）</x:v>
      </x:c>
      <x:c r="G153" s="29" t="str"/>
      <x:c r="H153" s="29" t="str">
        <x:v>同行评审综合报告</x:v>
      </x:c>
      <x:c r="I153" s="29" t="str">
        <x:v>英文</x:v>
      </x:c>
      <x:c r="J153" s="29" t="str">
        <x:v>证据源</x:v>
      </x:c>
      <x:c r="K153" s="29" t="str">
        <x:v>摘要开放；部分报告开放</x:v>
      </x:c>
      <x:c r="L153" s="29" t="str">
        <x:v>每年约三期</x:v>
      </x:c>
      <x:c r="M153" s="29" t="str">
        <x:v>https://www.psychologicalscience.org/publications/pspi</x:v>
      </x:c>
      <x:c r="N153" s="29" t="str">
        <x:v>https://journals.sagepub.com/action/showFeed?type=etoc&amp;feed=rss&amp;jc=psia</x:v>
      </x:c>
      <x:c r="O153" s="29" t="str">
        <x:v>有效</x:v>
      </x:c>
      <x:c r="P153" s="72" t="n">
        <x:v>5</x:v>
      </x:c>
      <x:c r="Q153" s="72" t="n">
        <x:v>5</x:v>
      </x:c>
      <x:c r="R153" s="72" t="n">
        <x:v>5</x:v>
      </x:c>
      <x:c r="S153" s="72" t="n">
        <x:v>4</x:v>
      </x:c>
      <x:c r="T153" s="72" t="n">
        <x:v>4</x:v>
      </x:c>
      <x:c r="U153" s="72" t="n">
        <x:v>4</x:v>
      </x:c>
      <x:c r="V153" s="72" t="n">
        <x:v>4</x:v>
      </x:c>
      <x:c r="W153" s="29" t="str">
        <x:v>将一篇报告拆成“问题—证据—误区—建议”系列帖，适合高利他型内容。</x:v>
      </x:c>
      <x:c r="X153" s="29" t="str">
        <x:v>针对教育、健康和社会议题发布长篇证据评估，数量少但信息密度很高。</x:v>
      </x:c>
      <x:c r="Y153" s="29" t="str">
        <x:v>2026-08-17：APS 期刊页 200；SAGE 官方 RSS 200，RDF/XML 已确认。</x:v>
      </x:c>
      <x:c r="Z153" s="75" t="b">
        <x:v>0</x:v>
      </x:c>
      <x:c r="AA153" s="29"/>
      <x:c r="AB153" s="29" t="str">
        <x:v>扩展调研：心理、认知与情商</x:v>
      </x:c>
      <x:c r="AC153" s="29" t="str">
        <x:v>https://www.psychologicalscience.org/publications/pspi</x:v>
      </x:c>
      <x:c r="AD153" s="29" t="str">
        <x:v>2026-08-17</x:v>
      </x:c>
      <x:c r="AE153" s="29" t="n">
        <x:v>200</x:v>
      </x:c>
      <x:c r="AF153" s="29" t="str">
        <x:v>https://journals.sagepub.com/action/showFeed?type=etoc&amp;feed=rss&amp;jc=psia</x:v>
      </x:c>
      <x:c r="AG153" s="29" t="str"/>
    </x:row>
    <x:row r="154" ht="44" customHeight="1">
      <x:c r="A154" s="29" t="str">
        <x:v>SRC-150</x:v>
      </x:c>
      <x:c r="B154" s="29" t="str">
        <x:f>IF(C154&gt;=93,"S",IF(C154&gt;=90,"A",IF(C154&gt;=80,"B","C")))</x:f>
        <x:v>A</x:v>
      </x:c>
      <x:c r="C154" s="72" t="n">
        <x:f>ROUND((P154*0.20+Q154*0.18+R154*0.20+S154*0.15+T154*0.12+U154*0.10+V154*0.05)*20,0)</x:f>
        <x:v>92</x:v>
      </x:c>
      <x:c r="D154" s="29" t="str">
        <x:v>心理、认知与情商</x:v>
      </x:c>
      <x:c r="E154" s="29" t="str">
        <x:v>社会与人格心理学</x:v>
      </x:c>
      <x:c r="F154" s="29" t="str">
        <x:v>Social Psychological and Personality Science</x:v>
      </x:c>
      <x:c r="G154" s="29" t="str"/>
      <x:c r="H154" s="29" t="str">
        <x:v>同行评审期刊</x:v>
      </x:c>
      <x:c r="I154" s="29" t="str">
        <x:v>英文</x:v>
      </x:c>
      <x:c r="J154" s="29" t="str">
        <x:v>证据源</x:v>
      </x:c>
      <x:c r="K154" s="29" t="str">
        <x:v>摘要开放；正文混合</x:v>
      </x:c>
      <x:c r="L154" s="29" t="str">
        <x:v>每年八期 / 在线优先</x:v>
      </x:c>
      <x:c r="M154" s="29" t="str">
        <x:v>https://journals.sagepub.com/home/spp</x:v>
      </x:c>
      <x:c r="N154" s="29" t="str">
        <x:v>https://journals.sagepub.com/action/showFeed?type=etoc&amp;feed=rss&amp;jc=sppa</x:v>
      </x:c>
      <x:c r="O154" s="29" t="str">
        <x:v>有效</x:v>
      </x:c>
      <x:c r="P154" s="72" t="n">
        <x:v>5</x:v>
      </x:c>
      <x:c r="Q154" s="72" t="n">
        <x:v>5</x:v>
      </x:c>
      <x:c r="R154" s="72" t="n">
        <x:v>5</x:v>
      </x:c>
      <x:c r="S154" s="72" t="n">
        <x:v>4</x:v>
      </x:c>
      <x:c r="T154" s="72" t="n">
        <x:v>4</x:v>
      </x:c>
      <x:c r="U154" s="72" t="n">
        <x:v>4</x:v>
      </x:c>
      <x:c r="V154" s="72" t="n">
        <x:v>4</x:v>
      </x:c>
      <x:c r="W154" s="29" t="str">
        <x:v>寻找关系、人际和社会行为的新研究；优先大样本、预注册与多研究论文。</x:v>
      </x:c>
      <x:c r="X154" s="29" t="str">
        <x:v>以简洁实证报告覆盖关系、人格、社会认知与群体行为，更新速度较快。</x:v>
      </x:c>
      <x:c r="Y154" s="29" t="str">
        <x:v>2026-08-17：期刊主页自动检查 403；SAGE 官方 RSS 200，RDF/XML 已确认。</x:v>
      </x:c>
      <x:c r="Z154" s="75" t="b">
        <x:v>0</x:v>
      </x:c>
      <x:c r="AA154" s="29"/>
      <x:c r="AB154" s="29" t="str">
        <x:v>扩展调研：心理、认知与情商</x:v>
      </x:c>
      <x:c r="AC154" s="29" t="str">
        <x:v>https://journals.sagepub.com/connected/spp</x:v>
      </x:c>
      <x:c r="AD154" s="29" t="str">
        <x:v>2026-08-17</x:v>
      </x:c>
      <x:c r="AE154" s="29" t="n">
        <x:v>200</x:v>
      </x:c>
      <x:c r="AF154" s="29" t="str">
        <x:v>https://journals.sagepub.com/action/showFeed?type=etoc&amp;feed=rss&amp;jc=sppa</x:v>
      </x:c>
      <x:c r="AG154" s="29" t="str"/>
    </x:row>
    <x:row r="155" ht="44" customHeight="1">
      <x:c r="A155" s="29" t="str">
        <x:v>SRC-151</x:v>
      </x:c>
      <x:c r="B155" s="29" t="str">
        <x:f>IF(C155&gt;=93,"S",IF(C155&gt;=90,"A",IF(C155&gt;=80,"B","C")))</x:f>
        <x:v>A</x:v>
      </x:c>
      <x:c r="C155" s="72" t="n">
        <x:f>ROUND((P155*0.20+Q155*0.18+R155*0.20+S155*0.15+T155*0.12+U155*0.10+V155*0.05)*20,0)</x:f>
        <x:v>92</x:v>
      </x:c>
      <x:c r="D155" s="29" t="str">
        <x:v>心理、认知与情商</x:v>
      </x:c>
      <x:c r="E155" s="29" t="str">
        <x:v>同理心、慈悲与利他研究</x:v>
      </x:c>
      <x:c r="F155" s="29" t="str">
        <x:v>Stanford Center for Compassion and Altruism Research and Education（CCARE）</x:v>
      </x:c>
      <x:c r="G155" s="29" t="str"/>
      <x:c r="H155" s="29" t="str">
        <x:v>大学研究中心</x:v>
      </x:c>
      <x:c r="I155" s="29" t="str">
        <x:v>英文</x:v>
      </x:c>
      <x:c r="J155" s="29" t="str">
        <x:v>证据源</x:v>
      </x:c>
      <x:c r="K155" s="29" t="str">
        <x:v>开放</x:v>
      </x:c>
      <x:c r="L155" s="29" t="str">
        <x:v>不定期</x:v>
      </x:c>
      <x:c r="M155" s="29" t="str">
        <x:v>https://ccare.stanford.edu/</x:v>
      </x:c>
      <x:c r="N155" s="29" t="str">
        <x:v>https://ccare.stanford.edu/feed/</x:v>
      </x:c>
      <x:c r="O155" s="29" t="str">
        <x:v>有效</x:v>
      </x:c>
      <x:c r="P155" s="72" t="n">
        <x:v>5</x:v>
      </x:c>
      <x:c r="Q155" s="72" t="n">
        <x:v>5</x:v>
      </x:c>
      <x:c r="R155" s="72" t="n">
        <x:v>5</x:v>
      </x:c>
      <x:c r="S155" s="72" t="n">
        <x:v>4</x:v>
      </x:c>
      <x:c r="T155" s="72" t="n">
        <x:v>4</x:v>
      </x:c>
      <x:c r="U155" s="72" t="n">
        <x:v>4</x:v>
      </x:c>
      <x:c r="V155" s="72" t="n">
        <x:v>4</x:v>
      </x:c>
      <x:c r="W155" s="29" t="str">
        <x:v>为同理心、助人行为与慈悲训练提供研究背景和专家资源；干预效果回链论文。</x:v>
      </x:c>
      <x:c r="X155" s="29" t="str">
        <x:v>聚焦慈悲、利他、同理心及其训练，与“高利他性内容”目标高度匹配。</x:v>
      </x:c>
      <x:c r="Y155" s="29" t="str">
        <x:v>2026-08-17：主页 200；官方 RSS 200，XML 已确认。</x:v>
      </x:c>
      <x:c r="Z155" s="75" t="b">
        <x:v>0</x:v>
      </x:c>
      <x:c r="AA155" s="29"/>
      <x:c r="AB155" s="29" t="str">
        <x:v>扩展调研：心理、认知与情商</x:v>
      </x:c>
      <x:c r="AC155" s="29" t="str">
        <x:v>https://ccare.stanford.edu/about/</x:v>
      </x:c>
      <x:c r="AD155" s="29" t="str">
        <x:v>2026-08-17</x:v>
      </x:c>
      <x:c r="AE155" s="29" t="n">
        <x:v>200</x:v>
      </x:c>
      <x:c r="AF155" s="29" t="str">
        <x:v>https://ccare.stanford.edu/feed/</x:v>
      </x:c>
      <x:c r="AG155" s="29" t="str"/>
    </x:row>
    <x:row r="156" ht="44" customHeight="1">
      <x:c r="A156" s="29" t="str">
        <x:v>SRC-152</x:v>
      </x:c>
      <x:c r="B156" s="29" t="str">
        <x:f>IF(C156&gt;=93,"S",IF(C156&gt;=90,"A",IF(C156&gt;=80,"B","C")))</x:f>
        <x:v>A</x:v>
      </x:c>
      <x:c r="C156" s="72" t="n">
        <x:f>ROUND((P156*0.20+Q156*0.18+R156*0.20+S156*0.15+T156*0.12+U156*0.10+V156*0.05)*20,0)</x:f>
        <x:v>92</x:v>
      </x:c>
      <x:c r="D156" s="29" t="str">
        <x:v>心理、认知与情商</x:v>
      </x:c>
      <x:c r="E156" s="29" t="str">
        <x:v>认知科学趋势综述</x:v>
      </x:c>
      <x:c r="F156" s="29" t="str">
        <x:v>Trends in Cognitive Sciences（TICS）</x:v>
      </x:c>
      <x:c r="G156" s="29" t="str"/>
      <x:c r="H156" s="29" t="str">
        <x:v>同行评审综述期刊</x:v>
      </x:c>
      <x:c r="I156" s="29" t="str">
        <x:v>英文</x:v>
      </x:c>
      <x:c r="J156" s="29" t="str">
        <x:v>证据源</x:v>
      </x:c>
      <x:c r="K156" s="29" t="str">
        <x:v>摘要开放；正文多为订阅</x:v>
      </x:c>
      <x:c r="L156" s="29" t="str">
        <x:v>月刊</x:v>
      </x:c>
      <x:c r="M156" s="29" t="str">
        <x:v>https://www.cell.com/trends/cognitive-sciences/home</x:v>
      </x:c>
      <x:c r="N156" s="29" t="str">
        <x:v>https://www.cell.com/trends/cognitive-sciences/rss</x:v>
      </x:c>
      <x:c r="O156" s="29" t="str">
        <x:v>受限/反爬</x:v>
      </x:c>
      <x:c r="P156" s="72" t="n">
        <x:v>5</x:v>
      </x:c>
      <x:c r="Q156" s="72" t="n">
        <x:v>5</x:v>
      </x:c>
      <x:c r="R156" s="72" t="n">
        <x:v>5</x:v>
      </x:c>
      <x:c r="S156" s="72" t="n">
        <x:v>4</x:v>
      </x:c>
      <x:c r="T156" s="72" t="n">
        <x:v>4</x:v>
      </x:c>
      <x:c r="U156" s="72" t="n">
        <x:v>4</x:v>
      </x:c>
      <x:c r="V156" s="72" t="n">
        <x:v>4</x:v>
      </x:c>
      <x:c r="W156" s="29" t="str">
        <x:v>用于建立机制框架和跨论文共识；特别适合概念解释型长帖。</x:v>
      </x:c>
      <x:c r="X156" s="29" t="str">
        <x:v>认知科学领域的高密度综述和观点，覆盖记忆、注意、语言、决策与认知神经科学。</x:v>
      </x:c>
      <x:c r="Y156" s="29" t="str">
        <x:v>2026-08-17：主页与官方 RSS 自动请求均为 403/Cloudflare；URL 为 Cell Press 官方 Feed，建议在阅读器内实测。；端点未返回可识别的 RSS/Atom XML；可能是反爬、登录页或旧地址。</x:v>
      </x:c>
      <x:c r="Z156" s="75" t="b">
        <x:v>0</x:v>
      </x:c>
      <x:c r="AA156" s="29"/>
      <x:c r="AB156" s="29" t="str">
        <x:v>扩展调研：心理、认知与情商</x:v>
      </x:c>
      <x:c r="AC156" s="29" t="str">
        <x:v>https://www.cell.com/trends/cognitive-sciences/home</x:v>
      </x:c>
      <x:c r="AD156" s="29" t="str">
        <x:v>2026-08-17</x:v>
      </x:c>
      <x:c r="AE156" s="29" t="n">
        <x:v>403</x:v>
      </x:c>
      <x:c r="AF156" s="29" t="str">
        <x:v>https://www.cell.com/trends/cognitive-sciences/rss</x:v>
      </x:c>
      <x:c r="AG156" s="29" t="str"/>
    </x:row>
    <x:row r="157" ht="44" customHeight="1">
      <x:c r="A157" s="29" t="str">
        <x:v>SRC-153</x:v>
      </x:c>
      <x:c r="B157" s="29" t="str">
        <x:f>IF(C157&gt;=93,"S",IF(C157&gt;=90,"A",IF(C157&gt;=80,"B","C")))</x:f>
        <x:v>A</x:v>
      </x:c>
      <x:c r="C157" s="72" t="n">
        <x:f>ROUND((P157*0.20+Q157*0.18+R157*0.20+S157*0.15+T157*0.12+U157*0.10+V157*0.05)*20,0)</x:f>
        <x:v>92</x:v>
      </x:c>
      <x:c r="D157" s="29" t="str">
        <x:v>心理、认知与情商</x:v>
      </x:c>
      <x:c r="E157" s="29" t="str">
        <x:v>情商、情绪技能与学校 SEL</x:v>
      </x:c>
      <x:c r="F157" s="29" t="str">
        <x:v>Yale Center for Emotional Intelligence（YCEI）</x:v>
      </x:c>
      <x:c r="G157" s="29" t="str"/>
      <x:c r="H157" s="29" t="str">
        <x:v>大学研究与转化中心</x:v>
      </x:c>
      <x:c r="I157" s="29" t="str">
        <x:v>英文</x:v>
      </x:c>
      <x:c r="J157" s="29" t="str">
        <x:v>证据源</x:v>
      </x:c>
      <x:c r="K157" s="29" t="str">
        <x:v>开放；无固定 RSS</x:v>
      </x:c>
      <x:c r="L157" s="29" t="str">
        <x:v>不定期</x:v>
      </x:c>
      <x:c r="M157" s="29" t="str">
        <x:v>https://medicine.yale.edu/childstudy/services/community-and-schools-programs/center-for-emotional-intelligence/</x:v>
      </x:c>
      <x:c r="N157" s="29" t="str"/>
      <x:c r="O157" s="29" t="str">
        <x:v>无RSS/API入口</x:v>
      </x:c>
      <x:c r="P157" s="72" t="n">
        <x:v>5</x:v>
      </x:c>
      <x:c r="Q157" s="72" t="n">
        <x:v>5</x:v>
      </x:c>
      <x:c r="R157" s="72" t="n">
        <x:v>5</x:v>
      </x:c>
      <x:c r="S157" s="72" t="n">
        <x:v>4</x:v>
      </x:c>
      <x:c r="T157" s="72" t="n">
        <x:v>4</x:v>
      </x:c>
      <x:c r="U157" s="72" t="n">
        <x:v>4</x:v>
      </x:c>
      <x:c r="V157" s="72" t="n">
        <x:v>4</x:v>
      </x:c>
      <x:c r="W157" s="29" t="str">
        <x:v>用于情绪识别、调节、关系与学校环境话题；优先引用其研究与评估结果。</x:v>
      </x:c>
      <x:c r="X157" s="29" t="str">
        <x:v>研究情绪科学、情商测量与学校社会情绪学习，能替代泛化的“高情商技巧”内容。</x:v>
      </x:c>
      <x:c r="Y157" s="29" t="str">
        <x:v>2026-08-17：Yale School of Medicine 官方中心页 200；未发现公开 RSS。</x:v>
      </x:c>
      <x:c r="Z157" s="75" t="b">
        <x:v>0</x:v>
      </x:c>
      <x:c r="AA157" s="29"/>
      <x:c r="AB157" s="29" t="str">
        <x:v>扩展调研：心理、认知与情商</x:v>
      </x:c>
      <x:c r="AC157" s="29" t="str">
        <x:v>https://medicine.yale.edu/childstudy/services/community-and-schools-programs/center-for-emotional-intelligence/</x:v>
      </x:c>
      <x:c r="AD157" s="29" t="str">
        <x:v>2026-08-17</x:v>
      </x:c>
      <x:c r="AE157" s="29"/>
      <x:c r="AF157" s="29" t="str"/>
      <x:c r="AG157" s="29" t="str"/>
    </x:row>
    <x:row r="158" ht="44" customHeight="1">
      <x:c r="A158" s="29" t="str">
        <x:v>SRC-154</x:v>
      </x:c>
      <x:c r="B158" s="29" t="str">
        <x:f>IF(C158&gt;=93,"S",IF(C158&gt;=90,"A",IF(C158&gt;=80,"B","C")))</x:f>
        <x:v>A</x:v>
      </x:c>
      <x:c r="C158" s="72" t="n">
        <x:f>ROUND((P158*0.20+Q158*0.18+R158*0.20+S158*0.15+T158*0.12+U158*0.10+V158*0.05)*20,0)</x:f>
        <x:v>92</x:v>
      </x:c>
      <x:c r="D158" s="29" t="str">
        <x:v>心理、认知与情商</x:v>
      </x:c>
      <x:c r="E158" s="29" t="str">
        <x:v>中国心理科学与心理健康研究</x:v>
      </x:c>
      <x:c r="F158" s="29" t="str">
        <x:v>中国科学院心理研究所</x:v>
      </x:c>
      <x:c r="G158" s="29" t="str"/>
      <x:c r="H158" s="29" t="str">
        <x:v>国家级科研机构</x:v>
      </x:c>
      <x:c r="I158" s="29" t="str">
        <x:v>中文</x:v>
      </x:c>
      <x:c r="J158" s="29" t="str">
        <x:v>证据源</x:v>
      </x:c>
      <x:c r="K158" s="29" t="str">
        <x:v>开放；无固定 RSS</x:v>
      </x:c>
      <x:c r="L158" s="29" t="str">
        <x:v>每周多次</x:v>
      </x:c>
      <x:c r="M158" s="29" t="str">
        <x:v>https://www.psych.ac.cn/</x:v>
      </x:c>
      <x:c r="N158" s="29" t="str"/>
      <x:c r="O158" s="29" t="str">
        <x:v>无RSS/API入口</x:v>
      </x:c>
      <x:c r="P158" s="72" t="n">
        <x:v>5</x:v>
      </x:c>
      <x:c r="Q158" s="72" t="n">
        <x:v>5</x:v>
      </x:c>
      <x:c r="R158" s="72" t="n">
        <x:v>5</x:v>
      </x:c>
      <x:c r="S158" s="72" t="n">
        <x:v>4</x:v>
      </x:c>
      <x:c r="T158" s="72" t="n">
        <x:v>4</x:v>
      </x:c>
      <x:c r="U158" s="72" t="n">
        <x:v>4</x:v>
      </x:c>
      <x:c r="V158" s="72" t="n">
        <x:v>4</x:v>
      </x:c>
      <x:c r="W158" s="29" t="str">
        <x:v>补充中国样本、中文研究与国内学术活动；优先链接科研进展对应论文或机构知识库。；中国心理学研究动态、专家解释、概念科普</x:v>
      </x:c>
      <x:c r="X158" s="29" t="str">
        <x:v>覆盖认知与发展、健康与遗传、社会与工程心理等方向，是中文一手科研动态的重要入口。</x:v>
      </x:c>
      <x:c r="Y158" s="29" t="str">
        <x:v>2026-08-17：官方站最新内容可被搜索索引；本地直连发生 DNS/网络失败，保留为网页巡检源。；机构新闻和科普需继续追到具体论文、量表或项目；不能用于个体诊断。</x:v>
      </x:c>
      <x:c r="Z158" s="75" t="b">
        <x:v>0</x:v>
      </x:c>
      <x:c r="AA158" s="29"/>
      <x:c r="AB158" s="29" t="str">
        <x:v>扩展调研：心理、认知与情商；扩展调研：中文心理、健康与商业机构</x:v>
      </x:c>
      <x:c r="AC158" s="29" t="str">
        <x:v>https://www.psych.ac.cn/；https://www.psych.ac.cn/about/yjsjj/</x:v>
      </x:c>
      <x:c r="AD158" s="29" t="str">
        <x:v>2026-08-17</x:v>
      </x:c>
      <x:c r="AE158" s="29"/>
      <x:c r="AF158" s="29" t="str"/>
      <x:c r="AG158" s="29" t="str"/>
    </x:row>
    <x:row r="159" ht="44" customHeight="1">
      <x:c r="A159" s="29" t="str">
        <x:v>SRC-155</x:v>
      </x:c>
      <x:c r="B159" s="29" t="str">
        <x:f>IF(C159&gt;=93,"S",IF(C159&gt;=90,"A",IF(C159&gt;=80,"B","C")))</x:f>
        <x:v>A</x:v>
      </x:c>
      <x:c r="C159" s="72" t="n">
        <x:f>ROUND((P159*0.20+Q159*0.18+R159*0.20+S159*0.15+T159*0.12+U159*0.10+V159*0.05)*20,0)</x:f>
        <x:v>92</x:v>
      </x:c>
      <x:c r="D159" s="29" t="str">
        <x:v>心理、认知与情商</x:v>
      </x:c>
      <x:c r="E159" s="29" t="str">
        <x:v>脑智发育、学习与认知神经科学</x:v>
      </x:c>
      <x:c r="F159" s="29" t="str">
        <x:v>北京师范大学认知神经科学与学习国家重点实验室</x:v>
      </x:c>
      <x:c r="G159" s="29" t="str"/>
      <x:c r="H159" s="29" t="str">
        <x:v>国家重点实验室</x:v>
      </x:c>
      <x:c r="I159" s="29" t="str">
        <x:v>中文</x:v>
      </x:c>
      <x:c r="J159" s="29" t="str">
        <x:v>证据源</x:v>
      </x:c>
      <x:c r="K159" s="29" t="str">
        <x:v>开放；无固定 RSS</x:v>
      </x:c>
      <x:c r="L159" s="29" t="str">
        <x:v>每月多次</x:v>
      </x:c>
      <x:c r="M159" s="29" t="str">
        <x:v>https://brain.bnu.edu.cn/</x:v>
      </x:c>
      <x:c r="N159" s="29" t="str"/>
      <x:c r="O159" s="29" t="str">
        <x:v>无RSS/API入口</x:v>
      </x:c>
      <x:c r="P159" s="72" t="n">
        <x:v>5</x:v>
      </x:c>
      <x:c r="Q159" s="72" t="n">
        <x:v>5</x:v>
      </x:c>
      <x:c r="R159" s="72" t="n">
        <x:v>5</x:v>
      </x:c>
      <x:c r="S159" s="72" t="n">
        <x:v>4</x:v>
      </x:c>
      <x:c r="T159" s="72" t="n">
        <x:v>4</x:v>
      </x:c>
      <x:c r="U159" s="72" t="n">
        <x:v>4</x:v>
      </x:c>
      <x:c r="V159" s="72" t="n">
        <x:v>4</x:v>
      </x:c>
      <x:c r="W159" s="29" t="str">
        <x:v>补充中国样本和中文认知神经科学成果；直接引用对应论文，不只引用新闻稿。</x:v>
      </x:c>
      <x:c r="X159" s="29" t="str">
        <x:v>聚焦脑发育、认知发展、学习机制与心理健康，提供中文科研进展、学术活动和科普。</x:v>
      </x:c>
      <x:c r="Y159" s="29" t="str">
        <x:v>2026-08-17：官方主页 200；未发现公开 RSS。</x:v>
      </x:c>
      <x:c r="Z159" s="75" t="b">
        <x:v>0</x:v>
      </x:c>
      <x:c r="AA159" s="29"/>
      <x:c r="AB159" s="29" t="str">
        <x:v>扩展调研：心理、认知与情商</x:v>
      </x:c>
      <x:c r="AC159" s="29" t="str">
        <x:v>https://brain.bnu.edu.cn/dwgk/sysjj/index.htm</x:v>
      </x:c>
      <x:c r="AD159" s="29" t="str">
        <x:v>2026-08-17</x:v>
      </x:c>
      <x:c r="AE159" s="29"/>
      <x:c r="AF159" s="29" t="str"/>
      <x:c r="AG159" s="29" t="str"/>
    </x:row>
    <x:row r="160" ht="44" customHeight="1">
      <x:c r="A160" s="29" t="str">
        <x:v>SRC-156</x:v>
      </x:c>
      <x:c r="B160" s="29" t="str">
        <x:f>IF(C160&gt;=93,"S",IF(C160&gt;=90,"A",IF(C160&gt;=80,"B","C")))</x:f>
        <x:v>A</x:v>
      </x:c>
      <x:c r="C160" s="72" t="n">
        <x:f>ROUND((P160*0.20+Q160*0.18+R160*0.20+S160*0.15+T160*0.12+U160*0.10+V160*0.05)*20,0)</x:f>
        <x:v>91</x:v>
      </x:c>
      <x:c r="D160" s="29" t="str">
        <x:v>人文与跨学科</x:v>
      </x:c>
      <x:c r="E160" s="29" t="str">
        <x:v>学术研究转译</x:v>
      </x:c>
      <x:c r="F160" s="29" t="str">
        <x:v>JSTOR Daily</x:v>
      </x:c>
      <x:c r="G160" s="29" t="str"/>
      <x:c r="H160" s="29" t="str">
        <x:v>研究解读、历史与社会科学文章</x:v>
      </x:c>
      <x:c r="I160" s="29" t="str">
        <x:v>en</x:v>
      </x:c>
      <x:c r="J160" s="29" t="str">
        <x:v>证据源</x:v>
      </x:c>
      <x:c r="K160" s="29" t="str">
        <x:v>Freemium</x:v>
      </x:c>
      <x:c r="L160" s="29" t="str">
        <x:v>工作日更新</x:v>
      </x:c>
      <x:c r="M160" s="29" t="str">
        <x:v>https://daily.jstor.org/</x:v>
      </x:c>
      <x:c r="N160" s="29" t="str">
        <x:v>https://daily.jstor.org/feed/</x:v>
      </x:c>
      <x:c r="O160" s="29" t="str">
        <x:v>有效</x:v>
      </x:c>
      <x:c r="P160" s="72" t="n">
        <x:v>5</x:v>
      </x:c>
      <x:c r="Q160" s="72" t="n">
        <x:v>5</x:v>
      </x:c>
      <x:c r="R160" s="72" t="n">
        <x:v>5</x:v>
      </x:c>
      <x:c r="S160" s="72" t="n">
        <x:v>4</x:v>
      </x:c>
      <x:c r="T160" s="72" t="n">
        <x:v>4</x:v>
      </x:c>
      <x:c r="U160" s="72" t="n">
        <x:v>4</x:v>
      </x:c>
      <x:c r="V160" s="72" t="n">
        <x:v>3</x:v>
      </x:c>
      <x:c r="W160" s="29" t="str">
        <x:v>一篇论文告诉我们什么，附原论文与关键限制。</x:v>
      </x:c>
      <x:c r="X160" s="29" t="str">
        <x:v>把同行评审研究转成大众可读文章，并通常回链 JSTOR 论文，是追溯证据的高效入口。</x:v>
      </x:c>
      <x:c r="Y160" s="29" t="str">
        <x:v>2026-08-17：Feed 端点返回 application/rss+xml。文章开放，部分论文全文访问条件不一。</x:v>
      </x:c>
      <x:c r="Z160" s="75" t="b">
        <x:v>0</x:v>
      </x:c>
      <x:c r="AA160" s="29"/>
      <x:c r="AB160" s="29" t="str">
        <x:v>扩展调研：人文、历史、哲学与设计</x:v>
      </x:c>
      <x:c r="AC160" s="29" t="str">
        <x:v>https://daily.jstor.org/</x:v>
      </x:c>
      <x:c r="AD160" s="29" t="str">
        <x:v>2026-08-17</x:v>
      </x:c>
      <x:c r="AE160" s="29" t="n">
        <x:v>200</x:v>
      </x:c>
      <x:c r="AF160" s="29" t="str">
        <x:v>https://daily.jstor.org/feed/</x:v>
      </x:c>
      <x:c r="AG160" s="29" t="str"/>
    </x:row>
    <x:row r="161" ht="44" customHeight="1">
      <x:c r="A161" s="29" t="str">
        <x:v>SRC-157</x:v>
      </x:c>
      <x:c r="B161" s="29" t="str">
        <x:f>IF(C161&gt;=93,"S",IF(C161&gt;=90,"A",IF(C161&gt;=80,"B","C")))</x:f>
        <x:v>A</x:v>
      </x:c>
      <x:c r="C161" s="72" t="n">
        <x:f>ROUND((P161*0.20+Q161*0.18+R161*0.20+S161*0.15+T161*0.12+U161*0.10+V161*0.05)*20,0)</x:f>
        <x:v>91</x:v>
      </x:c>
      <x:c r="D161" s="29" t="str">
        <x:v>商业、管理与创新</x:v>
      </x:c>
      <x:c r="E161" s="29" t="str">
        <x:v>组织行为与管理研究</x:v>
      </x:c>
      <x:c r="F161" s="29" t="str">
        <x:v>AOM Insights</x:v>
      </x:c>
      <x:c r="G161" s="29" t="str"/>
      <x:c r="H161" s="29" t="str">
        <x:v>同行评审管理研究摘要、信息图、视频和工作场所启示</x:v>
      </x:c>
      <x:c r="I161" s="29" t="str">
        <x:v>en</x:v>
      </x:c>
      <x:c r="J161" s="29" t="str">
        <x:v>证据源</x:v>
      </x:c>
      <x:c r="K161" s="29" t="str">
        <x:v>Freemium</x:v>
      </x:c>
      <x:c r="L161" s="29" t="str">
        <x:v>每周至每月更新</x:v>
      </x:c>
      <x:c r="M161" s="29" t="str">
        <x:v>https://journals.aom.org/insights</x:v>
      </x:c>
      <x:c r="N161" s="29" t="str"/>
      <x:c r="O161" s="29" t="str">
        <x:v>无RSS/API入口</x:v>
      </x:c>
      <x:c r="P161" s="72" t="n">
        <x:v>5</x:v>
      </x:c>
      <x:c r="Q161" s="72" t="n">
        <x:v>5</x:v>
      </x:c>
      <x:c r="R161" s="72" t="n">
        <x:v>5</x:v>
      </x:c>
      <x:c r="S161" s="72" t="n">
        <x:v>4</x:v>
      </x:c>
      <x:c r="T161" s="72" t="n">
        <x:v>4</x:v>
      </x:c>
      <x:c r="U161" s="72" t="n">
        <x:v>4</x:v>
      </x:c>
      <x:c r="V161" s="72" t="n">
        <x:v>3</x:v>
      </x:c>
      <x:c r="W161" s="29" t="str">
        <x:v>一句管理迷思加研究发现加适用边界。</x:v>
      </x:c>
      <x:c r="X161" s="29" t="str">
        <x:v>由 Academy of Management 把旗下同行评审研究转为面向管理者的短解释，证据链清晰。</x:v>
      </x:c>
      <x:c r="Y161" s="29" t="str">
        <x:v>2026-08-17：官方存在Insights与RSS入口，但自动化请求受403限制；未把HTML入口误标成XML Feed。</x:v>
      </x:c>
      <x:c r="Z161" s="75" t="b">
        <x:v>0</x:v>
      </x:c>
      <x:c r="AA161" s="29"/>
      <x:c r="AB161" s="29" t="str">
        <x:v>扩展调研：成长、学习、商业与管理</x:v>
      </x:c>
      <x:c r="AC161" s="29" t="str">
        <x:v>https://journals.aom.org/insights/aboutus</x:v>
      </x:c>
      <x:c r="AD161" s="29" t="str">
        <x:v>2026-08-17</x:v>
      </x:c>
      <x:c r="AE161" s="29"/>
      <x:c r="AF161" s="29" t="str"/>
      <x:c r="AG161" s="29" t="str"/>
    </x:row>
    <x:row r="162" ht="44" customHeight="1">
      <x:c r="A162" s="29" t="str">
        <x:v>SRC-158</x:v>
      </x:c>
      <x:c r="B162" s="29" t="str">
        <x:f>IF(C162&gt;=93,"S",IF(C162&gt;=90,"A",IF(C162&gt;=80,"B","C")))</x:f>
        <x:v>A</x:v>
      </x:c>
      <x:c r="C162" s="72" t="n">
        <x:f>ROUND((P162*0.20+Q162*0.18+R162*0.20+S162*0.15+T162*0.12+U162*0.10+V162*0.05)*20,0)</x:f>
        <x:v>91</x:v>
      </x:c>
      <x:c r="D162" s="29" t="str">
        <x:v>商业、管理与创新</x:v>
      </x:c>
      <x:c r="E162" s="29" t="str">
        <x:v>战略、创新与组织</x:v>
      </x:c>
      <x:c r="F162" s="29" t="str">
        <x:v>California Management Review</x:v>
      </x:c>
      <x:c r="G162" s="29" t="str"/>
      <x:c r="H162" s="29" t="str">
        <x:v>同行评审管理研究、专题、研究简报与实践文章</x:v>
      </x:c>
      <x:c r="I162" s="29" t="str">
        <x:v>en</x:v>
      </x:c>
      <x:c r="J162" s="29" t="str">
        <x:v>证据源</x:v>
      </x:c>
      <x:c r="K162" s="29" t="str">
        <x:v>Freemium</x:v>
      </x:c>
      <x:c r="L162" s="29" t="str">
        <x:v>每周至每月更新</x:v>
      </x:c>
      <x:c r="M162" s="29" t="str">
        <x:v>https://cmr.berkeley.edu/</x:v>
      </x:c>
      <x:c r="N162" s="29" t="str"/>
      <x:c r="O162" s="29" t="str">
        <x:v>无RSS/API入口</x:v>
      </x:c>
      <x:c r="P162" s="72" t="n">
        <x:v>5</x:v>
      </x:c>
      <x:c r="Q162" s="72" t="n">
        <x:v>5</x:v>
      </x:c>
      <x:c r="R162" s="72" t="n">
        <x:v>5</x:v>
      </x:c>
      <x:c r="S162" s="72" t="n">
        <x:v>4</x:v>
      </x:c>
      <x:c r="T162" s="72" t="n">
        <x:v>4</x:v>
      </x:c>
      <x:c r="U162" s="72" t="n">
        <x:v>4</x:v>
      </x:c>
      <x:c r="V162" s="72" t="n">
        <x:v>3</x:v>
      </x:c>
      <x:c r="W162" s="29" t="str">
        <x:v>把一篇管理研究转成问题、机制、证据和边界四格结构。</x:v>
      </x:c>
      <x:c r="X162" s="29" t="str">
        <x:v>伯克利管理期刊，重视证据型战略、创新和组织研究，适合系统性选题。</x:v>
      </x:c>
      <x:c r="Y162" s="29" t="str">
        <x:v>2026-08-17：官网返回200；/feed/为404，按平台收录，部分论文可能需要订阅。</x:v>
      </x:c>
      <x:c r="Z162" s="75" t="b">
        <x:v>0</x:v>
      </x:c>
      <x:c r="AA162" s="29"/>
      <x:c r="AB162" s="29" t="str">
        <x:v>扩展调研：成长、学习、商业与管理</x:v>
      </x:c>
      <x:c r="AC162" s="29" t="str">
        <x:v>https://cmr.berkeley.edu/</x:v>
      </x:c>
      <x:c r="AD162" s="29" t="str">
        <x:v>2026-08-17</x:v>
      </x:c>
      <x:c r="AE162" s="29"/>
      <x:c r="AF162" s="29" t="str"/>
      <x:c r="AG162" s="29" t="str"/>
    </x:row>
    <x:row r="163" ht="44" customHeight="1">
      <x:c r="A163" s="29" t="str">
        <x:v>SRC-159</x:v>
      </x:c>
      <x:c r="B163" s="29" t="str">
        <x:f>IF(C163&gt;=93,"S",IF(C163&gt;=90,"A",IF(C163&gt;=80,"B","C")))</x:f>
        <x:v>A</x:v>
      </x:c>
      <x:c r="C163" s="72" t="n">
        <x:f>ROUND((P163*0.20+Q163*0.18+R163*0.20+S163*0.15+T163*0.12+U163*0.10+V163*0.05)*20,0)</x:f>
        <x:v>91</x:v>
      </x:c>
      <x:c r="D163" s="29" t="str">
        <x:v>商业、管理与创新</x:v>
      </x:c>
      <x:c r="E163" s="29" t="str">
        <x:v>战略、数字化与组织</x:v>
      </x:c>
      <x:c r="F163" s="29" t="str">
        <x:v>MIT Sloan Management Review</x:v>
      </x:c>
      <x:c r="G163" s="29" t="str"/>
      <x:c r="H163" s="29" t="str">
        <x:v>管理研究、数字化转型、AI、战略、运营与组织设计</x:v>
      </x:c>
      <x:c r="I163" s="29" t="str">
        <x:v>en</x:v>
      </x:c>
      <x:c r="J163" s="29" t="str">
        <x:v>证据源</x:v>
      </x:c>
      <x:c r="K163" s="29" t="str">
        <x:v>Freemium</x:v>
      </x:c>
      <x:c r="L163" s="29" t="str">
        <x:v>每周多篇</x:v>
      </x:c>
      <x:c r="M163" s="29" t="str">
        <x:v>https://sloanreview.mit.edu/</x:v>
      </x:c>
      <x:c r="N163" s="29" t="str"/>
      <x:c r="O163" s="29" t="str">
        <x:v>无RSS/API入口</x:v>
      </x:c>
      <x:c r="P163" s="72" t="n">
        <x:v>5</x:v>
      </x:c>
      <x:c r="Q163" s="72" t="n">
        <x:v>5</x:v>
      </x:c>
      <x:c r="R163" s="72" t="n">
        <x:v>5</x:v>
      </x:c>
      <x:c r="S163" s="72" t="n">
        <x:v>4</x:v>
      </x:c>
      <x:c r="T163" s="72" t="n">
        <x:v>4</x:v>
      </x:c>
      <x:c r="U163" s="72" t="n">
        <x:v>4</x:v>
      </x:c>
      <x:c r="V163" s="72" t="n">
        <x:v>3</x:v>
      </x:c>
      <x:c r="W163" s="29" t="str">
        <x:v>研究发现加企业案例，解释一项技术如何改变组织。</x:v>
      </x:c>
      <x:c r="X163" s="29" t="str">
        <x:v>强调管理研究与实践之间的连接，数字化和组织议题尤其强。</x:v>
      </x:c>
      <x:c r="Y163" s="29" t="str">
        <x:v>2026-08-17：官网和旧Feed在自动化请求中均受403限制；未录入不可稳定验证的RSS。</x:v>
      </x:c>
      <x:c r="Z163" s="75" t="b">
        <x:v>0</x:v>
      </x:c>
      <x:c r="AA163" s="29"/>
      <x:c r="AB163" s="29" t="str">
        <x:v>扩展调研：成长、学习、商业与管理</x:v>
      </x:c>
      <x:c r="AC163" s="29" t="str">
        <x:v>https://sloanreview.mit.edu/</x:v>
      </x:c>
      <x:c r="AD163" s="29" t="str">
        <x:v>2026-08-17</x:v>
      </x:c>
      <x:c r="AE163" s="29"/>
      <x:c r="AF163" s="29" t="str"/>
      <x:c r="AG163" s="29" t="str"/>
    </x:row>
    <x:row r="164" ht="44" customHeight="1">
      <x:c r="A164" s="29" t="str">
        <x:v>SRC-160</x:v>
      </x:c>
      <x:c r="B164" s="29" t="str">
        <x:f>IF(C164&gt;=93,"S",IF(C164&gt;=90,"A",IF(C164&gt;=80,"B","C")))</x:f>
        <x:v>A</x:v>
      </x:c>
      <x:c r="C164" s="72" t="n">
        <x:f>ROUND((P164*0.20+Q164*0.18+R164*0.20+S164*0.15+T164*0.12+U164*0.10+V164*0.05)*20,0)</x:f>
        <x:v>91</x:v>
      </x:c>
      <x:c r="D164" s="29" t="str">
        <x:v>商业、管理与创新</x:v>
      </x:c>
      <x:c r="E164" s="29" t="str">
        <x:v>经济学与商业研究</x:v>
      </x:c>
      <x:c r="F164" s="29" t="str">
        <x:v>NBER Working Papers</x:v>
      </x:c>
      <x:c r="G164" s="29" t="str"/>
      <x:c r="H164" s="29" t="str">
        <x:v>经济学工作论文、摘要、作者与研究项目</x:v>
      </x:c>
      <x:c r="I164" s="29" t="str">
        <x:v>en</x:v>
      </x:c>
      <x:c r="J164" s="29" t="str">
        <x:v>证据源</x:v>
      </x:c>
      <x:c r="K164" s="29" t="str">
        <x:v>Freemium</x:v>
      </x:c>
      <x:c r="L164" s="29" t="str">
        <x:v>每周集中更新</x:v>
      </x:c>
      <x:c r="M164" s="29" t="str">
        <x:v>https://www.nber.org/papers</x:v>
      </x:c>
      <x:c r="N164" s="29" t="str">
        <x:v>https://back.nber.org/rss/new.xml</x:v>
      </x:c>
      <x:c r="O164" s="29" t="str">
        <x:v>重定向后有效</x:v>
      </x:c>
      <x:c r="P164" s="72" t="n">
        <x:v>5</x:v>
      </x:c>
      <x:c r="Q164" s="72" t="n">
        <x:v>5</x:v>
      </x:c>
      <x:c r="R164" s="72" t="n">
        <x:v>5</x:v>
      </x:c>
      <x:c r="S164" s="72" t="n">
        <x:v>4</x:v>
      </x:c>
      <x:c r="T164" s="72" t="n">
        <x:v>4</x:v>
      </x:c>
      <x:c r="U164" s="72" t="n">
        <x:v>4</x:v>
      </x:c>
      <x:c r="V164" s="72" t="n">
        <x:v>3</x:v>
      </x:c>
      <x:c r="W164" s="29" t="str">
        <x:v>经济研究解读、政策证据；用工作论文提出新证据，但明确标注尚未同行评审。</x:v>
      </x:c>
      <x:c r="X164" s="29" t="str">
        <x:v>获取最新经济学研究的一手入口，覆盖劳动、生产率、创业、金融、组织和公共政策。</x:v>
      </x:c>
      <x:c r="Y164" s="29" t="str">
        <x:v>摘要开放但部分全文受限；工作论文结论可能修订。；2026-08-17：官方RSS返回200并重定向至back.nber.org的有效XML；工作论文不是最终同行评审版本。</x:v>
      </x:c>
      <x:c r="Z164" s="75" t="b">
        <x:v>0</x:v>
      </x:c>
      <x:c r="AA164" s="29"/>
      <x:c r="AB164" s="29" t="str">
        <x:v>扩展调研：数据库、资料库与平台；扩展调研：成长、学习、商业与管理</x:v>
      </x:c>
      <x:c r="AC164" s="29" t="str">
        <x:v>https://www.nber.org/papers；https://www.nber.org/rss/new.xml</x:v>
      </x:c>
      <x:c r="AD164" s="29" t="str">
        <x:v>2026-08-17</x:v>
      </x:c>
      <x:c r="AE164" s="29" t="n">
        <x:v>200</x:v>
      </x:c>
      <x:c r="AF164" s="29" t="str">
        <x:v>https://back.nber.org/rss/new.xml</x:v>
      </x:c>
      <x:c r="AG164" s="29" t="str"/>
    </x:row>
    <x:row r="165" ht="44" customHeight="1">
      <x:c r="A165" s="29" t="str">
        <x:v>SRC-161</x:v>
      </x:c>
      <x:c r="B165" s="29" t="str">
        <x:f>IF(C165&gt;=93,"S",IF(C165&gt;=90,"A",IF(C165&gt;=80,"B","C")))</x:f>
        <x:v>A</x:v>
      </x:c>
      <x:c r="C165" s="72" t="n">
        <x:f>ROUND((P165*0.20+Q165*0.18+R165*0.20+S165*0.15+T165*0.12+U165*0.10+V165*0.05)*20,0)</x:f>
        <x:v>91</x:v>
      </x:c>
      <x:c r="D165" s="29" t="str">
        <x:v>成长与学习</x:v>
      </x:c>
      <x:c r="E165" s="29" t="str">
        <x:v>领导力研究与发展</x:v>
      </x:c>
      <x:c r="F165" s="29" t="str">
        <x:v>Center for Creative Leadership Insights</x:v>
      </x:c>
      <x:c r="G165" s="29" t="str"/>
      <x:c r="H165" s="29" t="str">
        <x:v>领导力研究、团队发展、教练、包容性与组织实践</x:v>
      </x:c>
      <x:c r="I165" s="29" t="str">
        <x:v>en</x:v>
      </x:c>
      <x:c r="J165" s="29" t="str">
        <x:v>证据源</x:v>
      </x:c>
      <x:c r="K165" s="29" t="str">
        <x:v>Freemium</x:v>
      </x:c>
      <x:c r="L165" s="29" t="str">
        <x:v>每周约1至4篇</x:v>
      </x:c>
      <x:c r="M165" s="29" t="str">
        <x:v>https://www.ccl.org/articles/</x:v>
      </x:c>
      <x:c r="N165" s="29" t="str"/>
      <x:c r="O165" s="29" t="str">
        <x:v>无RSS/API入口</x:v>
      </x:c>
      <x:c r="P165" s="72" t="n">
        <x:v>5</x:v>
      </x:c>
      <x:c r="Q165" s="72" t="n">
        <x:v>5</x:v>
      </x:c>
      <x:c r="R165" s="72" t="n">
        <x:v>5</x:v>
      </x:c>
      <x:c r="S165" s="72" t="n">
        <x:v>4</x:v>
      </x:c>
      <x:c r="T165" s="72" t="n">
        <x:v>4</x:v>
      </x:c>
      <x:c r="U165" s="72" t="n">
        <x:v>4</x:v>
      </x:c>
      <x:c r="V165" s="72" t="n">
        <x:v>3</x:v>
      </x:c>
      <x:c r="W165" s="29" t="str">
        <x:v>用研究结论校准常见领导力口号，并转成团队练习。</x:v>
      </x:c>
      <x:c r="X165" s="29" t="str">
        <x:v>非营利领导力研究与教育机构，长期发布研究型白皮书和实践指南。</x:v>
      </x:c>
      <x:c r="Y165" s="29" t="str">
        <x:v>2026-08-17：官网在自动化请求中返回403但浏览器可访问；未核验到稳定公开RSS，按平台收录。</x:v>
      </x:c>
      <x:c r="Z165" s="75" t="b">
        <x:v>0</x:v>
      </x:c>
      <x:c r="AA165" s="29"/>
      <x:c r="AB165" s="29" t="str">
        <x:v>扩展调研：成长、学习、商业与管理</x:v>
      </x:c>
      <x:c r="AC165" s="29" t="str">
        <x:v>https://www.ccl.org/articles/</x:v>
      </x:c>
      <x:c r="AD165" s="29" t="str">
        <x:v>2026-08-17</x:v>
      </x:c>
      <x:c r="AE165" s="29"/>
      <x:c r="AF165" s="29" t="str"/>
      <x:c r="AG165" s="29" t="str"/>
    </x:row>
    <x:row r="166" ht="44" customHeight="1">
      <x:c r="A166" s="29" t="str">
        <x:v>SRC-162</x:v>
      </x:c>
      <x:c r="B166" s="29" t="str">
        <x:f>IF(C166&gt;=93,"S",IF(C166&gt;=90,"A",IF(C166&gt;=80,"B","C")))</x:f>
        <x:v>A</x:v>
      </x:c>
      <x:c r="C166" s="72" t="n">
        <x:f>ROUND((P166*0.20+Q166*0.18+R166*0.20+S166*0.15+T166*0.12+U166*0.10+V166*0.05)*20,0)</x:f>
        <x:v>91</x:v>
      </x:c>
      <x:c r="D166" s="29" t="str">
        <x:v>新闻与调查</x:v>
      </x:c>
      <x:c r="E166" s="29" t="str">
        <x:v>科技调查与网络文化</x:v>
      </x:c>
      <x:c r="F166" s="29" t="str">
        <x:v>404 Media</x:v>
      </x:c>
      <x:c r="G166" s="29" t="str"/>
      <x:c r="H166" s="29" t="str">
        <x:v>调查报道、平台滥用、AI、隐私和网络文化</x:v>
      </x:c>
      <x:c r="I166" s="29" t="str">
        <x:v>en</x:v>
      </x:c>
      <x:c r="J166" s="29" t="str">
        <x:v>证据源</x:v>
      </x:c>
      <x:c r="K166" s="29" t="str">
        <x:v>Freemium</x:v>
      </x:c>
      <x:c r="L166" s="29" t="str">
        <x:v>每日多篇</x:v>
      </x:c>
      <x:c r="M166" s="29" t="str">
        <x:v>https://www.404media.co/</x:v>
      </x:c>
      <x:c r="N166" s="29" t="str">
        <x:v>https://www.404media.co/rss/</x:v>
      </x:c>
      <x:c r="O166" s="29" t="str">
        <x:v>有效</x:v>
      </x:c>
      <x:c r="P166" s="72" t="n">
        <x:v>5</x:v>
      </x:c>
      <x:c r="Q166" s="72" t="n">
        <x:v>5</x:v>
      </x:c>
      <x:c r="R166" s="72" t="n">
        <x:v>5</x:v>
      </x:c>
      <x:c r="S166" s="72" t="n">
        <x:v>4</x:v>
      </x:c>
      <x:c r="T166" s="72" t="n">
        <x:v>4</x:v>
      </x:c>
      <x:c r="U166" s="72" t="n">
        <x:v>4</x:v>
      </x:c>
      <x:c r="V166" s="72" t="n">
        <x:v>3</x:v>
      </x:c>
      <x:c r="W166" s="29" t="str">
        <x:v>调查快讯、平台问题、网络文化</x:v>
      </x:c>
      <x:c r="X166" s="29" t="str">
        <x:v>独立记者团队常获得文件、数据和未被大媒体覆盖的一手线索。</x:v>
      </x:c>
      <x:c r="Y166" s="29" t="str">
        <x:v>Ghost RSS端点已核验；部分完整文章可能需会员。</x:v>
      </x:c>
      <x:c r="Z166" s="75" t="b">
        <x:v>0</x:v>
      </x:c>
      <x:c r="AA166" s="29"/>
      <x:c r="AB166" s="29" t="str">
        <x:v>扩展调研：科技、科学与数据</x:v>
      </x:c>
      <x:c r="AC166" s="29" t="str">
        <x:v>https://www.404media.co/rss/</x:v>
      </x:c>
      <x:c r="AD166" s="29" t="str">
        <x:v>2026-08-17</x:v>
      </x:c>
      <x:c r="AE166" s="29" t="n">
        <x:v>200</x:v>
      </x:c>
      <x:c r="AF166" s="29" t="str">
        <x:v>https://www.404media.co/rss/</x:v>
      </x:c>
      <x:c r="AG166" s="29" t="str"/>
    </x:row>
    <x:row r="167" ht="44" customHeight="1">
      <x:c r="A167" s="29" t="str">
        <x:v>SRC-163</x:v>
      </x:c>
      <x:c r="B167" s="29" t="str">
        <x:f>IF(C167&gt;=93,"S",IF(C167&gt;=90,"A",IF(C167&gt;=80,"B","C")))</x:f>
        <x:v>A</x:v>
      </x:c>
      <x:c r="C167" s="72" t="n">
        <x:f>ROUND((P167*0.20+Q167*0.18+R167*0.20+S167*0.15+T167*0.12+U167*0.10+V167*0.05)*20,0)</x:f>
        <x:v>91</x:v>
      </x:c>
      <x:c r="D167" s="29" t="str">
        <x:v>科学与数学</x:v>
      </x:c>
      <x:c r="E167" s="29" t="str">
        <x:v>跨学科学术期刊</x:v>
      </x:c>
      <x:c r="F167" s="29" t="str">
        <x:v>Nature</x:v>
      </x:c>
      <x:c r="G167" s="29" t="str"/>
      <x:c r="H167" s="29" t="str">
        <x:v>论文目录、新闻与评论</x:v>
      </x:c>
      <x:c r="I167" s="29" t="str">
        <x:v>en</x:v>
      </x:c>
      <x:c r="J167" s="29" t="str">
        <x:v>证据源</x:v>
      </x:c>
      <x:c r="K167" s="29" t="str">
        <x:v>Freemium</x:v>
      </x:c>
      <x:c r="L167" s="29" t="str">
        <x:v>持续在线发布，正式刊每周</x:v>
      </x:c>
      <x:c r="M167" s="29" t="str">
        <x:v>https://www.nature.com/nature/</x:v>
      </x:c>
      <x:c r="N167" s="29" t="str">
        <x:v>https://www.nature.com/nature.rss</x:v>
      </x:c>
      <x:c r="O167" s="29" t="str">
        <x:v>有效</x:v>
      </x:c>
      <x:c r="P167" s="72" t="n">
        <x:v>5</x:v>
      </x:c>
      <x:c r="Q167" s="72" t="n">
        <x:v>5</x:v>
      </x:c>
      <x:c r="R167" s="72" t="n">
        <x:v>5</x:v>
      </x:c>
      <x:c r="S167" s="72" t="n">
        <x:v>4</x:v>
      </x:c>
      <x:c r="T167" s="72" t="n">
        <x:v>4</x:v>
      </x:c>
      <x:c r="U167" s="72" t="n">
        <x:v>4</x:v>
      </x:c>
      <x:c r="V167" s="72" t="n">
        <x:v>3</x:v>
      </x:c>
      <x:c r="W167" s="29" t="str">
        <x:v>论文解读、突破核验、科学争议</x:v>
      </x:c>
      <x:c r="X167" s="29" t="str">
        <x:v>高影响研究索引，适合追踪跨学科突破。</x:v>
      </x:c>
      <x:c r="Y167" s="29" t="str">
        <x:v>Nature RSS端点已核验；全文访问权限因文章而异。</x:v>
      </x:c>
      <x:c r="Z167" s="75" t="b">
        <x:v>0</x:v>
      </x:c>
      <x:c r="AA167" s="29"/>
      <x:c r="AB167" s="29" t="str">
        <x:v>扩展调研：科技、科学与数据</x:v>
      </x:c>
      <x:c r="AC167" s="29" t="str">
        <x:v>https://www.nature.com/nature.rss</x:v>
      </x:c>
      <x:c r="AD167" s="29" t="str">
        <x:v>2026-08-17</x:v>
      </x:c>
      <x:c r="AE167" s="29" t="n">
        <x:v>200</x:v>
      </x:c>
      <x:c r="AF167" s="29" t="str">
        <x:v>https://www.nature.com/nature.rss</x:v>
      </x:c>
      <x:c r="AG167" s="29" t="str"/>
    </x:row>
    <x:row r="168" ht="44" customHeight="1">
      <x:c r="A168" s="29" t="str">
        <x:v>SRC-164</x:v>
      </x:c>
      <x:c r="B168" s="29" t="str">
        <x:f>IF(C168&gt;=93,"S",IF(C168&gt;=90,"A",IF(C168&gt;=80,"B","C")))</x:f>
        <x:v>A</x:v>
      </x:c>
      <x:c r="C168" s="72" t="n">
        <x:f>ROUND((P168*0.20+Q168*0.18+R168*0.20+S168*0.15+T168*0.12+U168*0.10+V168*0.05)*20,0)</x:f>
        <x:v>91</x:v>
      </x:c>
      <x:c r="D168" s="29" t="str">
        <x:v>科学与数学</x:v>
      </x:c>
      <x:c r="E168" s="29" t="str">
        <x:v>跨学科学术期刊</x:v>
      </x:c>
      <x:c r="F168" s="29" t="str">
        <x:v>Science</x:v>
      </x:c>
      <x:c r="G168" s="29" t="str"/>
      <x:c r="H168" s="29" t="str">
        <x:v>电子目录、论文、新闻与评论</x:v>
      </x:c>
      <x:c r="I168" s="29" t="str">
        <x:v>en</x:v>
      </x:c>
      <x:c r="J168" s="29" t="str">
        <x:v>证据源</x:v>
      </x:c>
      <x:c r="K168" s="29" t="str">
        <x:v>Freemium</x:v>
      </x:c>
      <x:c r="L168" s="29" t="str">
        <x:v>周刊并持续在线</x:v>
      </x:c>
      <x:c r="M168" s="29" t="str">
        <x:v>https://www.science.org/journal/science</x:v>
      </x:c>
      <x:c r="N168" s="29" t="str">
        <x:v>https://www.science.org/action/showFeed?type=etoc&amp;feed=rss&amp;jc=science</x:v>
      </x:c>
      <x:c r="O168" s="29" t="str">
        <x:v>有效</x:v>
      </x:c>
      <x:c r="P168" s="72" t="n">
        <x:v>5</x:v>
      </x:c>
      <x:c r="Q168" s="72" t="n">
        <x:v>5</x:v>
      </x:c>
      <x:c r="R168" s="72" t="n">
        <x:v>5</x:v>
      </x:c>
      <x:c r="S168" s="72" t="n">
        <x:v>4</x:v>
      </x:c>
      <x:c r="T168" s="72" t="n">
        <x:v>4</x:v>
      </x:c>
      <x:c r="U168" s="72" t="n">
        <x:v>4</x:v>
      </x:c>
      <x:c r="V168" s="72" t="n">
        <x:v>3</x:v>
      </x:c>
      <x:c r="W168" s="29" t="str">
        <x:v>本周科学、论文摘要、同行评议进展</x:v>
      </x:c>
      <x:c r="X168" s="29" t="str">
        <x:v>AAAS旗舰期刊，适合追踪高影响科学研究。</x:v>
      </x:c>
      <x:c r="Y168" s="29" t="str">
        <x:v>官方eTOC端点在本轮抓取中返回403，可能为反爬；须在实际阅读器测试，失败则使用官方邮件提醒。</x:v>
      </x:c>
      <x:c r="Z168" s="75" t="b">
        <x:v>0</x:v>
      </x:c>
      <x:c r="AA168" s="29"/>
      <x:c r="AB168" s="29" t="str">
        <x:v>扩展调研：科技、科学与数据</x:v>
      </x:c>
      <x:c r="AC168" s="29" t="str">
        <x:v>https://www.science.org/action/showFeed?type=etoc&amp;feed=rss&amp;jc=science</x:v>
      </x:c>
      <x:c r="AD168" s="29" t="str">
        <x:v>2026-08-17</x:v>
      </x:c>
      <x:c r="AE168" s="29" t="n">
        <x:v>200</x:v>
      </x:c>
      <x:c r="AF168" s="29" t="str">
        <x:v>https://www.science.org/action/showFeed?type=etoc&amp;feed=rss&amp;jc=science</x:v>
      </x:c>
      <x:c r="AG168" s="29" t="str"/>
    </x:row>
    <x:row r="169" ht="44" customHeight="1">
      <x:c r="A169" s="29" t="str">
        <x:v>SRC-165</x:v>
      </x:c>
      <x:c r="B169" s="29" t="str">
        <x:f>IF(C169&gt;=93,"S",IF(C169&gt;=90,"A",IF(C169&gt;=80,"B","C")))</x:f>
        <x:v>A</x:v>
      </x:c>
      <x:c r="C169" s="72" t="n">
        <x:f>ROUND((P169*0.20+Q169*0.18+R169*0.20+S169*0.15+T169*0.12+U169*0.10+V169*0.05)*20,0)</x:f>
        <x:v>90</x:v>
      </x:c>
      <x:c r="D169" s="29" t="str">
        <x:v>AI、科技与工程</x:v>
      </x:c>
      <x:c r="E169" s="29" t="str">
        <x:v>软件系统工程</x:v>
      </x:c>
      <x:c r="F169" s="29" t="str">
        <x:v>ACM Queue</x:v>
      </x:c>
      <x:c r="G169" s="29" t="str"/>
      <x:c r="H169" s="29" t="str">
        <x:v>软件系统、数据库、网络与专家文章</x:v>
      </x:c>
      <x:c r="I169" s="29" t="str">
        <x:v>en</x:v>
      </x:c>
      <x:c r="J169" s="29" t="str">
        <x:v>解释源</x:v>
      </x:c>
      <x:c r="K169" s="29" t="str">
        <x:v>Open</x:v>
      </x:c>
      <x:c r="L169" s="29" t="str">
        <x:v>每周至月更</x:v>
      </x:c>
      <x:c r="M169" s="29" t="str">
        <x:v>https://queue.acm.org/</x:v>
      </x:c>
      <x:c r="N169" s="29" t="str">
        <x:v>https://queue.acm.org/rss/feeds/queuecontent.xml</x:v>
      </x:c>
      <x:c r="O169" s="29" t="str">
        <x:v>有效</x:v>
      </x:c>
      <x:c r="P169" s="72" t="n">
        <x:v>4</x:v>
      </x:c>
      <x:c r="Q169" s="72" t="n">
        <x:v>5</x:v>
      </x:c>
      <x:c r="R169" s="72" t="n">
        <x:v>4</x:v>
      </x:c>
      <x:c r="S169" s="72" t="n">
        <x:v>5</x:v>
      </x:c>
      <x:c r="T169" s="72" t="n">
        <x:v>5</x:v>
      </x:c>
      <x:c r="U169" s="72" t="n">
        <x:v>4</x:v>
      </x:c>
      <x:c r="V169" s="72" t="n">
        <x:v>5</x:v>
      </x:c>
      <x:c r="W169" s="29" t="str">
        <x:v>系统原理、工程反直觉、架构史</x:v>
      </x:c>
      <x:c r="X169" s="29" t="str">
        <x:v>资深工程师写作，长期技术判断和系统细节可靠。</x:v>
      </x:c>
      <x:c r="Y169" s="29" t="str">
        <x:v>ACM Queue XML Feed已核验。</x:v>
      </x:c>
      <x:c r="Z169" s="75" t="b">
        <x:v>0</x:v>
      </x:c>
      <x:c r="AA169" s="29"/>
      <x:c r="AB169" s="29" t="str">
        <x:v>扩展调研：科技、科学与数据</x:v>
      </x:c>
      <x:c r="AC169" s="29" t="str">
        <x:v>https://queue.acm.org/rss/feeds/queuecontent.xml</x:v>
      </x:c>
      <x:c r="AD169" s="29" t="str">
        <x:v>2026-08-17</x:v>
      </x:c>
      <x:c r="AE169" s="29" t="n">
        <x:v>200</x:v>
      </x:c>
      <x:c r="AF169" s="29" t="str">
        <x:v>https://queue.acm.org/rss/feeds/queuecontent.xml</x:v>
      </x:c>
      <x:c r="AG169" s="29" t="str"/>
    </x:row>
    <x:row r="170" ht="44" customHeight="1">
      <x:c r="A170" s="29" t="str">
        <x:v>SRC-166</x:v>
      </x:c>
      <x:c r="B170" s="29" t="str">
        <x:f>IF(C170&gt;=93,"S",IF(C170&gt;=90,"A",IF(C170&gt;=80,"B","C")))</x:f>
        <x:v>A</x:v>
      </x:c>
      <x:c r="C170" s="72" t="n">
        <x:f>ROUND((P170*0.20+Q170*0.18+R170*0.20+S170*0.15+T170*0.12+U170*0.10+V170*0.05)*20,0)</x:f>
        <x:v>90</x:v>
      </x:c>
      <x:c r="D170" s="29" t="str">
        <x:v>历史与考古</x:v>
      </x:c>
      <x:c r="E170" s="29" t="str">
        <x:v>博物馆/科学史</x:v>
      </x:c>
      <x:c r="F170" s="29" t="str">
        <x:v>Objectivity</x:v>
      </x:c>
      <x:c r="G170" s="29" t="str"/>
      <x:c r="H170" s="29" t="str">
        <x:v>视频 / 频道</x:v>
      </x:c>
      <x:c r="I170" s="29" t="str">
        <x:v>en</x:v>
      </x:c>
      <x:c r="J170" s="29" t="str">
        <x:v>解释源</x:v>
      </x:c>
      <x:c r="K170" s="29" t="str">
        <x:v>Open</x:v>
      </x:c>
      <x:c r="L170" s="29" t="str">
        <x:v>以频道更新为准</x:v>
      </x:c>
      <x:c r="M170" s="29" t="str">
        <x:v>https://www.youtube.com/channel/UCtwKon9qMt5YLVgQt1tvJKg</x:v>
      </x:c>
      <x:c r="N170" s="29" t="str">
        <x:v>https://www.youtube.com/feeds/videos.xml?channel_id=UCtwKon9qMt5YLVgQt1tvJKg</x:v>
      </x:c>
      <x:c r="O170" s="29" t="str">
        <x:v>有效</x:v>
      </x:c>
      <x:c r="P170" s="72" t="n">
        <x:v>4</x:v>
      </x:c>
      <x:c r="Q170" s="72" t="n">
        <x:v>5</x:v>
      </x:c>
      <x:c r="R170" s="72" t="n">
        <x:v>4</x:v>
      </x:c>
      <x:c r="S170" s="72" t="n">
        <x:v>5</x:v>
      </x:c>
      <x:c r="T170" s="72" t="n">
        <x:v>5</x:v>
      </x:c>
      <x:c r="U170" s="72" t="n">
        <x:v>4</x:v>
      </x:c>
      <x:c r="V170" s="72" t="n">
        <x:v>5</x:v>
      </x:c>
      <x:c r="W170" s="29" t="str">
        <x:v>视频观点拆解、概念科普、选题与案例线索</x:v>
      </x:c>
      <x:c r="X170" s="29" t="str">
        <x:v>高质量博物馆/科学史视频创作者，适合快速建立背景、观察叙事结构并发现可传播选题。</x:v>
      </x:c>
      <x:c r="Y170" s="29" t="str">
        <x:v>高质量解释源；具体数字和研究结论仍应回到论文、数据集或机构原文。</x:v>
      </x:c>
      <x:c r="Z170" s="75" t="b">
        <x:v>0</x:v>
      </x:c>
      <x:c r="AA170" s="29"/>
      <x:c r="AB170" s="29" t="str">
        <x:v>YouTube 高质量创作者</x:v>
      </x:c>
      <x:c r="AC170" s="29" t="str">
        <x:v>https://www.youtube.com/@ObjectivityVideos</x:v>
      </x:c>
      <x:c r="AD170" s="29" t="str">
        <x:v>2026-08-17</x:v>
      </x:c>
      <x:c r="AE170" s="29" t="n">
        <x:v>200</x:v>
      </x:c>
      <x:c r="AF170" s="29" t="str">
        <x:v>https://www.youtube.com/feeds/videos.xml?channel_id=UCtwKon9qMt5YLVgQt1tvJKg</x:v>
      </x:c>
      <x:c r="AG170" s="29" t="str"/>
    </x:row>
    <x:row r="171" ht="44" customHeight="1">
      <x:c r="A171" s="29" t="str">
        <x:v>SRC-167</x:v>
      </x:c>
      <x:c r="B171" s="29" t="str">
        <x:f>IF(C171&gt;=93,"S",IF(C171&gt;=90,"A",IF(C171&gt;=80,"B","C")))</x:f>
        <x:v>A</x:v>
      </x:c>
      <x:c r="C171" s="72" t="n">
        <x:f>ROUND((P171*0.20+Q171*0.18+R171*0.20+S171*0.15+T171*0.12+U171*0.10+V171*0.05)*20,0)</x:f>
        <x:v>90</x:v>
      </x:c>
      <x:c r="D171" s="29" t="str">
        <x:v>地球、地理与城市</x:v>
      </x:c>
      <x:c r="E171" s="29" t="str">
        <x:v>森林变化与土地利用</x:v>
      </x:c>
      <x:c r="F171" s="29" t="str">
        <x:v>Global Forest Watch</x:v>
      </x:c>
      <x:c r="G171" s="29" t="str"/>
      <x:c r="H171" s="29" t="str">
        <x:v>环境数据平台 / API</x:v>
      </x:c>
      <x:c r="I171" s="29" t="str">
        <x:v>en</x:v>
      </x:c>
      <x:c r="J171" s="29" t="str">
        <x:v>解释源</x:v>
      </x:c>
      <x:c r="K171" s="29" t="str">
        <x:v>Open</x:v>
      </x:c>
      <x:c r="L171" s="29" t="str">
        <x:v>持续更新</x:v>
      </x:c>
      <x:c r="M171" s="29" t="str">
        <x:v>https://www.globalforestwatch.org/</x:v>
      </x:c>
      <x:c r="N171" s="29" t="str">
        <x:v>https://www.globalforestwatch.org/help/developers/gfw-api/</x:v>
      </x:c>
      <x:c r="O171" s="29" t="str">
        <x:v>API入口</x:v>
      </x:c>
      <x:c r="P171" s="72" t="n">
        <x:v>4</x:v>
      </x:c>
      <x:c r="Q171" s="72" t="n">
        <x:v>5</x:v>
      </x:c>
      <x:c r="R171" s="72" t="n">
        <x:v>4</x:v>
      </x:c>
      <x:c r="S171" s="72" t="n">
        <x:v>5</x:v>
      </x:c>
      <x:c r="T171" s="72" t="n">
        <x:v>5</x:v>
      </x:c>
      <x:c r="U171" s="72" t="n">
        <x:v>4</x:v>
      </x:c>
      <x:c r="V171" s="72" t="n">
        <x:v>5</x:v>
      </x:c>
      <x:c r="W171" s="29" t="str">
        <x:v>森林变化、供应链与保护成效</x:v>
      </x:c>
      <x:c r="X171" s="29" t="str">
        <x:v>将卫星监测、森林损失和政策数据可视化。</x:v>
      </x:c>
      <x:c r="Y171" s="29" t="str">
        <x:v>使用前核对数据口径、更新时间、许可与引用格式。；未按 RSS/Atom 校验。</x:v>
      </x:c>
      <x:c r="Z171" s="75" t="b">
        <x:v>0</x:v>
      </x:c>
      <x:c r="AA171" s="29"/>
      <x:c r="AB171" s="29" t="str">
        <x:v>扩展调研：数据库、资料库与平台</x:v>
      </x:c>
      <x:c r="AC171" s="29" t="str">
        <x:v>https://www.globalforestwatch.org/</x:v>
      </x:c>
      <x:c r="AD171" s="29" t="str">
        <x:v>2026-08-17</x:v>
      </x:c>
      <x:c r="AE171" s="29"/>
      <x:c r="AF171" s="29" t="str">
        <x:v>https://www.globalforestwatch.org/help/developers/gfw-api/</x:v>
      </x:c>
      <x:c r="AG171" s="29" t="str"/>
    </x:row>
    <x:row r="172" ht="44" customHeight="1">
      <x:c r="A172" s="29" t="str">
        <x:v>SRC-168</x:v>
      </x:c>
      <x:c r="B172" s="29" t="str">
        <x:f>IF(C172&gt;=93,"S",IF(C172&gt;=90,"A",IF(C172&gt;=80,"B","C")))</x:f>
        <x:v>A</x:v>
      </x:c>
      <x:c r="C172" s="72" t="n">
        <x:f>ROUND((P172*0.20+Q172*0.18+R172*0.20+S172*0.15+T172*0.12+U172*0.10+V172*0.05)*20,0)</x:f>
        <x:v>90</x:v>
      </x:c>
      <x:c r="D172" s="29" t="str">
        <x:v>地球、地理与城市</x:v>
      </x:c>
      <x:c r="E172" s="29" t="str">
        <x:v>建筑、景观与城市</x:v>
      </x:c>
      <x:c r="F172" s="29" t="str">
        <x:v>Places Journal</x:v>
      </x:c>
      <x:c r="G172" s="29" t="str"/>
      <x:c r="H172" s="29" t="str">
        <x:v>公共学术长文、地图、摄影与书评</x:v>
      </x:c>
      <x:c r="I172" s="29" t="str">
        <x:v>en</x:v>
      </x:c>
      <x:c r="J172" s="29" t="str">
        <x:v>解释源</x:v>
      </x:c>
      <x:c r="K172" s="29" t="str">
        <x:v>Open</x:v>
      </x:c>
      <x:c r="L172" s="29" t="str">
        <x:v>每周约1至3篇</x:v>
      </x:c>
      <x:c r="M172" s="29" t="str">
        <x:v>https://placesjournal.org/</x:v>
      </x:c>
      <x:c r="N172" s="29" t="str">
        <x:v>https://placesjournal.org/feed/</x:v>
      </x:c>
      <x:c r="O172" s="29" t="str">
        <x:v>受限/反爬</x:v>
      </x:c>
      <x:c r="P172" s="72" t="n">
        <x:v>4</x:v>
      </x:c>
      <x:c r="Q172" s="72" t="n">
        <x:v>5</x:v>
      </x:c>
      <x:c r="R172" s="72" t="n">
        <x:v>4</x:v>
      </x:c>
      <x:c r="S172" s="72" t="n">
        <x:v>5</x:v>
      </x:c>
      <x:c r="T172" s="72" t="n">
        <x:v>5</x:v>
      </x:c>
      <x:c r="U172" s="72" t="n">
        <x:v>4</x:v>
      </x:c>
      <x:c r="V172" s="72" t="n">
        <x:v>5</x:v>
      </x:c>
      <x:c r="W172" s="29" t="str">
        <x:v>地图加城市史加空间政治的图文线程。</x:v>
      </x:c>
      <x:c r="X172" s="29" t="str">
        <x:v>把建筑、地理、基础设施和公共生活连接起来，学术质量与视觉素材兼具。</x:v>
      </x:c>
      <x:c r="Y172" s="29" t="str">
        <x:v>2026-08-17：标准 WordPress Feed 路径；网页核验器未直接打开，建议导入时复验。；端点未返回可识别的 RSS/Atom XML；可能是反爬、登录页或旧地址。</x:v>
      </x:c>
      <x:c r="Z172" s="75" t="b">
        <x:v>0</x:v>
      </x:c>
      <x:c r="AA172" s="29"/>
      <x:c r="AB172" s="29" t="str">
        <x:v>扩展调研：人文、历史、哲学与设计</x:v>
      </x:c>
      <x:c r="AC172" s="29" t="str">
        <x:v>https://placesjournal.org/</x:v>
      </x:c>
      <x:c r="AD172" s="29" t="str">
        <x:v>2026-08-17</x:v>
      </x:c>
      <x:c r="AE172" s="29" t="n">
        <x:v>403</x:v>
      </x:c>
      <x:c r="AF172" s="29" t="str">
        <x:v>https://placesjournal.org/feed/</x:v>
      </x:c>
      <x:c r="AG172" s="29" t="str"/>
    </x:row>
    <x:row r="173" ht="44" customHeight="1">
      <x:c r="A173" s="29" t="str">
        <x:v>SRC-169</x:v>
      </x:c>
      <x:c r="B173" s="29" t="str">
        <x:f>IF(C173&gt;=93,"S",IF(C173&gt;=90,"A",IF(C173&gt;=80,"B","C")))</x:f>
        <x:v>B</x:v>
      </x:c>
      <x:c r="C173" s="72" t="n">
        <x:f>ROUND((P173*0.20+Q173*0.18+R173*0.20+S173*0.15+T173*0.12+U173*0.10+V173*0.05)*20,0)</x:f>
        <x:v>88</x:v>
      </x:c>
      <x:c r="D173" s="29" t="str">
        <x:v>AI、科技与工程</x:v>
      </x:c>
      <x:c r="E173" s="29" t="str">
        <x:v>AI/技术</x:v>
      </x:c>
      <x:c r="F173" s="29" t="str">
        <x:v>Andrej Karpathy</x:v>
      </x:c>
      <x:c r="G173" s="29" t="str"/>
      <x:c r="H173" s="29" t="str">
        <x:v>视频 / 频道</x:v>
      </x:c>
      <x:c r="I173" s="29" t="str">
        <x:v>en</x:v>
      </x:c>
      <x:c r="J173" s="29" t="str">
        <x:v>解释源</x:v>
      </x:c>
      <x:c r="K173" s="29" t="str">
        <x:v>Open</x:v>
      </x:c>
      <x:c r="L173" s="29" t="str">
        <x:v>以频道更新为准</x:v>
      </x:c>
      <x:c r="M173" s="29" t="str">
        <x:v>https://www.youtube.com/channel/UCXUPKJO5MZQN11PqgIvyuvQ</x:v>
      </x:c>
      <x:c r="N173" s="29" t="str">
        <x:v>https://www.youtube.com/feeds/videos.xml?channel_id=UCXUPKJO5MZQN11PqgIvyuvQ</x:v>
      </x:c>
      <x:c r="O173" s="29" t="str">
        <x:v>有效</x:v>
      </x:c>
      <x:c r="P173" s="72" t="n">
        <x:v>4</x:v>
      </x:c>
      <x:c r="Q173" s="72" t="n">
        <x:v>5</x:v>
      </x:c>
      <x:c r="R173" s="72" t="n">
        <x:v>4</x:v>
      </x:c>
      <x:c r="S173" s="72" t="n">
        <x:v>5</x:v>
      </x:c>
      <x:c r="T173" s="72" t="n">
        <x:v>4</x:v>
      </x:c>
      <x:c r="U173" s="72" t="n">
        <x:v>4</x:v>
      </x:c>
      <x:c r="V173" s="72" t="n">
        <x:v>5</x:v>
      </x:c>
      <x:c r="W173" s="29" t="str">
        <x:v>视频观点拆解、概念科普、选题与案例线索</x:v>
      </x:c>
      <x:c r="X173" s="29" t="str">
        <x:v>高质量AI/技术视频创作者，适合快速建立背景、观察叙事结构并发现可传播选题。</x:v>
      </x:c>
      <x:c r="Y173" s="29" t="str">
        <x:v>高质量解释源；具体数字和研究结论仍应回到论文、数据集或机构原文。</x:v>
      </x:c>
      <x:c r="Z173" s="75" t="b">
        <x:v>0</x:v>
      </x:c>
      <x:c r="AA173" s="29"/>
      <x:c r="AB173" s="29" t="str">
        <x:v>YouTube 高质量创作者</x:v>
      </x:c>
      <x:c r="AC173" s="29" t="str">
        <x:v>https://www.youtube.com/@AndrejKarpathy</x:v>
      </x:c>
      <x:c r="AD173" s="29" t="str">
        <x:v>2026-08-17</x:v>
      </x:c>
      <x:c r="AE173" s="29" t="n">
        <x:v>200</x:v>
      </x:c>
      <x:c r="AF173" s="29" t="str">
        <x:v>https://www.youtube.com/feeds/videos.xml?channel_id=UCXUPKJO5MZQN11PqgIvyuvQ</x:v>
      </x:c>
      <x:c r="AG173" s="29" t="str"/>
    </x:row>
    <x:row r="174" ht="44" customHeight="1">
      <x:c r="A174" s="29" t="str">
        <x:v>SRC-170</x:v>
      </x:c>
      <x:c r="B174" s="29" t="str">
        <x:f>IF(C174&gt;=93,"S",IF(C174&gt;=90,"A",IF(C174&gt;=80,"B","C")))</x:f>
        <x:v>B</x:v>
      </x:c>
      <x:c r="C174" s="72" t="n">
        <x:f>ROUND((P174*0.20+Q174*0.18+R174*0.20+S174*0.15+T174*0.12+U174*0.10+V174*0.05)*20,0)</x:f>
        <x:v>88</x:v>
      </x:c>
      <x:c r="D174" s="29" t="str">
        <x:v>AI、科技与工程</x:v>
      </x:c>
      <x:c r="E174" s="29" t="str">
        <x:v>半导体/科技史</x:v>
      </x:c>
      <x:c r="F174" s="29" t="str">
        <x:v>Asianometry</x:v>
      </x:c>
      <x:c r="G174" s="29" t="str"/>
      <x:c r="H174" s="29" t="str">
        <x:v>视频 / 频道</x:v>
      </x:c>
      <x:c r="I174" s="29" t="str">
        <x:v>en</x:v>
      </x:c>
      <x:c r="J174" s="29" t="str">
        <x:v>解释源</x:v>
      </x:c>
      <x:c r="K174" s="29" t="str">
        <x:v>Open</x:v>
      </x:c>
      <x:c r="L174" s="29" t="str">
        <x:v>以频道更新为准</x:v>
      </x:c>
      <x:c r="M174" s="29" t="str">
        <x:v>https://www.youtube.com/channel/UC1LpsuAUaKoMzzJSEt5WImw</x:v>
      </x:c>
      <x:c r="N174" s="29" t="str">
        <x:v>https://www.youtube.com/feeds/videos.xml?channel_id=UC1LpsuAUaKoMzzJSEt5WImw</x:v>
      </x:c>
      <x:c r="O174" s="29" t="str">
        <x:v>有效</x:v>
      </x:c>
      <x:c r="P174" s="72" t="n">
        <x:v>4</x:v>
      </x:c>
      <x:c r="Q174" s="72" t="n">
        <x:v>5</x:v>
      </x:c>
      <x:c r="R174" s="72" t="n">
        <x:v>4</x:v>
      </x:c>
      <x:c r="S174" s="72" t="n">
        <x:v>5</x:v>
      </x:c>
      <x:c r="T174" s="72" t="n">
        <x:v>4</x:v>
      </x:c>
      <x:c r="U174" s="72" t="n">
        <x:v>4</x:v>
      </x:c>
      <x:c r="V174" s="72" t="n">
        <x:v>5</x:v>
      </x:c>
      <x:c r="W174" s="29" t="str">
        <x:v>视频观点拆解、概念科普、选题与案例线索</x:v>
      </x:c>
      <x:c r="X174" s="29" t="str">
        <x:v>高质量半导体/科技史视频创作者，适合快速建立背景、观察叙事结构并发现可传播选题。</x:v>
      </x:c>
      <x:c r="Y174" s="29" t="str">
        <x:v>高质量解释源；具体数字和研究结论仍应回到论文、数据集或机构原文。</x:v>
      </x:c>
      <x:c r="Z174" s="75" t="b">
        <x:v>0</x:v>
      </x:c>
      <x:c r="AA174" s="29"/>
      <x:c r="AB174" s="29" t="str">
        <x:v>YouTube 高质量创作者</x:v>
      </x:c>
      <x:c r="AC174" s="29" t="str">
        <x:v>https://www.youtube.com/@Asianometry</x:v>
      </x:c>
      <x:c r="AD174" s="29" t="str">
        <x:v>2026-08-17</x:v>
      </x:c>
      <x:c r="AE174" s="29" t="n">
        <x:v>200</x:v>
      </x:c>
      <x:c r="AF174" s="29" t="str">
        <x:v>https://www.youtube.com/feeds/videos.xml?channel_id=UC1LpsuAUaKoMzzJSEt5WImw</x:v>
      </x:c>
      <x:c r="AG174" s="29" t="str"/>
    </x:row>
    <x:row r="175" ht="44" customHeight="1">
      <x:c r="A175" s="29" t="str">
        <x:v>SRC-171</x:v>
      </x:c>
      <x:c r="B175" s="29" t="str">
        <x:f>IF(C175&gt;=93,"S",IF(C175&gt;=90,"A",IF(C175&gt;=80,"B","C")))</x:f>
        <x:v>B</x:v>
      </x:c>
      <x:c r="C175" s="72" t="n">
        <x:f>ROUND((P175*0.20+Q175*0.18+R175*0.20+S175*0.15+T175*0.12+U175*0.10+V175*0.05)*20,0)</x:f>
        <x:v>88</x:v>
      </x:c>
      <x:c r="D175" s="29" t="str">
        <x:v>AI、科技与工程</x:v>
      </x:c>
      <x:c r="E175" s="29" t="str">
        <x:v>学术AI实验室</x:v>
      </x:c>
      <x:c r="F175" s="29" t="str">
        <x:v>Berkeley AI Research Blog</x:v>
      </x:c>
      <x:c r="G175" s="29" t="str"/>
      <x:c r="H175" s="29" t="str">
        <x:v>机器人、强化学习、视觉、生成模型深度解读</x:v>
      </x:c>
      <x:c r="I175" s="29" t="str">
        <x:v>en</x:v>
      </x:c>
      <x:c r="J175" s="29" t="str">
        <x:v>解释源</x:v>
      </x:c>
      <x:c r="K175" s="29" t="str">
        <x:v>Open</x:v>
      </x:c>
      <x:c r="L175" s="29" t="str">
        <x:v>每月1至3篇，偶有间歇</x:v>
      </x:c>
      <x:c r="M175" s="29" t="str">
        <x:v>https://bair.berkeley.edu/blog/</x:v>
      </x:c>
      <x:c r="N175" s="29" t="str">
        <x:v>https://bair.berkeley.edu/blog/feed.xml</x:v>
      </x:c>
      <x:c r="O175" s="29" t="str">
        <x:v>有效</x:v>
      </x:c>
      <x:c r="P175" s="72" t="n">
        <x:v>4</x:v>
      </x:c>
      <x:c r="Q175" s="72" t="n">
        <x:v>5</x:v>
      </x:c>
      <x:c r="R175" s="72" t="n">
        <x:v>4</x:v>
      </x:c>
      <x:c r="S175" s="72" t="n">
        <x:v>5</x:v>
      </x:c>
      <x:c r="T175" s="72" t="n">
        <x:v>4</x:v>
      </x:c>
      <x:c r="U175" s="72" t="n">
        <x:v>4</x:v>
      </x:c>
      <x:c r="V175" s="72" t="n">
        <x:v>5</x:v>
      </x:c>
      <x:c r="W175" s="29" t="str">
        <x:v>学术突破、图解线程、研究史脉络</x:v>
      </x:c>
      <x:c r="X175" s="29" t="str">
        <x:v>顶级学术实验室，文章往往比论文更易理解和传播。</x:v>
      </x:c>
      <x:c r="Y175" s="29" t="str">
        <x:v>Feed端点已核验为XML。</x:v>
      </x:c>
      <x:c r="Z175" s="75" t="b">
        <x:v>0</x:v>
      </x:c>
      <x:c r="AA175" s="29"/>
      <x:c r="AB175" s="29" t="str">
        <x:v>扩展调研：科技、科学与数据</x:v>
      </x:c>
      <x:c r="AC175" s="29" t="str">
        <x:v>https://bair.berkeley.edu/blog/feed.xml</x:v>
      </x:c>
      <x:c r="AD175" s="29" t="str">
        <x:v>2026-08-17</x:v>
      </x:c>
      <x:c r="AE175" s="29" t="n">
        <x:v>200</x:v>
      </x:c>
      <x:c r="AF175" s="29" t="str">
        <x:v>https://bair.berkeley.edu/blog/feed.xml</x:v>
      </x:c>
      <x:c r="AG175" s="29" t="str"/>
    </x:row>
    <x:row r="176" ht="44" customHeight="1">
      <x:c r="A176" s="29" t="str">
        <x:v>SRC-172</x:v>
      </x:c>
      <x:c r="B176" s="29" t="str">
        <x:f>IF(C176&gt;=93,"S",IF(C176&gt;=90,"A",IF(C176&gt;=80,"B","C")))</x:f>
        <x:v>B</x:v>
      </x:c>
      <x:c r="C176" s="72" t="n">
        <x:f>ROUND((P176*0.20+Q176*0.18+R176*0.20+S176*0.15+T176*0.12+U176*0.10+V176*0.05)*20,0)</x:f>
        <x:v>88</x:v>
      </x:c>
      <x:c r="D176" s="29" t="str">
        <x:v>AI、科技与工程</x:v>
      </x:c>
      <x:c r="E176" s="29" t="str">
        <x:v>机器学习系统</x:v>
      </x:c>
      <x:c r="F176" s="29" t="str">
        <x:v>Chip Huyen</x:v>
      </x:c>
      <x:c r="G176" s="29" t="str"/>
      <x:c r="H176" s="29" t="str">
        <x:v>ML系统、数据、推理与职业深度文章</x:v>
      </x:c>
      <x:c r="I176" s="29" t="str">
        <x:v>en</x:v>
      </x:c>
      <x:c r="J176" s="29" t="str">
        <x:v>解释源</x:v>
      </x:c>
      <x:c r="K176" s="29" t="str">
        <x:v>Open</x:v>
      </x:c>
      <x:c r="L176" s="29" t="str">
        <x:v>月更至季度更</x:v>
      </x:c>
      <x:c r="M176" s="29" t="str">
        <x:v>https://huyenchip.com/blog/</x:v>
      </x:c>
      <x:c r="N176" s="29" t="str">
        <x:v>https://huyenchip.com/feed.xml</x:v>
      </x:c>
      <x:c r="O176" s="29" t="str">
        <x:v>有效</x:v>
      </x:c>
      <x:c r="P176" s="72" t="n">
        <x:v>4</x:v>
      </x:c>
      <x:c r="Q176" s="72" t="n">
        <x:v>5</x:v>
      </x:c>
      <x:c r="R176" s="72" t="n">
        <x:v>4</x:v>
      </x:c>
      <x:c r="S176" s="72" t="n">
        <x:v>5</x:v>
      </x:c>
      <x:c r="T176" s="72" t="n">
        <x:v>4</x:v>
      </x:c>
      <x:c r="U176" s="72" t="n">
        <x:v>4</x:v>
      </x:c>
      <x:c r="V176" s="72" t="n">
        <x:v>5</x:v>
      </x:c>
      <x:c r="W176" s="29" t="str">
        <x:v>系统设计、AI工程心智模型、图表总结</x:v>
      </x:c>
      <x:c r="X176" s="29" t="str">
        <x:v>生产级机器学习实践和清晰的系统框架兼具。</x:v>
      </x:c>
      <x:c r="Y176" s="29" t="str">
        <x:v>Feed端点已核验为XML。</x:v>
      </x:c>
      <x:c r="Z176" s="75" t="b">
        <x:v>0</x:v>
      </x:c>
      <x:c r="AA176" s="29"/>
      <x:c r="AB176" s="29" t="str">
        <x:v>扩展调研：科技、科学与数据</x:v>
      </x:c>
      <x:c r="AC176" s="29" t="str">
        <x:v>https://huyenchip.com/feed.xml</x:v>
      </x:c>
      <x:c r="AD176" s="29" t="str">
        <x:v>2026-08-17</x:v>
      </x:c>
      <x:c r="AE176" s="29" t="n">
        <x:v>200</x:v>
      </x:c>
      <x:c r="AF176" s="29" t="str">
        <x:v>https://huyenchip.com/feed.xml</x:v>
      </x:c>
      <x:c r="AG176" s="29" t="str"/>
    </x:row>
    <x:row r="177" ht="44" customHeight="1">
      <x:c r="A177" s="29" t="str">
        <x:v>SRC-173</x:v>
      </x:c>
      <x:c r="B177" s="29" t="str">
        <x:f>IF(C177&gt;=93,"S",IF(C177&gt;=90,"A",IF(C177&gt;=80,"B","C")))</x:f>
        <x:v>B</x:v>
      </x:c>
      <x:c r="C177" s="72" t="n">
        <x:f>ROUND((P177*0.20+Q177*0.18+R177*0.20+S177*0.15+T177*0.12+U177*0.10+V177*0.05)*20,0)</x:f>
        <x:v>88</x:v>
      </x:c>
      <x:c r="D177" s="29" t="str">
        <x:v>AI、科技与工程</x:v>
      </x:c>
      <x:c r="E177" s="29" t="str">
        <x:v>计算机科学</x:v>
      </x:c>
      <x:c r="F177" s="29" t="str">
        <x:v>Computerphile</x:v>
      </x:c>
      <x:c r="G177" s="29" t="str"/>
      <x:c r="H177" s="29" t="str">
        <x:v>视频 / 频道</x:v>
      </x:c>
      <x:c r="I177" s="29" t="str">
        <x:v>en</x:v>
      </x:c>
      <x:c r="J177" s="29" t="str">
        <x:v>解释源</x:v>
      </x:c>
      <x:c r="K177" s="29" t="str">
        <x:v>Open</x:v>
      </x:c>
      <x:c r="L177" s="29" t="str">
        <x:v>以频道更新为准</x:v>
      </x:c>
      <x:c r="M177" s="29" t="str">
        <x:v>https://www.youtube.com/channel/UC9-y-6csu5WGm29I7JiwpnA</x:v>
      </x:c>
      <x:c r="N177" s="29" t="str">
        <x:v>https://www.youtube.com/feeds/videos.xml?channel_id=UC9-y-6csu5WGm29I7JiwpnA</x:v>
      </x:c>
      <x:c r="O177" s="29" t="str">
        <x:v>有效</x:v>
      </x:c>
      <x:c r="P177" s="72" t="n">
        <x:v>4</x:v>
      </x:c>
      <x:c r="Q177" s="72" t="n">
        <x:v>5</x:v>
      </x:c>
      <x:c r="R177" s="72" t="n">
        <x:v>4</x:v>
      </x:c>
      <x:c r="S177" s="72" t="n">
        <x:v>5</x:v>
      </x:c>
      <x:c r="T177" s="72" t="n">
        <x:v>4</x:v>
      </x:c>
      <x:c r="U177" s="72" t="n">
        <x:v>4</x:v>
      </x:c>
      <x:c r="V177" s="72" t="n">
        <x:v>5</x:v>
      </x:c>
      <x:c r="W177" s="29" t="str">
        <x:v>视频观点拆解、概念科普、选题与案例线索</x:v>
      </x:c>
      <x:c r="X177" s="29" t="str">
        <x:v>高质量计算机科学视频创作者，适合快速建立背景、观察叙事结构并发现可传播选题。</x:v>
      </x:c>
      <x:c r="Y177" s="29" t="str">
        <x:v>高质量解释源；具体数字和研究结论仍应回到论文、数据集或机构原文。</x:v>
      </x:c>
      <x:c r="Z177" s="75" t="b">
        <x:v>0</x:v>
      </x:c>
      <x:c r="AA177" s="29"/>
      <x:c r="AB177" s="29" t="str">
        <x:v>YouTube 高质量创作者</x:v>
      </x:c>
      <x:c r="AC177" s="29" t="str">
        <x:v>https://www.youtube.com/@Computerphile</x:v>
      </x:c>
      <x:c r="AD177" s="29" t="str">
        <x:v>2026-08-17</x:v>
      </x:c>
      <x:c r="AE177" s="29" t="n">
        <x:v>200</x:v>
      </x:c>
      <x:c r="AF177" s="29" t="str">
        <x:v>https://www.youtube.com/feeds/videos.xml?channel_id=UC9-y-6csu5WGm29I7JiwpnA</x:v>
      </x:c>
      <x:c r="AG177" s="29" t="str"/>
    </x:row>
    <x:row r="178" ht="44" customHeight="1">
      <x:c r="A178" s="29" t="str">
        <x:v>SRC-174</x:v>
      </x:c>
      <x:c r="B178" s="29" t="str">
        <x:f>IF(C178&gt;=93,"S",IF(C178&gt;=90,"A",IF(C178&gt;=80,"B","C")))</x:f>
        <x:v>B</x:v>
      </x:c>
      <x:c r="C178" s="72" t="n">
        <x:f>ROUND((P178*0.20+Q178*0.18+R178*0.20+S178*0.15+T178*0.12+U178*0.10+V178*0.05)*20,0)</x:f>
        <x:v>88</x:v>
      </x:c>
      <x:c r="D178" s="29" t="str">
        <x:v>AI、科技与工程</x:v>
      </x:c>
      <x:c r="E178" s="29" t="str">
        <x:v>应用机器学习</x:v>
      </x:c>
      <x:c r="F178" s="29" t="str">
        <x:v>Eugene Yan</x:v>
      </x:c>
      <x:c r="G178" s="29" t="str"/>
      <x:c r="H178" s="29" t="str">
        <x:v>推荐系统、LLM、应用ML案例与综述</x:v>
      </x:c>
      <x:c r="I178" s="29" t="str">
        <x:v>en</x:v>
      </x:c>
      <x:c r="J178" s="29" t="str">
        <x:v>解释源</x:v>
      </x:c>
      <x:c r="K178" s="29" t="str">
        <x:v>Open</x:v>
      </x:c>
      <x:c r="L178" s="29" t="str">
        <x:v>月更至季度更</x:v>
      </x:c>
      <x:c r="M178" s="29" t="str">
        <x:v>https://eugeneyan.com/</x:v>
      </x:c>
      <x:c r="N178" s="29" t="str">
        <x:v>https://eugeneyan.com/rss/</x:v>
      </x:c>
      <x:c r="O178" s="29" t="str">
        <x:v>有效</x:v>
      </x:c>
      <x:c r="P178" s="72" t="n">
        <x:v>4</x:v>
      </x:c>
      <x:c r="Q178" s="72" t="n">
        <x:v>5</x:v>
      </x:c>
      <x:c r="R178" s="72" t="n">
        <x:v>4</x:v>
      </x:c>
      <x:c r="S178" s="72" t="n">
        <x:v>5</x:v>
      </x:c>
      <x:c r="T178" s="72" t="n">
        <x:v>4</x:v>
      </x:c>
      <x:c r="U178" s="72" t="n">
        <x:v>4</x:v>
      </x:c>
      <x:c r="V178" s="72" t="n">
        <x:v>5</x:v>
      </x:c>
      <x:c r="W178" s="29" t="str">
        <x:v>实践清单、架构拆解、实验复盘</x:v>
      </x:c>
      <x:c r="X178" s="29" t="str">
        <x:v>贴近生产实践，参考文献和决策框架质量高。</x:v>
      </x:c>
      <x:c r="Y178" s="29" t="str">
        <x:v>RSS端点已核验。</x:v>
      </x:c>
      <x:c r="Z178" s="75" t="b">
        <x:v>0</x:v>
      </x:c>
      <x:c r="AA178" s="29"/>
      <x:c r="AB178" s="29" t="str">
        <x:v>扩展调研：科技、科学与数据</x:v>
      </x:c>
      <x:c r="AC178" s="29" t="str">
        <x:v>https://eugeneyan.com/rss/</x:v>
      </x:c>
      <x:c r="AD178" s="29" t="str">
        <x:v>2026-08-17</x:v>
      </x:c>
      <x:c r="AE178" s="29" t="n">
        <x:v>200</x:v>
      </x:c>
      <x:c r="AF178" s="29" t="str">
        <x:v>https://eugeneyan.com/rss/</x:v>
      </x:c>
      <x:c r="AG178" s="29" t="str"/>
    </x:row>
    <x:row r="179" ht="44" customHeight="1">
      <x:c r="A179" s="29" t="str">
        <x:v>SRC-175</x:v>
      </x:c>
      <x:c r="B179" s="29" t="str">
        <x:f>IF(C179&gt;=93,"S",IF(C179&gt;=90,"A",IF(C179&gt;=80,"B","C")))</x:f>
        <x:v>B</x:v>
      </x:c>
      <x:c r="C179" s="72" t="n">
        <x:f>ROUND((P179*0.20+Q179*0.18+R179*0.20+S179*0.15+T179*0.12+U179*0.10+V179*0.05)*20,0)</x:f>
        <x:v>88</x:v>
      </x:c>
      <x:c r="D179" s="29" t="str">
        <x:v>AI、科技与工程</x:v>
      </x:c>
      <x:c r="E179" s="29" t="str">
        <x:v>AI研究与政策通讯</x:v>
      </x:c>
      <x:c r="F179" s="29" t="str">
        <x:v>Import AI</x:v>
      </x:c>
      <x:c r="G179" s="29" t="str"/>
      <x:c r="H179" s="29" t="str">
        <x:v>研究策展、政策评论、行业信号</x:v>
      </x:c>
      <x:c r="I179" s="29" t="str">
        <x:v>en</x:v>
      </x:c>
      <x:c r="J179" s="29" t="str">
        <x:v>解释源</x:v>
      </x:c>
      <x:c r="K179" s="29" t="str">
        <x:v>Open</x:v>
      </x:c>
      <x:c r="L179" s="29" t="str">
        <x:v>当前低频；历史上周更</x:v>
      </x:c>
      <x:c r="M179" s="29" t="str">
        <x:v>https://importai.substack.com/</x:v>
      </x:c>
      <x:c r="N179" s="29" t="str">
        <x:v>https://importai.substack.com/feed</x:v>
      </x:c>
      <x:c r="O179" s="29" t="str">
        <x:v>有效</x:v>
      </x:c>
      <x:c r="P179" s="72" t="n">
        <x:v>4</x:v>
      </x:c>
      <x:c r="Q179" s="72" t="n">
        <x:v>5</x:v>
      </x:c>
      <x:c r="R179" s="72" t="n">
        <x:v>4</x:v>
      </x:c>
      <x:c r="S179" s="72" t="n">
        <x:v>5</x:v>
      </x:c>
      <x:c r="T179" s="72" t="n">
        <x:v>4</x:v>
      </x:c>
      <x:c r="U179" s="72" t="n">
        <x:v>4</x:v>
      </x:c>
      <x:c r="V179" s="72" t="n">
        <x:v>5</x:v>
      </x:c>
      <x:c r="W179" s="29" t="str">
        <x:v>一周AI信号、政策讨论、研究串联</x:v>
      </x:c>
      <x:c r="X179" s="29" t="str">
        <x:v>Jack Clark的历史档案和政策判断具有长期价值。</x:v>
      </x:c>
      <x:c r="Y179" s="29" t="str">
        <x:v>Substack RSS已核验；低频，适合作为档案源。</x:v>
      </x:c>
      <x:c r="Z179" s="75" t="b">
        <x:v>0</x:v>
      </x:c>
      <x:c r="AA179" s="29"/>
      <x:c r="AB179" s="29" t="str">
        <x:v>扩展调研：科技、科学与数据</x:v>
      </x:c>
      <x:c r="AC179" s="29" t="str">
        <x:v>https://importai.substack.com/feed</x:v>
      </x:c>
      <x:c r="AD179" s="29" t="str">
        <x:v>2026-08-17</x:v>
      </x:c>
      <x:c r="AE179" s="29" t="n">
        <x:v>200</x:v>
      </x:c>
      <x:c r="AF179" s="29" t="str">
        <x:v>https://importai.substack.com/feed</x:v>
      </x:c>
      <x:c r="AG179" s="29" t="str"/>
    </x:row>
    <x:row r="180" ht="44" customHeight="1">
      <x:c r="A180" s="29" t="str">
        <x:v>SRC-176</x:v>
      </x:c>
      <x:c r="B180" s="29" t="str">
        <x:f>IF(C180&gt;=93,"S",IF(C180&gt;=90,"A",IF(C180&gt;=80,"B","C")))</x:f>
        <x:v>B</x:v>
      </x:c>
      <x:c r="C180" s="72" t="n">
        <x:f>ROUND((P180*0.20+Q180*0.18+R180*0.20+S180*0.15+T180*0.12+U180*0.10+V180*0.05)*20,0)</x:f>
        <x:v>88</x:v>
      </x:c>
      <x:c r="D180" s="29" t="str">
        <x:v>AI、科技与工程</x:v>
      </x:c>
      <x:c r="E180" s="29" t="str">
        <x:v>AI视觉化教学</x:v>
      </x:c>
      <x:c r="F180" s="29" t="str">
        <x:v>Jay Alammar</x:v>
      </x:c>
      <x:c r="G180" s="29" t="str"/>
      <x:c r="H180" s="29" t="str">
        <x:v>Transformer、语言模型、视觉化教程</x:v>
      </x:c>
      <x:c r="I180" s="29" t="str">
        <x:v>en</x:v>
      </x:c>
      <x:c r="J180" s="29" t="str">
        <x:v>解释源</x:v>
      </x:c>
      <x:c r="K180" s="29" t="str">
        <x:v>Open</x:v>
      </x:c>
      <x:c r="L180" s="29" t="str">
        <x:v>低频、不定期</x:v>
      </x:c>
      <x:c r="M180" s="29" t="str">
        <x:v>https://jalammar.github.io/</x:v>
      </x:c>
      <x:c r="N180" s="29" t="str">
        <x:v>https://jalammar.github.io/feed.xml</x:v>
      </x:c>
      <x:c r="O180" s="29" t="str">
        <x:v>有效</x:v>
      </x:c>
      <x:c r="P180" s="72" t="n">
        <x:v>4</x:v>
      </x:c>
      <x:c r="Q180" s="72" t="n">
        <x:v>5</x:v>
      </x:c>
      <x:c r="R180" s="72" t="n">
        <x:v>4</x:v>
      </x:c>
      <x:c r="S180" s="72" t="n">
        <x:v>5</x:v>
      </x:c>
      <x:c r="T180" s="72" t="n">
        <x:v>4</x:v>
      </x:c>
      <x:c r="U180" s="72" t="n">
        <x:v>4</x:v>
      </x:c>
      <x:c r="V180" s="72" t="n">
        <x:v>5</x:v>
      </x:c>
      <x:c r="W180" s="29" t="str">
        <x:v>一张图理解、入门科普、概念演化</x:v>
      </x:c>
      <x:c r="X180" s="29" t="str">
        <x:v>经典示意图和解释非常适合学习与二次转述。</x:v>
      </x:c>
      <x:c r="Y180" s="29" t="str">
        <x:v>Feed端点已核验；使用其图像前须检查许可和署名。</x:v>
      </x:c>
      <x:c r="Z180" s="75" t="b">
        <x:v>0</x:v>
      </x:c>
      <x:c r="AA180" s="29"/>
      <x:c r="AB180" s="29" t="str">
        <x:v>扩展调研：科技、科学与数据</x:v>
      </x:c>
      <x:c r="AC180" s="29" t="str">
        <x:v>https://jalammar.github.io/feed.xml</x:v>
      </x:c>
      <x:c r="AD180" s="29" t="str">
        <x:v>2026-08-17</x:v>
      </x:c>
      <x:c r="AE180" s="29" t="n">
        <x:v>200</x:v>
      </x:c>
      <x:c r="AF180" s="29" t="str">
        <x:v>https://jalammar.github.io/feed.xml</x:v>
      </x:c>
      <x:c r="AG180" s="29" t="str"/>
    </x:row>
    <x:row r="181" ht="44" customHeight="1">
      <x:c r="A181" s="29" t="str">
        <x:v>SRC-177</x:v>
      </x:c>
      <x:c r="B181" s="29" t="str">
        <x:f>IF(C181&gt;=93,"S",IF(C181&gt;=90,"A",IF(C181&gt;=80,"B","C")))</x:f>
        <x:v>B</x:v>
      </x:c>
      <x:c r="C181" s="72" t="n">
        <x:f>ROUND((P181*0.20+Q181*0.18+R181*0.20+S181*0.15+T181*0.12+U181*0.10+V181*0.05)*20,0)</x:f>
        <x:v>88</x:v>
      </x:c>
      <x:c r="D181" s="29" t="str">
        <x:v>AI、科技与工程</x:v>
      </x:c>
      <x:c r="E181" s="29" t="str">
        <x:v>深度学习综述</x:v>
      </x:c>
      <x:c r="F181" s="29" t="str">
        <x:v>Lilian Weng</x:v>
      </x:c>
      <x:c r="G181" s="29" t="str"/>
      <x:c r="H181" s="29" t="str">
        <x:v>Agent、强化学习、生成模型综述长文</x:v>
      </x:c>
      <x:c r="I181" s="29" t="str">
        <x:v>en</x:v>
      </x:c>
      <x:c r="J181" s="29" t="str">
        <x:v>解释源</x:v>
      </x:c>
      <x:c r="K181" s="29" t="str">
        <x:v>Open</x:v>
      </x:c>
      <x:c r="L181" s="29" t="str">
        <x:v>低频、不定期</x:v>
      </x:c>
      <x:c r="M181" s="29" t="str">
        <x:v>https://lilianweng.github.io/</x:v>
      </x:c>
      <x:c r="N181" s="29" t="str">
        <x:v>https://lilianweng.github.io/index.xml</x:v>
      </x:c>
      <x:c r="O181" s="29" t="str">
        <x:v>有效</x:v>
      </x:c>
      <x:c r="P181" s="72" t="n">
        <x:v>4</x:v>
      </x:c>
      <x:c r="Q181" s="72" t="n">
        <x:v>5</x:v>
      </x:c>
      <x:c r="R181" s="72" t="n">
        <x:v>4</x:v>
      </x:c>
      <x:c r="S181" s="72" t="n">
        <x:v>5</x:v>
      </x:c>
      <x:c r="T181" s="72" t="n">
        <x:v>4</x:v>
      </x:c>
      <x:c r="U181" s="72" t="n">
        <x:v>4</x:v>
      </x:c>
      <x:c r="V181" s="72" t="n">
        <x:v>5</x:v>
      </x:c>
      <x:c r="W181" s="29" t="str">
        <x:v>概念教程、领域综述、术语解释线程</x:v>
      </x:c>
      <x:c r="X181" s="29" t="str">
        <x:v>引文密集、结构完整，常青参考价值高。</x:v>
      </x:c>
      <x:c r="Y181" s="29" t="str">
        <x:v>Feed端点已核验；低频源适合常青档案而非热点监控。</x:v>
      </x:c>
      <x:c r="Z181" s="75" t="b">
        <x:v>0</x:v>
      </x:c>
      <x:c r="AA181" s="29"/>
      <x:c r="AB181" s="29" t="str">
        <x:v>扩展调研：科技、科学与数据</x:v>
      </x:c>
      <x:c r="AC181" s="29" t="str">
        <x:v>https://lilianweng.github.io/index.xml</x:v>
      </x:c>
      <x:c r="AD181" s="29" t="str">
        <x:v>2026-08-17</x:v>
      </x:c>
      <x:c r="AE181" s="29" t="n">
        <x:v>200</x:v>
      </x:c>
      <x:c r="AF181" s="29" t="str">
        <x:v>https://lilianweng.github.io/index.xml</x:v>
      </x:c>
      <x:c r="AG181" s="29" t="str"/>
    </x:row>
    <x:row r="182" ht="44" customHeight="1">
      <x:c r="A182" s="29" t="str">
        <x:v>SRC-178</x:v>
      </x:c>
      <x:c r="B182" s="29" t="str">
        <x:f>IF(C182&gt;=93,"S",IF(C182&gt;=90,"A",IF(C182&gt;=80,"B","C")))</x:f>
        <x:v>B</x:v>
      </x:c>
      <x:c r="C182" s="72" t="n">
        <x:f>ROUND((P182*0.20+Q182*0.18+R182*0.20+S182*0.15+T182*0.12+U182*0.10+V182*0.05)*20,0)</x:f>
        <x:v>88</x:v>
      </x:c>
      <x:c r="D182" s="29" t="str">
        <x:v>AI、科技与工程</x:v>
      </x:c>
      <x:c r="E182" s="29" t="str">
        <x:v>软件架构与交付</x:v>
      </x:c>
      <x:c r="F182" s="29" t="str">
        <x:v>Martin Fowler</x:v>
      </x:c>
      <x:c r="G182" s="29" t="str"/>
      <x:c r="H182" s="29" t="str">
        <x:v>软件架构、重构、交付与组织方法长文</x:v>
      </x:c>
      <x:c r="I182" s="29" t="str">
        <x:v>en</x:v>
      </x:c>
      <x:c r="J182" s="29" t="str">
        <x:v>解释源</x:v>
      </x:c>
      <x:c r="K182" s="29" t="str">
        <x:v>Open</x:v>
      </x:c>
      <x:c r="L182" s="29" t="str">
        <x:v>每月1至4篇</x:v>
      </x:c>
      <x:c r="M182" s="29" t="str">
        <x:v>https://martinfowler.com/</x:v>
      </x:c>
      <x:c r="N182" s="29" t="str">
        <x:v>https://martinfowler.com/feed.atom</x:v>
      </x:c>
      <x:c r="O182" s="29" t="str">
        <x:v>有效</x:v>
      </x:c>
      <x:c r="P182" s="72" t="n">
        <x:v>4</x:v>
      </x:c>
      <x:c r="Q182" s="72" t="n">
        <x:v>5</x:v>
      </x:c>
      <x:c r="R182" s="72" t="n">
        <x:v>4</x:v>
      </x:c>
      <x:c r="S182" s="72" t="n">
        <x:v>5</x:v>
      </x:c>
      <x:c r="T182" s="72" t="n">
        <x:v>4</x:v>
      </x:c>
      <x:c r="U182" s="72" t="n">
        <x:v>4</x:v>
      </x:c>
      <x:c r="V182" s="72" t="n">
        <x:v>5</x:v>
      </x:c>
      <x:c r="W182" s="29" t="str">
        <x:v>架构原则、反模式、团队方法</x:v>
      </x:c>
      <x:c r="X182" s="29" t="str">
        <x:v>概念定义严谨，适合构建常青工程方法论。</x:v>
      </x:c>
      <x:c r="Y182" s="29" t="str">
        <x:v>Atom端点已核验。</x:v>
      </x:c>
      <x:c r="Z182" s="75" t="b">
        <x:v>0</x:v>
      </x:c>
      <x:c r="AA182" s="29"/>
      <x:c r="AB182" s="29" t="str">
        <x:v>扩展调研：科技、科学与数据</x:v>
      </x:c>
      <x:c r="AC182" s="29" t="str">
        <x:v>https://martinfowler.com/feed.atom</x:v>
      </x:c>
      <x:c r="AD182" s="29" t="str">
        <x:v>2026-08-17</x:v>
      </x:c>
      <x:c r="AE182" s="29" t="n">
        <x:v>200</x:v>
      </x:c>
      <x:c r="AF182" s="29" t="str">
        <x:v>https://martinfowler.com/feed.atom</x:v>
      </x:c>
      <x:c r="AG182" s="29" t="str"/>
    </x:row>
    <x:row r="183" ht="44" customHeight="1">
      <x:c r="A183" s="29" t="str">
        <x:v>SRC-179</x:v>
      </x:c>
      <x:c r="B183" s="29" t="str">
        <x:f>IF(C183&gt;=93,"S",IF(C183&gt;=90,"A",IF(C183&gt;=80,"B","C")))</x:f>
        <x:v>B</x:v>
      </x:c>
      <x:c r="C183" s="72" t="n">
        <x:f>ROUND((P183*0.20+Q183*0.18+R183*0.20+S183*0.15+T183*0.12+U183*0.10+V183*0.05)*20,0)</x:f>
        <x:v>88</x:v>
      </x:c>
      <x:c r="D183" s="29" t="str">
        <x:v>AI、科技与工程</x:v>
      </x:c>
      <x:c r="E183" s="29" t="str">
        <x:v>技术史/工程</x:v>
      </x:c>
      <x:c r="F183" s="29" t="str">
        <x:v>Technology Connections</x:v>
      </x:c>
      <x:c r="G183" s="29" t="str"/>
      <x:c r="H183" s="29" t="str">
        <x:v>视频 / 频道</x:v>
      </x:c>
      <x:c r="I183" s="29" t="str">
        <x:v>en</x:v>
      </x:c>
      <x:c r="J183" s="29" t="str">
        <x:v>解释源</x:v>
      </x:c>
      <x:c r="K183" s="29" t="str">
        <x:v>Open</x:v>
      </x:c>
      <x:c r="L183" s="29" t="str">
        <x:v>以频道更新为准</x:v>
      </x:c>
      <x:c r="M183" s="29" t="str">
        <x:v>https://www.youtube.com/channel/UCy0tKL1T7wFoYcxCe0xjN6Q</x:v>
      </x:c>
      <x:c r="N183" s="29" t="str">
        <x:v>https://www.youtube.com/feeds/videos.xml?channel_id=UCy0tKL1T7wFoYcxCe0xjN6Q</x:v>
      </x:c>
      <x:c r="O183" s="29" t="str">
        <x:v>有效</x:v>
      </x:c>
      <x:c r="P183" s="72" t="n">
        <x:v>4</x:v>
      </x:c>
      <x:c r="Q183" s="72" t="n">
        <x:v>5</x:v>
      </x:c>
      <x:c r="R183" s="72" t="n">
        <x:v>4</x:v>
      </x:c>
      <x:c r="S183" s="72" t="n">
        <x:v>5</x:v>
      </x:c>
      <x:c r="T183" s="72" t="n">
        <x:v>4</x:v>
      </x:c>
      <x:c r="U183" s="72" t="n">
        <x:v>4</x:v>
      </x:c>
      <x:c r="V183" s="72" t="n">
        <x:v>5</x:v>
      </x:c>
      <x:c r="W183" s="29" t="str">
        <x:v>视频观点拆解、概念科普、选题与案例线索</x:v>
      </x:c>
      <x:c r="X183" s="29" t="str">
        <x:v>高质量技术史/工程视频创作者，适合快速建立背景、观察叙事结构并发现可传播选题。</x:v>
      </x:c>
      <x:c r="Y183" s="29" t="str">
        <x:v>高质量解释源；具体数字和研究结论仍应回到论文、数据集或机构原文。</x:v>
      </x:c>
      <x:c r="Z183" s="75" t="b">
        <x:v>0</x:v>
      </x:c>
      <x:c r="AA183" s="29"/>
      <x:c r="AB183" s="29" t="str">
        <x:v>YouTube 高质量创作者</x:v>
      </x:c>
      <x:c r="AC183" s="29" t="str">
        <x:v>https://www.youtube.com/@TechnologyConnections</x:v>
      </x:c>
      <x:c r="AD183" s="29" t="str">
        <x:v>2026-08-17</x:v>
      </x:c>
      <x:c r="AE183" s="29" t="n">
        <x:v>200</x:v>
      </x:c>
      <x:c r="AF183" s="29" t="str">
        <x:v>https://www.youtube.com/feeds/videos.xml?channel_id=UCy0tKL1T7wFoYcxCe0xjN6Q</x:v>
      </x:c>
      <x:c r="AG183" s="29" t="str"/>
    </x:row>
    <x:row r="184" ht="44" customHeight="1">
      <x:c r="A184" s="29" t="str">
        <x:v>SRC-180</x:v>
      </x:c>
      <x:c r="B184" s="29" t="str">
        <x:f>IF(C184&gt;=93,"S",IF(C184&gt;=90,"A",IF(C184&gt;=80,"B","C")))</x:f>
        <x:v>B</x:v>
      </x:c>
      <x:c r="C184" s="72" t="n">
        <x:f>ROUND((P184*0.20+Q184*0.18+R184*0.20+S184*0.15+T184*0.12+U184*0.10+V184*0.05)*20,0)</x:f>
        <x:v>88</x:v>
      </x:c>
      <x:c r="D184" s="29" t="str">
        <x:v>AI、科技与工程</x:v>
      </x:c>
      <x:c r="E184" s="29" t="str">
        <x:v>AI研究与社会</x:v>
      </x:c>
      <x:c r="F184" s="29" t="str">
        <x:v>The Gradient</x:v>
      </x:c>
      <x:c r="G184" s="29" t="str"/>
      <x:c r="H184" s="29" t="str">
        <x:v>编辑型研究文章、评论、社会影响长文</x:v>
      </x:c>
      <x:c r="I184" s="29" t="str">
        <x:v>en</x:v>
      </x:c>
      <x:c r="J184" s="29" t="str">
        <x:v>解释源</x:v>
      </x:c>
      <x:c r="K184" s="29" t="str">
        <x:v>Open</x:v>
      </x:c>
      <x:c r="L184" s="29" t="str">
        <x:v>月更、不定期</x:v>
      </x:c>
      <x:c r="M184" s="29" t="str">
        <x:v>https://thegradient.pub/</x:v>
      </x:c>
      <x:c r="N184" s="29" t="str">
        <x:v>https://thegradient.pub/rss/</x:v>
      </x:c>
      <x:c r="O184" s="29" t="str">
        <x:v>有效</x:v>
      </x:c>
      <x:c r="P184" s="72" t="n">
        <x:v>4</x:v>
      </x:c>
      <x:c r="Q184" s="72" t="n">
        <x:v>5</x:v>
      </x:c>
      <x:c r="R184" s="72" t="n">
        <x:v>4</x:v>
      </x:c>
      <x:c r="S184" s="72" t="n">
        <x:v>5</x:v>
      </x:c>
      <x:c r="T184" s="72" t="n">
        <x:v>4</x:v>
      </x:c>
      <x:c r="U184" s="72" t="n">
        <x:v>4</x:v>
      </x:c>
      <x:c r="V184" s="72" t="n">
        <x:v>5</x:v>
      </x:c>
      <x:c r="W184" s="29" t="str">
        <x:v>争议议题、研究文化、AI与社会</x:v>
      </x:c>
      <x:c r="X184" s="29" t="str">
        <x:v>兼顾学术视角和公共讨论，营销噪声低。</x:v>
      </x:c>
      <x:c r="Y184" s="29" t="str">
        <x:v>RSS端点已核验。</x:v>
      </x:c>
      <x:c r="Z184" s="75" t="b">
        <x:v>0</x:v>
      </x:c>
      <x:c r="AA184" s="29"/>
      <x:c r="AB184" s="29" t="str">
        <x:v>扩展调研：科技、科学与数据</x:v>
      </x:c>
      <x:c r="AC184" s="29" t="str">
        <x:v>https://thegradient.pub/rss/</x:v>
      </x:c>
      <x:c r="AD184" s="29" t="str">
        <x:v>2026-08-17</x:v>
      </x:c>
      <x:c r="AE184" s="29" t="n">
        <x:v>200</x:v>
      </x:c>
      <x:c r="AF184" s="29" t="str">
        <x:v>https://thegradient.pub/rss/</x:v>
      </x:c>
      <x:c r="AG184" s="29" t="str"/>
    </x:row>
    <x:row r="185" ht="44" customHeight="1">
      <x:c r="A185" s="29" t="str">
        <x:v>SRC-181</x:v>
      </x:c>
      <x:c r="B185" s="29" t="str">
        <x:f>IF(C185&gt;=93,"S",IF(C185&gt;=90,"A",IF(C185&gt;=80,"B","C")))</x:f>
        <x:v>B</x:v>
      </x:c>
      <x:c r="C185" s="72" t="n">
        <x:f>ROUND((P185*0.20+Q185*0.18+R185*0.20+S185*0.15+T185*0.12+U185*0.10+V185*0.05)*20,0)</x:f>
        <x:v>88</x:v>
      </x:c>
      <x:c r="D185" s="29" t="str">
        <x:v>AI、科技与工程</x:v>
      </x:c>
      <x:c r="E185" s="29" t="str">
        <x:v>AI/论文</x:v>
      </x:c>
      <x:c r="F185" s="29" t="str">
        <x:v>Two Minute Papers</x:v>
      </x:c>
      <x:c r="G185" s="29" t="str"/>
      <x:c r="H185" s="29" t="str">
        <x:v>视频 / 频道</x:v>
      </x:c>
      <x:c r="I185" s="29" t="str">
        <x:v>en</x:v>
      </x:c>
      <x:c r="J185" s="29" t="str">
        <x:v>解释源</x:v>
      </x:c>
      <x:c r="K185" s="29" t="str">
        <x:v>Open</x:v>
      </x:c>
      <x:c r="L185" s="29" t="str">
        <x:v>以频道更新为准</x:v>
      </x:c>
      <x:c r="M185" s="29" t="str">
        <x:v>https://www.youtube.com/channel/UCbfYPyITQ-7l4upoX8nvctg</x:v>
      </x:c>
      <x:c r="N185" s="29" t="str">
        <x:v>https://www.youtube.com/feeds/videos.xml?channel_id=UCbfYPyITQ-7l4upoX8nvctg</x:v>
      </x:c>
      <x:c r="O185" s="29" t="str">
        <x:v>有效</x:v>
      </x:c>
      <x:c r="P185" s="72" t="n">
        <x:v>4</x:v>
      </x:c>
      <x:c r="Q185" s="72" t="n">
        <x:v>5</x:v>
      </x:c>
      <x:c r="R185" s="72" t="n">
        <x:v>4</x:v>
      </x:c>
      <x:c r="S185" s="72" t="n">
        <x:v>5</x:v>
      </x:c>
      <x:c r="T185" s="72" t="n">
        <x:v>4</x:v>
      </x:c>
      <x:c r="U185" s="72" t="n">
        <x:v>4</x:v>
      </x:c>
      <x:c r="V185" s="72" t="n">
        <x:v>5</x:v>
      </x:c>
      <x:c r="W185" s="29" t="str">
        <x:v>视频观点拆解、概念科普、选题与案例线索</x:v>
      </x:c>
      <x:c r="X185" s="29" t="str">
        <x:v>高质量AI/论文视频创作者，适合快速建立背景、观察叙事结构并发现可传播选题。</x:v>
      </x:c>
      <x:c r="Y185" s="29" t="str">
        <x:v>高质量解释源；具体数字和研究结论仍应回到论文、数据集或机构原文。</x:v>
      </x:c>
      <x:c r="Z185" s="75" t="b">
        <x:v>0</x:v>
      </x:c>
      <x:c r="AA185" s="29"/>
      <x:c r="AB185" s="29" t="str">
        <x:v>YouTube 高质量创作者</x:v>
      </x:c>
      <x:c r="AC185" s="29" t="str">
        <x:v>https://www.youtube.com/@TwoMinutePapers</x:v>
      </x:c>
      <x:c r="AD185" s="29" t="str">
        <x:v>2026-08-17</x:v>
      </x:c>
      <x:c r="AE185" s="29" t="n">
        <x:v>200</x:v>
      </x:c>
      <x:c r="AF185" s="29" t="str">
        <x:v>https://www.youtube.com/feeds/videos.xml?channel_id=UCbfYPyITQ-7l4upoX8nvctg</x:v>
      </x:c>
      <x:c r="AG185" s="29" t="str"/>
    </x:row>
    <x:row r="186" ht="44" customHeight="1">
      <x:c r="A186" s="29" t="str">
        <x:v>SRC-182</x:v>
      </x:c>
      <x:c r="B186" s="29" t="str">
        <x:f>IF(C186&gt;=93,"S",IF(C186&gt;=90,"A",IF(C186&gt;=80,"B","C")))</x:f>
        <x:v>B</x:v>
      </x:c>
      <x:c r="C186" s="72" t="n">
        <x:f>ROUND((P186*0.20+Q186*0.18+R186*0.20+S186*0.15+T186*0.12+U186*0.10+V186*0.05)*20,0)</x:f>
        <x:v>88</x:v>
      </x:c>
      <x:c r="D186" s="29" t="str">
        <x:v>人文与跨学科</x:v>
      </x:c>
      <x:c r="E186" s="29" t="str">
        <x:v>哲学、科学与文化</x:v>
      </x:c>
      <x:c r="F186" s="29" t="str">
        <x:v>Aeon</x:v>
      </x:c>
      <x:c r="G186" s="29" t="str"/>
      <x:c r="H186" s="29" t="str">
        <x:v>专家长篇、评论、视频</x:v>
      </x:c>
      <x:c r="I186" s="29" t="str">
        <x:v>en</x:v>
      </x:c>
      <x:c r="J186" s="29" t="str">
        <x:v>解释源</x:v>
      </x:c>
      <x:c r="K186" s="29" t="str">
        <x:v>Open</x:v>
      </x:c>
      <x:c r="L186" s="29" t="str">
        <x:v>每周约3至6篇</x:v>
      </x:c>
      <x:c r="M186" s="29" t="str">
        <x:v>https://aeon.co/</x:v>
      </x:c>
      <x:c r="N186" s="29" t="str">
        <x:v>https://aeon.co/feed.rss</x:v>
      </x:c>
      <x:c r="O186" s="29" t="str">
        <x:v>有效</x:v>
      </x:c>
      <x:c r="P186" s="72" t="n">
        <x:v>4</x:v>
      </x:c>
      <x:c r="Q186" s="72" t="n">
        <x:v>5</x:v>
      </x:c>
      <x:c r="R186" s="72" t="n">
        <x:v>4</x:v>
      </x:c>
      <x:c r="S186" s="72" t="n">
        <x:v>5</x:v>
      </x:c>
      <x:c r="T186" s="72" t="n">
        <x:v>4</x:v>
      </x:c>
      <x:c r="U186" s="72" t="n">
        <x:v>4</x:v>
      </x:c>
      <x:c r="V186" s="72" t="n">
        <x:v>5</x:v>
      </x:c>
      <x:c r="W186" s="29" t="str">
        <x:v>反常识钩子加核心论证加现实启示的长线程。</x:v>
      </x:c>
      <x:c r="X186" s="29" t="str">
        <x:v>非营利编辑团队制作的跨学科长篇，作者专业背景清晰，擅长把哲学和科学问题讲透。</x:v>
      </x:c>
      <x:c r="Y186" s="29" t="str">
        <x:v>2026-08-17：官网页明确提供 RSS，端点返回 application/rss+xml。</x:v>
      </x:c>
      <x:c r="Z186" s="75" t="b">
        <x:v>0</x:v>
      </x:c>
      <x:c r="AA186" s="29"/>
      <x:c r="AB186" s="29" t="str">
        <x:v>扩展调研：人文、历史、哲学与设计</x:v>
      </x:c>
      <x:c r="AC186" s="29" t="str">
        <x:v>https://aeon.co/</x:v>
      </x:c>
      <x:c r="AD186" s="29" t="str">
        <x:v>2026-08-17</x:v>
      </x:c>
      <x:c r="AE186" s="29" t="n">
        <x:v>200</x:v>
      </x:c>
      <x:c r="AF186" s="29" t="str">
        <x:v>https://aeon.co/feed.rss</x:v>
      </x:c>
      <x:c r="AG186" s="29" t="str"/>
    </x:row>
    <x:row r="187" ht="44" customHeight="1">
      <x:c r="A187" s="29" t="str">
        <x:v>SRC-183</x:v>
      </x:c>
      <x:c r="B187" s="29" t="str">
        <x:f>IF(C187&gt;=93,"S",IF(C187&gt;=90,"A",IF(C187&gt;=80,"B","C")))</x:f>
        <x:v>B</x:v>
      </x:c>
      <x:c r="C187" s="72" t="n">
        <x:f>ROUND((P187*0.20+Q187*0.18+R187*0.20+S187*0.15+T187*0.12+U187*0.10+V187*0.05)*20,0)</x:f>
        <x:v>88</x:v>
      </x:c>
      <x:c r="D187" s="29" t="str">
        <x:v>人文与跨学科</x:v>
      </x:c>
      <x:c r="E187" s="29" t="str">
        <x:v>全球发展与事实教育</x:v>
      </x:c>
      <x:c r="F187" s="29" t="str">
        <x:v>Gapminder Data</x:v>
      </x:c>
      <x:c r="G187" s="29" t="str"/>
      <x:c r="H187" s="29" t="str">
        <x:v>全球发展数据、动画和教学材料</x:v>
      </x:c>
      <x:c r="I187" s="29" t="str">
        <x:v>en</x:v>
      </x:c>
      <x:c r="J187" s="29" t="str">
        <x:v>解释源</x:v>
      </x:c>
      <x:c r="K187" s="29" t="str">
        <x:v>Open</x:v>
      </x:c>
      <x:c r="L187" s="29" t="str">
        <x:v>数据发布不定期</x:v>
      </x:c>
      <x:c r="M187" s="29" t="str">
        <x:v>https://www.gapminder.org/data/</x:v>
      </x:c>
      <x:c r="N187" s="29" t="str"/>
      <x:c r="O187" s="29" t="str">
        <x:v>无RSS/API入口</x:v>
      </x:c>
      <x:c r="P187" s="72" t="n">
        <x:v>4</x:v>
      </x:c>
      <x:c r="Q187" s="72" t="n">
        <x:v>5</x:v>
      </x:c>
      <x:c r="R187" s="72" t="n">
        <x:v>4</x:v>
      </x:c>
      <x:c r="S187" s="72" t="n">
        <x:v>5</x:v>
      </x:c>
      <x:c r="T187" s="72" t="n">
        <x:v>4</x:v>
      </x:c>
      <x:c r="U187" s="72" t="n">
        <x:v>4</x:v>
      </x:c>
      <x:c r="V187" s="72" t="n">
        <x:v>5</x:v>
      </x:c>
      <x:c r="W187" s="29" t="str">
        <x:v>误解纠正、长期趋势、动态图表</x:v>
      </x:c>
      <x:c r="X187" s="29" t="str">
        <x:v>擅长纠正常见世界观误差，图形易懂且适合大众传播。</x:v>
      </x:c>
      <x:c r="Y187" s="29" t="str">
        <x:v>未核验到统一RSS；使用时检查每个数据集的底层来源和更新时间。</x:v>
      </x:c>
      <x:c r="Z187" s="75" t="b">
        <x:v>0</x:v>
      </x:c>
      <x:c r="AA187" s="29"/>
      <x:c r="AB187" s="29" t="str">
        <x:v>扩展调研：科技、科学与数据</x:v>
      </x:c>
      <x:c r="AC187" s="29" t="str">
        <x:v>https://www.gapminder.org/data/</x:v>
      </x:c>
      <x:c r="AD187" s="29" t="str">
        <x:v>2026-08-17</x:v>
      </x:c>
      <x:c r="AE187" s="29"/>
      <x:c r="AF187" s="29" t="str"/>
      <x:c r="AG187" s="29" t="str"/>
    </x:row>
    <x:row r="188" ht="44" customHeight="1">
      <x:c r="A188" s="29" t="str">
        <x:v>SRC-184</x:v>
      </x:c>
      <x:c r="B188" s="29" t="str">
        <x:f>IF(C188&gt;=93,"S",IF(C188&gt;=90,"A",IF(C188&gt;=80,"B","C")))</x:f>
        <x:v>B</x:v>
      </x:c>
      <x:c r="C188" s="72" t="n">
        <x:f>ROUND((P188*0.20+Q188*0.18+R188*0.20+S188*0.15+T188*0.12+U188*0.10+V188*0.05)*20,0)</x:f>
        <x:v>88</x:v>
      </x:c>
      <x:c r="D188" s="29" t="str">
        <x:v>人文与跨学科</x:v>
      </x:c>
      <x:c r="E188" s="29" t="str">
        <x:v>科技、人文、设计与媒介</x:v>
      </x:c>
      <x:c r="F188" s="29" t="str">
        <x:v>MIT Press Reader</x:v>
      </x:c>
      <x:c r="G188" s="29" t="str"/>
      <x:c r="H188" s="29" t="str">
        <x:v>出版社作者文章、图书节选、概念解释</x:v>
      </x:c>
      <x:c r="I188" s="29" t="str">
        <x:v>en</x:v>
      </x:c>
      <x:c r="J188" s="29" t="str">
        <x:v>解释源</x:v>
      </x:c>
      <x:c r="K188" s="29" t="str">
        <x:v>Open</x:v>
      </x:c>
      <x:c r="L188" s="29" t="str">
        <x:v>每周约2至4篇</x:v>
      </x:c>
      <x:c r="M188" s="29" t="str">
        <x:v>https://thereader.mitpress.mit.edu/</x:v>
      </x:c>
      <x:c r="N188" s="29" t="str">
        <x:v>https://thereader.mitpress.mit.edu/feed/</x:v>
      </x:c>
      <x:c r="O188" s="29" t="str">
        <x:v>有效</x:v>
      </x:c>
      <x:c r="P188" s="72" t="n">
        <x:v>4</x:v>
      </x:c>
      <x:c r="Q188" s="72" t="n">
        <x:v>5</x:v>
      </x:c>
      <x:c r="R188" s="72" t="n">
        <x:v>4</x:v>
      </x:c>
      <x:c r="S188" s="72" t="n">
        <x:v>5</x:v>
      </x:c>
      <x:c r="T188" s="72" t="n">
        <x:v>4</x:v>
      </x:c>
      <x:c r="U188" s="72" t="n">
        <x:v>4</x:v>
      </x:c>
      <x:c r="V188" s="72" t="n">
        <x:v>5</x:v>
      </x:c>
      <x:c r="W188" s="29" t="str">
        <x:v>书中关键模型、概念卡片和跨学科解释。</x:v>
      </x:c>
      <x:c r="X188" s="29" t="str">
        <x:v>来源多为 MIT Press 作者与书籍，适合从一手作者进入成熟概念和参考文献。</x:v>
      </x:c>
      <x:c r="Y188" s="29" t="str">
        <x:v>2026-08-17：Feed 端点返回 text/xml。</x:v>
      </x:c>
      <x:c r="Z188" s="75" t="b">
        <x:v>0</x:v>
      </x:c>
      <x:c r="AA188" s="29"/>
      <x:c r="AB188" s="29" t="str">
        <x:v>扩展调研：人文、历史、哲学与设计</x:v>
      </x:c>
      <x:c r="AC188" s="29" t="str">
        <x:v>https://thereader.mitpress.mit.edu/</x:v>
      </x:c>
      <x:c r="AD188" s="29" t="str">
        <x:v>2026-08-17</x:v>
      </x:c>
      <x:c r="AE188" s="29" t="n">
        <x:v>200</x:v>
      </x:c>
      <x:c r="AF188" s="29" t="str">
        <x:v>https://thereader.mitpress.mit.edu/feed/</x:v>
      </x:c>
      <x:c r="AG188" s="29" t="str"/>
    </x:row>
    <x:row r="189" ht="44" customHeight="1">
      <x:c r="A189" s="29" t="str">
        <x:v>SRC-185</x:v>
      </x:c>
      <x:c r="B189" s="29" t="str">
        <x:f>IF(C189&gt;=93,"S",IF(C189&gt;=90,"A",IF(C189&gt;=80,"B","C")))</x:f>
        <x:v>B</x:v>
      </x:c>
      <x:c r="C189" s="72" t="n">
        <x:f>ROUND((P189*0.20+Q189*0.18+R189*0.20+S189*0.15+T189*0.12+U189*0.10+V189*0.05)*20,0)</x:f>
        <x:v>88</x:v>
      </x:c>
      <x:c r="D189" s="29" t="str">
        <x:v>人文与跨学科</x:v>
      </x:c>
      <x:c r="E189" s="29" t="str">
        <x:v>跨学科动画教育</x:v>
      </x:c>
      <x:c r="F189" s="29" t="str">
        <x:v>TED-Ed</x:v>
      </x:c>
      <x:c r="G189" s="29" t="str"/>
      <x:c r="H189" s="29" t="str">
        <x:v>视频 / 频道</x:v>
      </x:c>
      <x:c r="I189" s="29" t="str">
        <x:v>en</x:v>
      </x:c>
      <x:c r="J189" s="29" t="str">
        <x:v>解释源</x:v>
      </x:c>
      <x:c r="K189" s="29" t="str">
        <x:v>Open</x:v>
      </x:c>
      <x:c r="L189" s="29" t="str">
        <x:v>以频道更新为准</x:v>
      </x:c>
      <x:c r="M189" s="29" t="str">
        <x:v>https://www.youtube.com/channel/UCsooa4yRKGN_zEE8iknghZA</x:v>
      </x:c>
      <x:c r="N189" s="29" t="str">
        <x:v>https://www.youtube.com/feeds/videos.xml?channel_id=UCsooa4yRKGN_zEE8iknghZA</x:v>
      </x:c>
      <x:c r="O189" s="29" t="str">
        <x:v>有效</x:v>
      </x:c>
      <x:c r="P189" s="72" t="n">
        <x:v>4</x:v>
      </x:c>
      <x:c r="Q189" s="72" t="n">
        <x:v>5</x:v>
      </x:c>
      <x:c r="R189" s="72" t="n">
        <x:v>4</x:v>
      </x:c>
      <x:c r="S189" s="72" t="n">
        <x:v>5</x:v>
      </x:c>
      <x:c r="T189" s="72" t="n">
        <x:v>4</x:v>
      </x:c>
      <x:c r="U189" s="72" t="n">
        <x:v>4</x:v>
      </x:c>
      <x:c r="V189" s="72" t="n">
        <x:v>5</x:v>
      </x:c>
      <x:c r="W189" s="29" t="str">
        <x:v>视频观点拆解、概念科普、选题与案例线索</x:v>
      </x:c>
      <x:c r="X189" s="29" t="str">
        <x:v>高质量跨学科动画教育视频创作者，适合快速建立背景、观察叙事结构并发现可传播选题。</x:v>
      </x:c>
      <x:c r="Y189" s="29" t="str">
        <x:v>高质量解释源；具体数字和研究结论仍应回到论文、数据集或机构原文。</x:v>
      </x:c>
      <x:c r="Z189" s="75" t="b">
        <x:v>0</x:v>
      </x:c>
      <x:c r="AA189" s="29"/>
      <x:c r="AB189" s="29" t="str">
        <x:v>YouTube 高质量创作者</x:v>
      </x:c>
      <x:c r="AC189" s="29" t="str">
        <x:v>https://www.youtube.com/@TEDEd</x:v>
      </x:c>
      <x:c r="AD189" s="29" t="str">
        <x:v>2026-08-17</x:v>
      </x:c>
      <x:c r="AE189" s="29" t="n">
        <x:v>200</x:v>
      </x:c>
      <x:c r="AF189" s="29" t="str">
        <x:v>https://www.youtube.com/feeds/videos.xml?channel_id=UCsooa4yRKGN_zEE8iknghZA</x:v>
      </x:c>
      <x:c r="AG189" s="29" t="str"/>
    </x:row>
    <x:row r="190" ht="44" customHeight="1">
      <x:c r="A190" s="29" t="str">
        <x:v>SRC-186</x:v>
      </x:c>
      <x:c r="B190" s="29" t="str">
        <x:f>IF(C190&gt;=93,"S",IF(C190&gt;=90,"A",IF(C190&gt;=80,"B","C")))</x:f>
        <x:v>B</x:v>
      </x:c>
      <x:c r="C190" s="72" t="n">
        <x:f>ROUND((P190*0.20+Q190*0.18+R190*0.20+S190*0.15+T190*0.12+U190*0.10+V190*0.05)*20,0)</x:f>
        <x:v>88</x:v>
      </x:c>
      <x:c r="D190" s="29" t="str">
        <x:v>健康与福祉</x:v>
      </x:c>
      <x:c r="E190" s="29" t="str">
        <x:v>运动科学与运动医学</x:v>
      </x:c>
      <x:c r="F190" s="29" t="str">
        <x:v>American College of Sports Medicine Blog</x:v>
      </x:c>
      <x:c r="G190" s="29" t="str"/>
      <x:c r="H190" s="29" t="str">
        <x:v>运动处方、体适能、运动医学、共识声明与专业解读</x:v>
      </x:c>
      <x:c r="I190" s="29" t="str">
        <x:v>en</x:v>
      </x:c>
      <x:c r="J190" s="29" t="str">
        <x:v>解释源</x:v>
      </x:c>
      <x:c r="K190" s="29" t="str">
        <x:v>Open</x:v>
      </x:c>
      <x:c r="L190" s="29" t="str">
        <x:v>每周多次</x:v>
      </x:c>
      <x:c r="M190" s="29" t="str">
        <x:v>https://acsm.org/category/acsm-blog/</x:v>
      </x:c>
      <x:c r="N190" s="29" t="str">
        <x:v>https://acsm.org/feed/</x:v>
      </x:c>
      <x:c r="O190" s="29" t="str">
        <x:v>有效</x:v>
      </x:c>
      <x:c r="P190" s="72" t="n">
        <x:v>4</x:v>
      </x:c>
      <x:c r="Q190" s="72" t="n">
        <x:v>5</x:v>
      </x:c>
      <x:c r="R190" s="72" t="n">
        <x:v>4</x:v>
      </x:c>
      <x:c r="S190" s="72" t="n">
        <x:v>5</x:v>
      </x:c>
      <x:c r="T190" s="72" t="n">
        <x:v>4</x:v>
      </x:c>
      <x:c r="U190" s="72" t="n">
        <x:v>4</x:v>
      </x:c>
      <x:c r="V190" s="72" t="n">
        <x:v>5</x:v>
      </x:c>
      <x:c r="W190" s="29" t="str">
        <x:v>运动收益、训练误区、运动处方原则、共识更新</x:v>
      </x:c>
      <x:c r="X190" s="29" t="str">
        <x:v>运动医学专业学会来源，可连接到立场声明、专家共识和原始论文。</x:v>
      </x:c>
      <x:c r="Y190" s="29" t="str">
        <x:v>2026-08-17 实测主页 200，官方 RSS 可解析。博客应继续追到 ACSM 官方声明或论文；运动方案需考虑疾病、年龄与损伤，不替代专业评估。</x:v>
      </x:c>
      <x:c r="Z190" s="75" t="b">
        <x:v>0</x:v>
      </x:c>
      <x:c r="AA190" s="29"/>
      <x:c r="AB190" s="29" t="str">
        <x:v>扩展调研：健康与福祉</x:v>
      </x:c>
      <x:c r="AC190" s="29" t="str">
        <x:v>https://acsm.org/education-resources/pronouncements-scientific-communications/official-statements/</x:v>
      </x:c>
      <x:c r="AD190" s="29" t="str">
        <x:v>2026-08-17</x:v>
      </x:c>
      <x:c r="AE190" s="29" t="n">
        <x:v>200</x:v>
      </x:c>
      <x:c r="AF190" s="29" t="str">
        <x:v>https://acsm.org/feed/</x:v>
      </x:c>
      <x:c r="AG190" s="29" t="str"/>
    </x:row>
    <x:row r="191" ht="44" customHeight="1">
      <x:c r="A191" s="29" t="str">
        <x:v>SRC-187</x:v>
      </x:c>
      <x:c r="B191" s="29" t="str">
        <x:f>IF(C191&gt;=93,"S",IF(C191&gt;=90,"A",IF(C191&gt;=80,"B","C")))</x:f>
        <x:v>B</x:v>
      </x:c>
      <x:c r="C191" s="72" t="n">
        <x:f>ROUND((P191*0.20+Q191*0.18+R191*0.20+S191*0.15+T191*0.12+U191*0.10+V191*0.05)*20,0)</x:f>
        <x:v>88</x:v>
      </x:c>
      <x:c r="D191" s="29" t="str">
        <x:v>健康与福祉</x:v>
      </x:c>
      <x:c r="E191" s="29" t="str">
        <x:v>营养与饮食解释</x:v>
      </x:c>
      <x:c r="F191" s="29" t="str">
        <x:v>Harvard T.H. Chan — The Nutrition Source</x:v>
      </x:c>
      <x:c r="G191" s="29" t="str"/>
      <x:c r="H191" s="29" t="str">
        <x:v>营养研究解释、饮食模式、食品与健康、证据辨识</x:v>
      </x:c>
      <x:c r="I191" s="29" t="str">
        <x:v>en</x:v>
      </x:c>
      <x:c r="J191" s="29" t="str">
        <x:v>解释源</x:v>
      </x:c>
      <x:c r="K191" s="29" t="str">
        <x:v>Open</x:v>
      </x:c>
      <x:c r="L191" s="29" t="str">
        <x:v>每月数篇及持续更新专题</x:v>
      </x:c>
      <x:c r="M191" s="29" t="str">
        <x:v>https://nutritionsource.hsph.harvard.edu/</x:v>
      </x:c>
      <x:c r="N191" s="29" t="str">
        <x:v>https://nutritionsource.hsph.harvard.edu/feed/</x:v>
      </x:c>
      <x:c r="O191" s="29" t="str">
        <x:v>有效</x:v>
      </x:c>
      <x:c r="P191" s="72" t="n">
        <x:v>4</x:v>
      </x:c>
      <x:c r="Q191" s="72" t="n">
        <x:v>5</x:v>
      </x:c>
      <x:c r="R191" s="72" t="n">
        <x:v>4</x:v>
      </x:c>
      <x:c r="S191" s="72" t="n">
        <x:v>5</x:v>
      </x:c>
      <x:c r="T191" s="72" t="n">
        <x:v>4</x:v>
      </x:c>
      <x:c r="U191" s="72" t="n">
        <x:v>4</x:v>
      </x:c>
      <x:c r="V191" s="72" t="n">
        <x:v>5</x:v>
      </x:c>
      <x:c r="W191" s="29" t="str">
        <x:v>营养误区、饮食证据、研究质量、健康饮食图解</x:v>
      </x:c>
      <x:c r="X191" s="29" t="str">
        <x:v>强调证据总体而非单篇研究，并公开反对用内容销售补充剂的噪声模式。</x:v>
      </x:c>
      <x:c r="Y191" s="29" t="str">
        <x:v>2026-08-17 实测主页 200，官方 RSS 可解析。营养结论应避免绝对化，并注明人群、饮食模式和证据类型；不替代营养师或医生的个体建议。</x:v>
      </x:c>
      <x:c r="Z191" s="75" t="b">
        <x:v>0</x:v>
      </x:c>
      <x:c r="AA191" s="29"/>
      <x:c r="AB191" s="29" t="str">
        <x:v>扩展调研：健康与福祉</x:v>
      </x:c>
      <x:c r="AC191" s="29" t="str">
        <x:v>https://nutritionsource.hsph.harvard.edu/about/</x:v>
      </x:c>
      <x:c r="AD191" s="29" t="str">
        <x:v>2026-08-17</x:v>
      </x:c>
      <x:c r="AE191" s="29" t="n">
        <x:v>200</x:v>
      </x:c>
      <x:c r="AF191" s="29" t="str">
        <x:v>https://nutritionsource.hsph.harvard.edu/feed/</x:v>
      </x:c>
      <x:c r="AG191" s="29" t="str"/>
    </x:row>
    <x:row r="192" ht="44" customHeight="1">
      <x:c r="A192" s="29" t="str">
        <x:v>SRC-188</x:v>
      </x:c>
      <x:c r="B192" s="29" t="str">
        <x:f>IF(C192&gt;=93,"S",IF(C192&gt;=90,"A",IF(C192&gt;=80,"B","C")))</x:f>
        <x:v>B</x:v>
      </x:c>
      <x:c r="C192" s="72" t="n">
        <x:f>ROUND((P192*0.20+Q192*0.18+R192*0.20+S192*0.15+T192*0.12+U192*0.10+V192*0.05)*20,0)</x:f>
        <x:v>88</x:v>
      </x:c>
      <x:c r="D192" s="29" t="str">
        <x:v>健康与福祉</x:v>
      </x:c>
      <x:c r="E192" s="29" t="str">
        <x:v>健康信息与素养</x:v>
      </x:c>
      <x:c r="F192" s="29" t="str">
        <x:v>MedlinePlus What's New</x:v>
      </x:c>
      <x:c r="G192" s="29" t="str"/>
      <x:c r="H192" s="29" t="str">
        <x:v>疾病、药物、检查、健康主题与医学术语解释</x:v>
      </x:c>
      <x:c r="I192" s="29" t="str">
        <x:v>en, es</x:v>
      </x:c>
      <x:c r="J192" s="29" t="str">
        <x:v>解释源</x:v>
      </x:c>
      <x:c r="K192" s="29" t="str">
        <x:v>Open</x:v>
      </x:c>
      <x:c r="L192" s="29" t="str">
        <x:v>每周多次</x:v>
      </x:c>
      <x:c r="M192" s="29" t="str">
        <x:v>https://medlineplus.gov/</x:v>
      </x:c>
      <x:c r="N192" s="29" t="str">
        <x:v>https://medlineplus.gov/feeds/whatsnew.xml</x:v>
      </x:c>
      <x:c r="O192" s="29" t="str">
        <x:v>有效</x:v>
      </x:c>
      <x:c r="P192" s="72" t="n">
        <x:v>4</x:v>
      </x:c>
      <x:c r="Q192" s="72" t="n">
        <x:v>5</x:v>
      </x:c>
      <x:c r="R192" s="72" t="n">
        <x:v>4</x:v>
      </x:c>
      <x:c r="S192" s="72" t="n">
        <x:v>5</x:v>
      </x:c>
      <x:c r="T192" s="72" t="n">
        <x:v>4</x:v>
      </x:c>
      <x:c r="U192" s="72" t="n">
        <x:v>4</x:v>
      </x:c>
      <x:c r="V192" s="72" t="n">
        <x:v>5</x:v>
      </x:c>
      <x:c r="W192" s="29" t="str">
        <x:v>概念解释、健康素养、可靠延伸阅读</x:v>
      </x:c>
      <x:c r="X192" s="29" t="str">
        <x:v>美国国家医学图书馆维护，适合核对基础健康概念和面向公众的表述。</x:v>
      </x:c>
      <x:c r="Y192" s="29" t="str">
        <x:v>2026-08-17 实测主页 200，官方 RSS 返回可解析 XML。主题页是信息入口，不替代医生诊断或个体化治疗建议。</x:v>
      </x:c>
      <x:c r="Z192" s="75" t="b">
        <x:v>0</x:v>
      </x:c>
      <x:c r="AA192" s="29"/>
      <x:c r="AB192" s="29" t="str">
        <x:v>扩展调研：健康与福祉</x:v>
      </x:c>
      <x:c r="AC192" s="29" t="str">
        <x:v>https://medlineplus.gov/rss.html</x:v>
      </x:c>
      <x:c r="AD192" s="29" t="str">
        <x:v>2026-08-17</x:v>
      </x:c>
      <x:c r="AE192" s="29" t="n">
        <x:v>200</x:v>
      </x:c>
      <x:c r="AF192" s="29" t="str">
        <x:v>https://medlineplus.gov/feeds/whatsnew.xml</x:v>
      </x:c>
      <x:c r="AG192" s="29" t="str"/>
    </x:row>
    <x:row r="193" ht="44" customHeight="1">
      <x:c r="A193" s="29" t="str">
        <x:v>SRC-189</x:v>
      </x:c>
      <x:c r="B193" s="29" t="str">
        <x:f>IF(C193&gt;=93,"S",IF(C193&gt;=90,"A",IF(C193&gt;=80,"B","C")))</x:f>
        <x:v>B</x:v>
      </x:c>
      <x:c r="C193" s="72" t="n">
        <x:f>ROUND((P193*0.20+Q193*0.18+R193*0.20+S193*0.15+T193*0.12+U193*0.10+V193*0.05)*20,0)</x:f>
        <x:v>88</x:v>
      </x:c>
      <x:c r="D193" s="29" t="str">
        <x:v>健康与福祉</x:v>
      </x:c>
      <x:c r="E193" s="29" t="str">
        <x:v>循证健康解释</x:v>
      </x:c>
      <x:c r="F193" s="29" t="str">
        <x:v>NIH News in Health</x:v>
      </x:c>
      <x:c r="G193" s="29" t="str"/>
      <x:c r="H193" s="29" t="str">
        <x:v>面向公众的健康科普、预防与就医沟通</x:v>
      </x:c>
      <x:c r="I193" s="29" t="str">
        <x:v>en</x:v>
      </x:c>
      <x:c r="J193" s="29" t="str">
        <x:v>解释源</x:v>
      </x:c>
      <x:c r="K193" s="29" t="str">
        <x:v>Open</x:v>
      </x:c>
      <x:c r="L193" s="29" t="str">
        <x:v>每月</x:v>
      </x:c>
      <x:c r="M193" s="29" t="str">
        <x:v>https://newsinhealth.nih.gov/</x:v>
      </x:c>
      <x:c r="N193" s="29" t="str">
        <x:v>https://newsinhealth.nih.gov/rss.xml</x:v>
      </x:c>
      <x:c r="O193" s="29" t="str">
        <x:v>受限/反爬</x:v>
      </x:c>
      <x:c r="P193" s="72" t="n">
        <x:v>4</x:v>
      </x:c>
      <x:c r="Q193" s="72" t="n">
        <x:v>5</x:v>
      </x:c>
      <x:c r="R193" s="72" t="n">
        <x:v>4</x:v>
      </x:c>
      <x:c r="S193" s="72" t="n">
        <x:v>5</x:v>
      </x:c>
      <x:c r="T193" s="72" t="n">
        <x:v>4</x:v>
      </x:c>
      <x:c r="U193" s="72" t="n">
        <x:v>4</x:v>
      </x:c>
      <x:c r="V193" s="72" t="n">
        <x:v>5</x:v>
      </x:c>
      <x:c r="W193" s="29" t="str">
        <x:v>健康误区、预防清单、就医前问题框架</x:v>
      </x:c>
      <x:c r="X193" s="29" t="str">
        <x:v>由 NIH 提供的低噪声健康解释源，适合构建利他型基础科普帖。</x:v>
      </x:c>
      <x:c r="Y193" s="29" t="str">
        <x:v>官方页面与 RSS 已确认；2026-08-17 自动请求触发 403 反爬。内容面向一般人群，不应用于个体诊断或替代医生建议。；端点未返回可识别的 RSS/Atom XML；可能是反爬、登录页或旧地址。</x:v>
      </x:c>
      <x:c r="Z193" s="75" t="b">
        <x:v>0</x:v>
      </x:c>
      <x:c r="AA193" s="29"/>
      <x:c r="AB193" s="29" t="str">
        <x:v>扩展调研：健康与福祉</x:v>
      </x:c>
      <x:c r="AC193" s="29" t="str">
        <x:v>https://newsinhealth.nih.gov/</x:v>
      </x:c>
      <x:c r="AD193" s="29" t="str">
        <x:v>2026-08-17</x:v>
      </x:c>
      <x:c r="AE193" s="29" t="n">
        <x:v>403</x:v>
      </x:c>
      <x:c r="AF193" s="29" t="str">
        <x:v>https://newsinhealth.nih.gov/rss.xml</x:v>
      </x:c>
      <x:c r="AG193" s="29" t="str"/>
    </x:row>
    <x:row r="194" ht="44" customHeight="1">
      <x:c r="A194" s="29" t="str">
        <x:v>SRC-190</x:v>
      </x:c>
      <x:c r="B194" s="29" t="str">
        <x:f>IF(C194&gt;=93,"S",IF(C194&gt;=90,"A",IF(C194&gt;=80,"B","C")))</x:f>
        <x:v>B</x:v>
      </x:c>
      <x:c r="C194" s="72" t="n">
        <x:f>ROUND((P194*0.20+Q194*0.18+R194*0.20+S194*0.15+T194*0.12+U194*0.10+V194*0.05)*20,0)</x:f>
        <x:v>88</x:v>
      </x:c>
      <x:c r="D194" s="29" t="str">
        <x:v>健康与福祉</x:v>
      </x:c>
      <x:c r="E194" s="29" t="str">
        <x:v>循证健康解释</x:v>
      </x:c>
      <x:c r="F194" s="29" t="str">
        <x:v>NIH Research Matters</x:v>
      </x:c>
      <x:c r="G194" s="29" t="str"/>
      <x:c r="H194" s="29" t="str">
        <x:v>NIH 资助研究的通俗解读、研究设计与意义</x:v>
      </x:c>
      <x:c r="I194" s="29" t="str">
        <x:v>en</x:v>
      </x:c>
      <x:c r="J194" s="29" t="str">
        <x:v>解释源</x:v>
      </x:c>
      <x:c r="K194" s="29" t="str">
        <x:v>Open</x:v>
      </x:c>
      <x:c r="L194" s="29" t="str">
        <x:v>每周约 2 至 4 篇</x:v>
      </x:c>
      <x:c r="M194" s="29" t="str">
        <x:v>https://www.nih.gov/news-events/nih-research-matters</x:v>
      </x:c>
      <x:c r="N194" s="29" t="str">
        <x:v>https://www.nih.gov/news-events/nih-research-matters/rss.xml</x:v>
      </x:c>
      <x:c r="O194" s="29" t="str">
        <x:v>受限/反爬</x:v>
      </x:c>
      <x:c r="P194" s="72" t="n">
        <x:v>4</x:v>
      </x:c>
      <x:c r="Q194" s="72" t="n">
        <x:v>5</x:v>
      </x:c>
      <x:c r="R194" s="72" t="n">
        <x:v>4</x:v>
      </x:c>
      <x:c r="S194" s="72" t="n">
        <x:v>5</x:v>
      </x:c>
      <x:c r="T194" s="72" t="n">
        <x:v>4</x:v>
      </x:c>
      <x:c r="U194" s="72" t="n">
        <x:v>4</x:v>
      </x:c>
      <x:c r="V194" s="72" t="n">
        <x:v>5</x:v>
      </x:c>
      <x:c r="W194" s="29" t="str">
        <x:v>研究白话解释、机制图解、结论边界</x:v>
      </x:c>
      <x:c r="X194" s="29" t="str">
        <x:v>把论文结果放入医学语境，适合作为理解入口而非最终证据。</x:v>
      </x:c>
      <x:c r="Y194" s="29" t="str">
        <x:v>官方页面与 RSS 已确认；2026-08-17 自动请求触发 403 反爬。引用数字应回到原论文；仅作一般信息，不替代个体医疗建议。；端点未返回可识别的 RSS/Atom XML；可能是反爬、登录页或旧地址。</x:v>
      </x:c>
      <x:c r="Z194" s="75" t="b">
        <x:v>0</x:v>
      </x:c>
      <x:c r="AA194" s="29"/>
      <x:c r="AB194" s="29" t="str">
        <x:v>扩展调研：健康与福祉</x:v>
      </x:c>
      <x:c r="AC194" s="29" t="str">
        <x:v>https://www.nih.gov/news-events/nih-research-matters</x:v>
      </x:c>
      <x:c r="AD194" s="29" t="str">
        <x:v>2026-08-17</x:v>
      </x:c>
      <x:c r="AE194" s="29" t="n">
        <x:v>403</x:v>
      </x:c>
      <x:c r="AF194" s="29" t="str">
        <x:v>https://www.nih.gov/news-events/nih-research-matters/rss.xml</x:v>
      </x:c>
      <x:c r="AG194" s="29" t="str"/>
    </x:row>
    <x:row r="195" ht="44" customHeight="1">
      <x:c r="A195" s="29" t="str">
        <x:v>SRC-191</x:v>
      </x:c>
      <x:c r="B195" s="29" t="str">
        <x:f>IF(C195&gt;=93,"S",IF(C195&gt;=90,"A",IF(C195&gt;=80,"B","C")))</x:f>
        <x:v>B</x:v>
      </x:c>
      <x:c r="C195" s="72" t="n">
        <x:f>ROUND((P195*0.20+Q195*0.18+R195*0.20+S195*0.15+T195*0.12+U195*0.10+V195*0.05)*20,0)</x:f>
        <x:v>88</x:v>
      </x:c>
      <x:c r="D195" s="29" t="str">
        <x:v>健康与福祉</x:v>
      </x:c>
      <x:c r="E195" s="29" t="str">
        <x:v>健康数据解释</x:v>
      </x:c>
      <x:c r="F195" s="29" t="str">
        <x:v>Our World in Data — Global Health</x:v>
      </x:c>
      <x:c r="G195" s="29" t="str"/>
      <x:c r="H195" s="29" t="str">
        <x:v>全球健康数据、交互图表、长周期趋势与方法说明</x:v>
      </x:c>
      <x:c r="I195" s="29" t="str">
        <x:v>en</x:v>
      </x:c>
      <x:c r="J195" s="29" t="str">
        <x:v>解释源</x:v>
      </x:c>
      <x:c r="K195" s="29" t="str">
        <x:v>Open</x:v>
      </x:c>
      <x:c r="L195" s="29" t="str">
        <x:v>每周多次</x:v>
      </x:c>
      <x:c r="M195" s="29" t="str">
        <x:v>https://ourworldindata.org/global-health</x:v>
      </x:c>
      <x:c r="N195" s="29" t="str">
        <x:v>https://ourworldindata.org/atom.xml</x:v>
      </x:c>
      <x:c r="O195" s="29" t="str">
        <x:v>有效</x:v>
      </x:c>
      <x:c r="P195" s="72" t="n">
        <x:v>4</x:v>
      </x:c>
      <x:c r="Q195" s="72" t="n">
        <x:v>5</x:v>
      </x:c>
      <x:c r="R195" s="72" t="n">
        <x:v>4</x:v>
      </x:c>
      <x:c r="S195" s="72" t="n">
        <x:v>5</x:v>
      </x:c>
      <x:c r="T195" s="72" t="n">
        <x:v>4</x:v>
      </x:c>
      <x:c r="U195" s="72" t="n">
        <x:v>4</x:v>
      </x:c>
      <x:c r="V195" s="72" t="n">
        <x:v>5</x:v>
      </x:c>
      <x:c r="W195" s="29" t="str">
        <x:v>数据图、历史趋势、国家比较、反直觉事实</x:v>
      </x:c>
      <x:c r="X195" s="29" t="str">
        <x:v>把 WHO、IHME、UN 等数据整理成可理解、可复用的图表与叙事。</x:v>
      </x:c>
      <x:c r="Y195" s="29" t="str">
        <x:v>2026-08-17 实测主页 200，站点 Atom 可解析；Feed 为全站而非健康专属，需关键词过滤。发帖应同时链接数据页和原始数据提供方；群体数据不用于个体诊断。</x:v>
      </x:c>
      <x:c r="Z195" s="75" t="b">
        <x:v>0</x:v>
      </x:c>
      <x:c r="AA195" s="29"/>
      <x:c r="AB195" s="29" t="str">
        <x:v>扩展调研：健康与福祉</x:v>
      </x:c>
      <x:c r="AC195" s="29" t="str">
        <x:v>https://ourworldindata.org/global-health</x:v>
      </x:c>
      <x:c r="AD195" s="29" t="str">
        <x:v>2026-08-17</x:v>
      </x:c>
      <x:c r="AE195" s="29" t="n">
        <x:v>200</x:v>
      </x:c>
      <x:c r="AF195" s="29" t="str">
        <x:v>https://ourworldindata.org/atom.xml</x:v>
      </x:c>
      <x:c r="AG195" s="29" t="str"/>
    </x:row>
    <x:row r="196" ht="44" customHeight="1">
      <x:c r="A196" s="29" t="str">
        <x:v>SRC-192</x:v>
      </x:c>
      <x:c r="B196" s="29" t="str">
        <x:f>IF(C196&gt;=93,"S",IF(C196&gt;=90,"A",IF(C196&gt;=80,"B","C")))</x:f>
        <x:v>B</x:v>
      </x:c>
      <x:c r="C196" s="72" t="n">
        <x:f>ROUND((P196*0.20+Q196*0.18+R196*0.20+S196*0.15+T196*0.12+U196*0.10+V196*0.05)*20,0)</x:f>
        <x:v>88</x:v>
      </x:c>
      <x:c r="D196" s="29" t="str">
        <x:v>健康与福祉</x:v>
      </x:c>
      <x:c r="E196" s="29" t="str">
        <x:v>睡眠科普</x:v>
      </x:c>
      <x:c r="F196" s="29" t="str">
        <x:v>Sleep Foundation</x:v>
      </x:c>
      <x:c r="G196" s="29" t="str"/>
      <x:c r="H196" s="29" t="str">
        <x:v>睡眠健康、睡眠环境、常见睡眠问题与研究解释</x:v>
      </x:c>
      <x:c r="I196" s="29" t="str">
        <x:v>en</x:v>
      </x:c>
      <x:c r="J196" s="29" t="str">
        <x:v>解释源</x:v>
      </x:c>
      <x:c r="K196" s="29" t="str">
        <x:v>Open</x:v>
      </x:c>
      <x:c r="L196" s="29" t="str">
        <x:v>每日多次</x:v>
      </x:c>
      <x:c r="M196" s="29" t="str">
        <x:v>https://www.sleepfoundation.org/</x:v>
      </x:c>
      <x:c r="N196" s="29" t="str">
        <x:v>https://www.sleepfoundation.org/feed</x:v>
      </x:c>
      <x:c r="O196" s="29" t="str">
        <x:v>有效</x:v>
      </x:c>
      <x:c r="P196" s="72" t="n">
        <x:v>4</x:v>
      </x:c>
      <x:c r="Q196" s="72" t="n">
        <x:v>5</x:v>
      </x:c>
      <x:c r="R196" s="72" t="n">
        <x:v>4</x:v>
      </x:c>
      <x:c r="S196" s="72" t="n">
        <x:v>5</x:v>
      </x:c>
      <x:c r="T196" s="72" t="n">
        <x:v>4</x:v>
      </x:c>
      <x:c r="U196" s="72" t="n">
        <x:v>4</x:v>
      </x:c>
      <x:c r="V196" s="72" t="n">
        <x:v>5</x:v>
      </x:c>
      <x:c r="W196" s="29" t="str">
        <x:v>睡眠习惯、基础科普、受众问题与解释框架</x:v>
      </x:c>
      <x:c r="X196" s="29" t="str">
        <x:v>内容易读且常列出医学审阅与参考来源，适合作为大众解释入口。</x:v>
      </x:c>
      <x:c r="Y196" s="29" t="str">
        <x:v>2026-08-17 实测主页 200，RSS 可解析。站点含商业与产品内容，涉及疗效或产品推荐时必须回到学会指南和论文；不替代个体医疗建议。</x:v>
      </x:c>
      <x:c r="Z196" s="75" t="b">
        <x:v>0</x:v>
      </x:c>
      <x:c r="AA196" s="29"/>
      <x:c r="AB196" s="29" t="str">
        <x:v>扩展调研：健康与福祉</x:v>
      </x:c>
      <x:c r="AC196" s="29" t="str">
        <x:v>https://www.sleepfoundation.org/</x:v>
      </x:c>
      <x:c r="AD196" s="29" t="str">
        <x:v>2026-08-17</x:v>
      </x:c>
      <x:c r="AE196" s="29" t="n">
        <x:v>200</x:v>
      </x:c>
      <x:c r="AF196" s="29" t="str">
        <x:v>https://www.sleepfoundation.org/feed</x:v>
      </x:c>
      <x:c r="AG196" s="29" t="str"/>
    </x:row>
    <x:row r="197" ht="44" customHeight="1">
      <x:c r="A197" s="29" t="str">
        <x:v>SRC-193</x:v>
      </x:c>
      <x:c r="B197" s="29" t="str">
        <x:f>IF(C197&gt;=93,"S",IF(C197&gt;=90,"A",IF(C197&gt;=80,"B","C")))</x:f>
        <x:v>B</x:v>
      </x:c>
      <x:c r="C197" s="72" t="n">
        <x:f>ROUND((P197*0.20+Q197*0.18+R197*0.20+S197*0.15+T197*0.12+U197*0.10+V197*0.05)*20,0)</x:f>
        <x:v>88</x:v>
      </x:c>
      <x:c r="D197" s="29" t="str">
        <x:v>健康与福祉</x:v>
      </x:c>
      <x:c r="E197" s="29" t="str">
        <x:v>公共卫生解释</x:v>
      </x:c>
      <x:c r="F197" s="29" t="str">
        <x:v>UK Health Security Agency Blog</x:v>
      </x:c>
      <x:c r="G197" s="29" t="str"/>
      <x:c r="H197" s="29" t="str">
        <x:v>感染防控、环境健康、疫苗、健康安全与政策解释</x:v>
      </x:c>
      <x:c r="I197" s="29" t="str">
        <x:v>en</x:v>
      </x:c>
      <x:c r="J197" s="29" t="str">
        <x:v>解释源</x:v>
      </x:c>
      <x:c r="K197" s="29" t="str">
        <x:v>Open</x:v>
      </x:c>
      <x:c r="L197" s="29" t="str">
        <x:v>每周约 1 至 3 篇</x:v>
      </x:c>
      <x:c r="M197" s="29" t="str">
        <x:v>https://ukhsa.blog.gov.uk/</x:v>
      </x:c>
      <x:c r="N197" s="29" t="str">
        <x:v>https://ukhsa.blog.gov.uk/feed/</x:v>
      </x:c>
      <x:c r="O197" s="29" t="str">
        <x:v>有效</x:v>
      </x:c>
      <x:c r="P197" s="72" t="n">
        <x:v>4</x:v>
      </x:c>
      <x:c r="Q197" s="72" t="n">
        <x:v>5</x:v>
      </x:c>
      <x:c r="R197" s="72" t="n">
        <x:v>4</x:v>
      </x:c>
      <x:c r="S197" s="72" t="n">
        <x:v>5</x:v>
      </x:c>
      <x:c r="T197" s="72" t="n">
        <x:v>4</x:v>
      </x:c>
      <x:c r="U197" s="72" t="n">
        <x:v>4</x:v>
      </x:c>
      <x:c r="V197" s="72" t="n">
        <x:v>5</x:v>
      </x:c>
      <x:c r="W197" s="29" t="str">
        <x:v>政策解读、风险沟通、公共卫生实践</x:v>
      </x:c>
      <x:c r="X197" s="29" t="str">
        <x:v>英国官方公共卫生团队的实践型解读，适合把政策和数据转化为可理解内容。</x:v>
      </x:c>
      <x:c r="Y197" s="29" t="str">
        <x:v>2026-08-17 实测主页 200，官方 Atom Feed 可解析。英国政策不应直接外推到其他地区；不替代个体医疗建议。</x:v>
      </x:c>
      <x:c r="Z197" s="75" t="b">
        <x:v>0</x:v>
      </x:c>
      <x:c r="AA197" s="29"/>
      <x:c r="AB197" s="29" t="str">
        <x:v>扩展调研：健康与福祉</x:v>
      </x:c>
      <x:c r="AC197" s="29" t="str">
        <x:v>https://ukhsa.blog.gov.uk/</x:v>
      </x:c>
      <x:c r="AD197" s="29" t="str">
        <x:v>2026-08-17</x:v>
      </x:c>
      <x:c r="AE197" s="29" t="n">
        <x:v>200</x:v>
      </x:c>
      <x:c r="AF197" s="29" t="str">
        <x:v>https://ukhsa.blog.gov.uk/feed/</x:v>
      </x:c>
      <x:c r="AG197" s="29" t="str"/>
    </x:row>
    <x:row r="198" ht="44" customHeight="1">
      <x:c r="A198" s="29" t="str">
        <x:v>SRC-194</x:v>
      </x:c>
      <x:c r="B198" s="29" t="str">
        <x:f>IF(C198&gt;=93,"S",IF(C198&gt;=90,"A",IF(C198&gt;=80,"B","C")))</x:f>
        <x:v>B</x:v>
      </x:c>
      <x:c r="C198" s="72" t="n">
        <x:f>ROUND((P198*0.20+Q198*0.18+R198*0.20+S198*0.15+T198*0.12+U198*0.10+V198*0.05)*20,0)</x:f>
        <x:v>88</x:v>
      </x:c>
      <x:c r="D198" s="29" t="str">
        <x:v>健康与福祉</x:v>
      </x:c>
      <x:c r="E198" s="29" t="str">
        <x:v>疾病预防、营养、环境与公共卫生</x:v>
      </x:c>
      <x:c r="F198" s="29" t="str">
        <x:v>中国疾控中心健康科普</x:v>
      </x:c>
      <x:c r="G198" s="29" t="str"/>
      <x:c r="H198" s="29" t="str">
        <x:v>国家疾控机构健康科普平台</x:v>
      </x:c>
      <x:c r="I198" s="29" t="str">
        <x:v>zh-CN</x:v>
      </x:c>
      <x:c r="J198" s="29" t="str">
        <x:v>解释源</x:v>
      </x:c>
      <x:c r="K198" s="29" t="str">
        <x:v>Open</x:v>
      </x:c>
      <x:c r="L198" s="29" t="str">
        <x:v>持续更新</x:v>
      </x:c>
      <x:c r="M198" s="29" t="str">
        <x:v>https://www.chinacdc.cn/jkkp/</x:v>
      </x:c>
      <x:c r="N198" s="29" t="str"/>
      <x:c r="O198" s="29" t="str">
        <x:v>无RSS/API入口</x:v>
      </x:c>
      <x:c r="P198" s="72" t="n">
        <x:v>4</x:v>
      </x:c>
      <x:c r="Q198" s="72" t="n">
        <x:v>5</x:v>
      </x:c>
      <x:c r="R198" s="72" t="n">
        <x:v>4</x:v>
      </x:c>
      <x:c r="S198" s="72" t="n">
        <x:v>5</x:v>
      </x:c>
      <x:c r="T198" s="72" t="n">
        <x:v>4</x:v>
      </x:c>
      <x:c r="U198" s="72" t="n">
        <x:v>4</x:v>
      </x:c>
      <x:c r="V198" s="72" t="n">
        <x:v>5</x:v>
      </x:c>
      <x:c r="W198" s="29" t="str">
        <x:v>健康风险提示、疾病预防、公共卫生误区查证</x:v>
      </x:c>
      <x:c r="X198" s="29" t="str">
        <x:v>提供传染病、慢病、免疫、营养、环境与职业健康等官方科普信息。</x:v>
      </x:c>
      <x:c r="Y198" s="29" t="str">
        <x:v>涉及具体数据时回查监测报告或指南；不把一般预防建议写成个体治疗方案。</x:v>
      </x:c>
      <x:c r="Z198" s="75" t="b">
        <x:v>0</x:v>
      </x:c>
      <x:c r="AA198" s="29"/>
      <x:c r="AB198" s="29" t="str">
        <x:v>扩展调研：中文心理、健康与商业机构</x:v>
      </x:c>
      <x:c r="AC198" s="29" t="str">
        <x:v>https://www.chinacdc.cn/jkkp/</x:v>
      </x:c>
      <x:c r="AD198" s="29" t="str">
        <x:v>2026-08-17</x:v>
      </x:c>
      <x:c r="AE198" s="29"/>
      <x:c r="AF198" s="29" t="str"/>
      <x:c r="AG198" s="29" t="str"/>
    </x:row>
    <x:row r="199" ht="44" customHeight="1">
      <x:c r="A199" s="29" t="str">
        <x:v>SRC-195</x:v>
      </x:c>
      <x:c r="B199" s="29" t="str">
        <x:f>IF(C199&gt;=93,"S",IF(C199&gt;=90,"A",IF(C199&gt;=80,"B","C")))</x:f>
        <x:v>B</x:v>
      </x:c>
      <x:c r="C199" s="72" t="n">
        <x:f>ROUND((P199*0.20+Q199*0.18+R199*0.20+S199*0.15+T199*0.12+U199*0.10+V199*0.05)*20,0)</x:f>
        <x:v>88</x:v>
      </x:c>
      <x:c r="D199" s="29" t="str">
        <x:v>健康与福祉</x:v>
      </x:c>
      <x:c r="E199" s="29" t="str">
        <x:v>营养科学、膳食指南与专业共识</x:v>
      </x:c>
      <x:c r="F199" s="29" t="str">
        <x:v>中国营养学会</x:v>
      </x:c>
      <x:c r="G199" s="29" t="str"/>
      <x:c r="H199" s="29" t="str">
        <x:v>专业学会 / 营养科普与标准入口</x:v>
      </x:c>
      <x:c r="I199" s="29" t="str">
        <x:v>zh-CN</x:v>
      </x:c>
      <x:c r="J199" s="29" t="str">
        <x:v>解释源</x:v>
      </x:c>
      <x:c r="K199" s="29" t="str">
        <x:v>Open</x:v>
      </x:c>
      <x:c r="L199" s="29" t="str">
        <x:v>持续更新</x:v>
      </x:c>
      <x:c r="M199" s="29" t="str">
        <x:v>https://cnsoc.org/</x:v>
      </x:c>
      <x:c r="N199" s="29" t="str"/>
      <x:c r="O199" s="29" t="str">
        <x:v>无RSS/API入口</x:v>
      </x:c>
      <x:c r="P199" s="72" t="n">
        <x:v>4</x:v>
      </x:c>
      <x:c r="Q199" s="72" t="n">
        <x:v>5</x:v>
      </x:c>
      <x:c r="R199" s="72" t="n">
        <x:v>4</x:v>
      </x:c>
      <x:c r="S199" s="72" t="n">
        <x:v>5</x:v>
      </x:c>
      <x:c r="T199" s="72" t="n">
        <x:v>4</x:v>
      </x:c>
      <x:c r="U199" s="72" t="n">
        <x:v>4</x:v>
      </x:c>
      <x:c r="V199" s="72" t="n">
        <x:v>5</x:v>
      </x:c>
      <x:c r="W199" s="29" t="str">
        <x:v>营养误区、膳食指南、专业共识与研究趋势</x:v>
      </x:c>
      <x:c r="X199" s="29" t="str">
        <x:v>汇集营养科学、膳食指南、团体标准和专业会议信息。</x:v>
      </x:c>
      <x:c r="Y199" s="29" t="str">
        <x:v>区分正式指南、专家共识、会议新闻和合作推广内容；具体饮食建议需考虑个体健康状况。</x:v>
      </x:c>
      <x:c r="Z199" s="75" t="b">
        <x:v>0</x:v>
      </x:c>
      <x:c r="AA199" s="29"/>
      <x:c r="AB199" s="29" t="str">
        <x:v>扩展调研：中文心理、健康与商业机构</x:v>
      </x:c>
      <x:c r="AC199" s="29" t="str">
        <x:v>https://cnsoc.org/</x:v>
      </x:c>
      <x:c r="AD199" s="29" t="str">
        <x:v>2026-08-17</x:v>
      </x:c>
      <x:c r="AE199" s="29"/>
      <x:c r="AF199" s="29" t="str"/>
      <x:c r="AG199" s="29" t="str"/>
    </x:row>
    <x:row r="200" ht="44" customHeight="1">
      <x:c r="A200" s="29" t="str">
        <x:v>SRC-196</x:v>
      </x:c>
      <x:c r="B200" s="29" t="str">
        <x:f>IF(C200&gt;=93,"S",IF(C200&gt;=90,"A",IF(C200&gt;=80,"B","C")))</x:f>
        <x:v>B</x:v>
      </x:c>
      <x:c r="C200" s="72" t="n">
        <x:f>ROUND((P200*0.20+Q200*0.18+R200*0.20+S200*0.15+T200*0.12+U200*0.10+V200*0.05)*20,0)</x:f>
        <x:v>88</x:v>
      </x:c>
      <x:c r="D200" s="29" t="str">
        <x:v>健康与福祉</x:v>
      </x:c>
      <x:c r="E200" s="29" t="str">
        <x:v>健康谣言查证与政策科普</x:v>
      </x:c>
      <x:c r="F200" s="29" t="str">
        <x:v>国家卫生健康委健康科普辟谣平台</x:v>
      </x:c>
      <x:c r="G200" s="29" t="str"/>
      <x:c r="H200" s="29" t="str">
        <x:v>官方健康查证平台</x:v>
      </x:c>
      <x:c r="I200" s="29" t="str">
        <x:v>zh-CN</x:v>
      </x:c>
      <x:c r="J200" s="29" t="str">
        <x:v>解释源</x:v>
      </x:c>
      <x:c r="K200" s="29" t="str">
        <x:v>Open</x:v>
      </x:c>
      <x:c r="L200" s="29" t="str">
        <x:v>持续更新</x:v>
      </x:c>
      <x:c r="M200" s="29" t="str">
        <x:v>https://www.nhc.gov.cn/kppypt/index.shtml</x:v>
      </x:c>
      <x:c r="N200" s="29" t="str"/>
      <x:c r="O200" s="29" t="str">
        <x:v>无RSS/API入口</x:v>
      </x:c>
      <x:c r="P200" s="72" t="n">
        <x:v>4</x:v>
      </x:c>
      <x:c r="Q200" s="72" t="n">
        <x:v>5</x:v>
      </x:c>
      <x:c r="R200" s="72" t="n">
        <x:v>4</x:v>
      </x:c>
      <x:c r="S200" s="72" t="n">
        <x:v>5</x:v>
      </x:c>
      <x:c r="T200" s="72" t="n">
        <x:v>4</x:v>
      </x:c>
      <x:c r="U200" s="72" t="n">
        <x:v>4</x:v>
      </x:c>
      <x:c r="V200" s="72" t="n">
        <x:v>5</x:v>
      </x:c>
      <x:c r="W200" s="29" t="str">
        <x:v>健康误区查证、流行说法核验、政策解释</x:v>
      </x:c>
      <x:c r="X200" s="29" t="str">
        <x:v>按营养、运动、心理健康、用药、慢病等领域组织官方健康谣言查证。</x:v>
      </x:c>
      <x:c r="Y200" s="29" t="str">
        <x:v>引用时保留查证日期、适用条件与原始指南链接；不能外推到未覆盖人群。</x:v>
      </x:c>
      <x:c r="Z200" s="75" t="b">
        <x:v>0</x:v>
      </x:c>
      <x:c r="AA200" s="29"/>
      <x:c r="AB200" s="29" t="str">
        <x:v>扩展调研：中文心理、健康与商业机构</x:v>
      </x:c>
      <x:c r="AC200" s="29" t="str">
        <x:v>https://www.nhc.gov.cn/kppypt/index.shtml</x:v>
      </x:c>
      <x:c r="AD200" s="29" t="str">
        <x:v>2026-08-17</x:v>
      </x:c>
      <x:c r="AE200" s="29"/>
      <x:c r="AF200" s="29" t="str"/>
      <x:c r="AG200" s="29" t="str"/>
    </x:row>
    <x:row r="201" ht="44" customHeight="1">
      <x:c r="A201" s="29" t="str">
        <x:v>SRC-197</x:v>
      </x:c>
      <x:c r="B201" s="29" t="str">
        <x:f>IF(C201&gt;=93,"S",IF(C201&gt;=90,"A",IF(C201&gt;=80,"B","C")))</x:f>
        <x:v>B</x:v>
      </x:c>
      <x:c r="C201" s="72" t="n">
        <x:f>ROUND((P201*0.20+Q201*0.18+R201*0.20+S201*0.15+T201*0.12+U201*0.10+V201*0.05)*20,0)</x:f>
        <x:v>88</x:v>
      </x:c>
      <x:c r="D201" s="29" t="str">
        <x:v>历史与考古</x:v>
      </x:c>
      <x:c r="E201" s="29" t="str">
        <x:v>历史</x:v>
      </x:c>
      <x:c r="F201" s="29" t="str">
        <x:v>Fall of Civilizations</x:v>
      </x:c>
      <x:c r="G201" s="29" t="str"/>
      <x:c r="H201" s="29" t="str">
        <x:v>视频 / 频道</x:v>
      </x:c>
      <x:c r="I201" s="29" t="str">
        <x:v>en</x:v>
      </x:c>
      <x:c r="J201" s="29" t="str">
        <x:v>解释源</x:v>
      </x:c>
      <x:c r="K201" s="29" t="str">
        <x:v>Open</x:v>
      </x:c>
      <x:c r="L201" s="29" t="str">
        <x:v>以频道更新为准</x:v>
      </x:c>
      <x:c r="M201" s="29" t="str">
        <x:v>https://www.youtube.com/channel/UCT6Y5JJPKe_JDMivpKgVXew</x:v>
      </x:c>
      <x:c r="N201" s="29" t="str">
        <x:v>https://www.youtube.com/feeds/videos.xml?channel_id=UCT6Y5JJPKe_JDMivpKgVXew</x:v>
      </x:c>
      <x:c r="O201" s="29" t="str">
        <x:v>有效</x:v>
      </x:c>
      <x:c r="P201" s="72" t="n">
        <x:v>4</x:v>
      </x:c>
      <x:c r="Q201" s="72" t="n">
        <x:v>5</x:v>
      </x:c>
      <x:c r="R201" s="72" t="n">
        <x:v>4</x:v>
      </x:c>
      <x:c r="S201" s="72" t="n">
        <x:v>5</x:v>
      </x:c>
      <x:c r="T201" s="72" t="n">
        <x:v>4</x:v>
      </x:c>
      <x:c r="U201" s="72" t="n">
        <x:v>4</x:v>
      </x:c>
      <x:c r="V201" s="72" t="n">
        <x:v>5</x:v>
      </x:c>
      <x:c r="W201" s="29" t="str">
        <x:v>视频观点拆解、概念科普、选题与案例线索</x:v>
      </x:c>
      <x:c r="X201" s="29" t="str">
        <x:v>高质量历史视频创作者，适合快速建立背景、观察叙事结构并发现可传播选题。</x:v>
      </x:c>
      <x:c r="Y201" s="29" t="str">
        <x:v>高质量解释源；具体数字和研究结论仍应回到论文、数据集或机构原文。</x:v>
      </x:c>
      <x:c r="Z201" s="75" t="b">
        <x:v>0</x:v>
      </x:c>
      <x:c r="AA201" s="29"/>
      <x:c r="AB201" s="29" t="str">
        <x:v>YouTube 高质量创作者</x:v>
      </x:c>
      <x:c r="AC201" s="29" t="str">
        <x:v>https://www.youtube.com/@FallofCivilizations</x:v>
      </x:c>
      <x:c r="AD201" s="29" t="str">
        <x:v>2026-08-17</x:v>
      </x:c>
      <x:c r="AE201" s="29" t="n">
        <x:v>200</x:v>
      </x:c>
      <x:c r="AF201" s="29" t="str">
        <x:v>https://www.youtube.com/feeds/videos.xml?channel_id=UCT6Y5JJPKe_JDMivpKgVXew</x:v>
      </x:c>
      <x:c r="AG201" s="29" t="str"/>
    </x:row>
    <x:row r="202" ht="44" customHeight="1">
      <x:c r="A202" s="29" t="str">
        <x:v>SRC-198</x:v>
      </x:c>
      <x:c r="B202" s="29" t="str">
        <x:f>IF(C202&gt;=93,"S",IF(C202&gt;=90,"A",IF(C202&gt;=80,"B","C")))</x:f>
        <x:v>B</x:v>
      </x:c>
      <x:c r="C202" s="72" t="n">
        <x:f>ROUND((P202*0.20+Q202*0.18+R202*0.20+S202*0.15+T202*0.12+U202*0.10+V202*0.05)*20,0)</x:f>
        <x:v>88</x:v>
      </x:c>
      <x:c r="D202" s="29" t="str">
        <x:v>历史与考古</x:v>
      </x:c>
      <x:c r="E202" s="29" t="str">
        <x:v>古代史</x:v>
      </x:c>
      <x:c r="F202" s="29" t="str">
        <x:v>Historia Civilis</x:v>
      </x:c>
      <x:c r="G202" s="29" t="str"/>
      <x:c r="H202" s="29" t="str">
        <x:v>视频 / 频道</x:v>
      </x:c>
      <x:c r="I202" s="29" t="str">
        <x:v>en</x:v>
      </x:c>
      <x:c r="J202" s="29" t="str">
        <x:v>解释源</x:v>
      </x:c>
      <x:c r="K202" s="29" t="str">
        <x:v>Open</x:v>
      </x:c>
      <x:c r="L202" s="29" t="str">
        <x:v>以频道更新为准</x:v>
      </x:c>
      <x:c r="M202" s="29" t="str">
        <x:v>https://www.youtube.com/channel/UCv_vLHiWVBh_FR9vbeuiY-A</x:v>
      </x:c>
      <x:c r="N202" s="29" t="str">
        <x:v>https://www.youtube.com/feeds/videos.xml?channel_id=UCv_vLHiWVBh_FR9vbeuiY-A</x:v>
      </x:c>
      <x:c r="O202" s="29" t="str">
        <x:v>有效</x:v>
      </x:c>
      <x:c r="P202" s="72" t="n">
        <x:v>4</x:v>
      </x:c>
      <x:c r="Q202" s="72" t="n">
        <x:v>5</x:v>
      </x:c>
      <x:c r="R202" s="72" t="n">
        <x:v>4</x:v>
      </x:c>
      <x:c r="S202" s="72" t="n">
        <x:v>5</x:v>
      </x:c>
      <x:c r="T202" s="72" t="n">
        <x:v>4</x:v>
      </x:c>
      <x:c r="U202" s="72" t="n">
        <x:v>4</x:v>
      </x:c>
      <x:c r="V202" s="72" t="n">
        <x:v>5</x:v>
      </x:c>
      <x:c r="W202" s="29" t="str">
        <x:v>视频观点拆解、概念科普、选题与案例线索</x:v>
      </x:c>
      <x:c r="X202" s="29" t="str">
        <x:v>高质量古代史视频创作者，适合快速建立背景、观察叙事结构并发现可传播选题。</x:v>
      </x:c>
      <x:c r="Y202" s="29" t="str">
        <x:v>高质量解释源；具体数字和研究结论仍应回到论文、数据集或机构原文。</x:v>
      </x:c>
      <x:c r="Z202" s="75" t="b">
        <x:v>0</x:v>
      </x:c>
      <x:c r="AA202" s="29"/>
      <x:c r="AB202" s="29" t="str">
        <x:v>YouTube 高质量创作者</x:v>
      </x:c>
      <x:c r="AC202" s="29" t="str">
        <x:v>https://www.youtube.com/@HistoriaCivilis</x:v>
      </x:c>
      <x:c r="AD202" s="29" t="str">
        <x:v>2026-08-17</x:v>
      </x:c>
      <x:c r="AE202" s="29" t="n">
        <x:v>200</x:v>
      </x:c>
      <x:c r="AF202" s="29" t="str">
        <x:v>https://www.youtube.com/feeds/videos.xml?channel_id=UCv_vLHiWVBh_FR9vbeuiY-A</x:v>
      </x:c>
      <x:c r="AG202" s="29" t="str"/>
    </x:row>
    <x:row r="203" ht="44" customHeight="1">
      <x:c r="A203" s="29" t="str">
        <x:v>SRC-199</x:v>
      </x:c>
      <x:c r="B203" s="29" t="str">
        <x:f>IF(C203&gt;=93,"S",IF(C203&gt;=90,"A",IF(C203&gt;=80,"B","C")))</x:f>
        <x:v>B</x:v>
      </x:c>
      <x:c r="C203" s="72" t="n">
        <x:f>ROUND((P203*0.20+Q203*0.18+R203*0.20+S203*0.15+T203*0.12+U203*0.10+V203*0.05)*20,0)</x:f>
        <x:v>88</x:v>
      </x:c>
      <x:c r="D203" s="29" t="str">
        <x:v>历史与考古</x:v>
      </x:c>
      <x:c r="E203" s="29" t="str">
        <x:v>短历史解释</x:v>
      </x:c>
      <x:c r="F203" s="29" t="str">
        <x:v>History Matters</x:v>
      </x:c>
      <x:c r="G203" s="29" t="str"/>
      <x:c r="H203" s="29" t="str">
        <x:v>视频 / 频道</x:v>
      </x:c>
      <x:c r="I203" s="29" t="str">
        <x:v>en</x:v>
      </x:c>
      <x:c r="J203" s="29" t="str">
        <x:v>解释源</x:v>
      </x:c>
      <x:c r="K203" s="29" t="str">
        <x:v>Open</x:v>
      </x:c>
      <x:c r="L203" s="29" t="str">
        <x:v>以频道更新为准</x:v>
      </x:c>
      <x:c r="M203" s="29" t="str">
        <x:v>https://www.youtube.com/channel/UC22BdTgxefuvUivrjesETjg</x:v>
      </x:c>
      <x:c r="N203" s="29" t="str">
        <x:v>https://www.youtube.com/feeds/videos.xml?channel_id=UC22BdTgxefuvUivrjesETjg</x:v>
      </x:c>
      <x:c r="O203" s="29" t="str">
        <x:v>有效</x:v>
      </x:c>
      <x:c r="P203" s="72" t="n">
        <x:v>4</x:v>
      </x:c>
      <x:c r="Q203" s="72" t="n">
        <x:v>5</x:v>
      </x:c>
      <x:c r="R203" s="72" t="n">
        <x:v>4</x:v>
      </x:c>
      <x:c r="S203" s="72" t="n">
        <x:v>5</x:v>
      </x:c>
      <x:c r="T203" s="72" t="n">
        <x:v>4</x:v>
      </x:c>
      <x:c r="U203" s="72" t="n">
        <x:v>4</x:v>
      </x:c>
      <x:c r="V203" s="72" t="n">
        <x:v>5</x:v>
      </x:c>
      <x:c r="W203" s="29" t="str">
        <x:v>视频观点拆解、概念科普、选题与案例线索</x:v>
      </x:c>
      <x:c r="X203" s="29" t="str">
        <x:v>高质量短历史解释视频创作者，适合快速建立背景、观察叙事结构并发现可传播选题。</x:v>
      </x:c>
      <x:c r="Y203" s="29" t="str">
        <x:v>高质量解释源；具体数字和研究结论仍应回到论文、数据集或机构原文。</x:v>
      </x:c>
      <x:c r="Z203" s="75" t="b">
        <x:v>0</x:v>
      </x:c>
      <x:c r="AA203" s="29"/>
      <x:c r="AB203" s="29" t="str">
        <x:v>YouTube 高质量创作者</x:v>
      </x:c>
      <x:c r="AC203" s="29" t="str">
        <x:v>https://www.youtube.com/@HistoryMatters</x:v>
      </x:c>
      <x:c r="AD203" s="29" t="str">
        <x:v>2026-08-17</x:v>
      </x:c>
      <x:c r="AE203" s="29" t="n">
        <x:v>200</x:v>
      </x:c>
      <x:c r="AF203" s="29" t="str">
        <x:v>https://www.youtube.com/feeds/videos.xml?channel_id=UC22BdTgxefuvUivrjesETjg</x:v>
      </x:c>
      <x:c r="AG203" s="29" t="str"/>
    </x:row>
    <x:row r="204" ht="44" customHeight="1">
      <x:c r="A204" s="29" t="str">
        <x:v>SRC-200</x:v>
      </x:c>
      <x:c r="B204" s="29" t="str">
        <x:f>IF(C204&gt;=93,"S",IF(C204&gt;=90,"A",IF(C204&gt;=80,"B","C")))</x:f>
        <x:v>B</x:v>
      </x:c>
      <x:c r="C204" s="72" t="n">
        <x:f>ROUND((P204*0.20+Q204*0.18+R204*0.20+S204*0.15+T204*0.12+U204*0.10+V204*0.05)*20,0)</x:f>
        <x:v>88</x:v>
      </x:c>
      <x:c r="D204" s="29" t="str">
        <x:v>历史与考古</x:v>
      </x:c>
      <x:c r="E204" s="29" t="str">
        <x:v>全球史与公共历史</x:v>
      </x:c>
      <x:c r="F204" s="29" t="str">
        <x:v>Not Even Past</x:v>
      </x:c>
      <x:c r="G204" s="29" t="str"/>
      <x:c r="H204" s="29" t="str">
        <x:v>学者文章、书评、教学与档案故事</x:v>
      </x:c>
      <x:c r="I204" s="29" t="str">
        <x:v>en</x:v>
      </x:c>
      <x:c r="J204" s="29" t="str">
        <x:v>解释源</x:v>
      </x:c>
      <x:c r="K204" s="29" t="str">
        <x:v>Open</x:v>
      </x:c>
      <x:c r="L204" s="29" t="str">
        <x:v>每周约1至3篇</x:v>
      </x:c>
      <x:c r="M204" s="29" t="str">
        <x:v>https://notevenpast.org/</x:v>
      </x:c>
      <x:c r="N204" s="29" t="str">
        <x:v>https://notevenpast.org/feed/</x:v>
      </x:c>
      <x:c r="O204" s="29" t="str">
        <x:v>有效</x:v>
      </x:c>
      <x:c r="P204" s="72" t="n">
        <x:v>4</x:v>
      </x:c>
      <x:c r="Q204" s="72" t="n">
        <x:v>5</x:v>
      </x:c>
      <x:c r="R204" s="72" t="n">
        <x:v>4</x:v>
      </x:c>
      <x:c r="S204" s="72" t="n">
        <x:v>5</x:v>
      </x:c>
      <x:c r="T204" s="72" t="n">
        <x:v>4</x:v>
      </x:c>
      <x:c r="U204" s="72" t="n">
        <x:v>4</x:v>
      </x:c>
      <x:c r="V204" s="72" t="n">
        <x:v>5</x:v>
      </x:c>
      <x:c r="W204" s="29" t="str">
        <x:v>短历史解释、主题书单和档案如何改变叙事。</x:v>
      </x:c>
      <x:c r="X204" s="29" t="str">
        <x:v>由 University of Texas at Austin 历史学者参与，适合从研究与档案角度进入全球史主题。</x:v>
      </x:c>
      <x:c r="Y204" s="29" t="str">
        <x:v>2026-08-17：标准 WordPress Feed 端点可解析。</x:v>
      </x:c>
      <x:c r="Z204" s="75" t="b">
        <x:v>0</x:v>
      </x:c>
      <x:c r="AA204" s="29"/>
      <x:c r="AB204" s="29" t="str">
        <x:v>扩展调研：人文、历史、哲学与设计</x:v>
      </x:c>
      <x:c r="AC204" s="29" t="str">
        <x:v>https://notevenpast.org/</x:v>
      </x:c>
      <x:c r="AD204" s="29" t="str">
        <x:v>2026-08-17</x:v>
      </x:c>
      <x:c r="AE204" s="29" t="n">
        <x:v>200</x:v>
      </x:c>
      <x:c r="AF204" s="29" t="str">
        <x:v>https://notevenpast.org/feed/</x:v>
      </x:c>
      <x:c r="AG204" s="29" t="str"/>
    </x:row>
    <x:row r="205" ht="44" customHeight="1">
      <x:c r="A205" s="29" t="str">
        <x:v>SRC-201</x:v>
      </x:c>
      <x:c r="B205" s="29" t="str">
        <x:f>IF(C205&gt;=93,"S",IF(C205&gt;=90,"A",IF(C205&gt;=80,"B","C")))</x:f>
        <x:v>B</x:v>
      </x:c>
      <x:c r="C205" s="72" t="n">
        <x:f>ROUND((P205*0.20+Q205*0.18+R205*0.20+S205*0.15+T205*0.12+U205*0.10+V205*0.05)*20,0)</x:f>
        <x:v>88</x:v>
      </x:c>
      <x:c r="D205" s="29" t="str">
        <x:v>历史与考古</x:v>
      </x:c>
      <x:c r="E205" s="29" t="str">
        <x:v>人类学与考古</x:v>
      </x:c>
      <x:c r="F205" s="29" t="str">
        <x:v>SAPIENS</x:v>
      </x:c>
      <x:c r="G205" s="29" t="str"/>
      <x:c r="H205" s="29" t="str">
        <x:v>研究者文章、田野故事、考古新闻</x:v>
      </x:c>
      <x:c r="I205" s="29" t="str">
        <x:v>en</x:v>
      </x:c>
      <x:c r="J205" s="29" t="str">
        <x:v>解释源</x:v>
      </x:c>
      <x:c r="K205" s="29" t="str">
        <x:v>Open</x:v>
      </x:c>
      <x:c r="L205" s="29" t="str">
        <x:v>每周约2至5篇</x:v>
      </x:c>
      <x:c r="M205" s="29" t="str">
        <x:v>https://www.sapiens.org/</x:v>
      </x:c>
      <x:c r="N205" s="29" t="str">
        <x:v>https://www.sapiens.org/feed/</x:v>
      </x:c>
      <x:c r="O205" s="29" t="str">
        <x:v>有效</x:v>
      </x:c>
      <x:c r="P205" s="72" t="n">
        <x:v>4</x:v>
      </x:c>
      <x:c r="Q205" s="72" t="n">
        <x:v>5</x:v>
      </x:c>
      <x:c r="R205" s="72" t="n">
        <x:v>4</x:v>
      </x:c>
      <x:c r="S205" s="72" t="n">
        <x:v>5</x:v>
      </x:c>
      <x:c r="T205" s="72" t="n">
        <x:v>4</x:v>
      </x:c>
      <x:c r="U205" s="72" t="n">
        <x:v>4</x:v>
      </x:c>
      <x:c r="V205" s="72" t="n">
        <x:v>5</x:v>
      </x:c>
      <x:c r="W205" s="29" t="str">
        <x:v>看似自然其实是文化产物的解释线程。</x:v>
      </x:c>
      <x:c r="X205" s="29" t="str">
        <x:v>作者多为人类学与考古研究者，全球视角好，适合纠正把文化习惯误认为自然规律的叙事。</x:v>
      </x:c>
      <x:c r="Y205" s="29" t="str">
        <x:v>2026-08-17：标准 Feed 路径存在，网页核验器遇到 403；建议在目标阅读器复验。</x:v>
      </x:c>
      <x:c r="Z205" s="75" t="b">
        <x:v>0</x:v>
      </x:c>
      <x:c r="AA205" s="29"/>
      <x:c r="AB205" s="29" t="str">
        <x:v>扩展调研：人文、历史、哲学与设计</x:v>
      </x:c>
      <x:c r="AC205" s="29" t="str">
        <x:v>https://www.sapiens.org/</x:v>
      </x:c>
      <x:c r="AD205" s="29" t="str">
        <x:v>2026-08-17</x:v>
      </x:c>
      <x:c r="AE205" s="29" t="n">
        <x:v>200</x:v>
      </x:c>
      <x:c r="AF205" s="29" t="str">
        <x:v>https://www.sapiens.org/feed/</x:v>
      </x:c>
      <x:c r="AG205" s="29" t="str"/>
    </x:row>
    <x:row r="206" ht="44" customHeight="1">
      <x:c r="A206" s="29" t="str">
        <x:v>SRC-202</x:v>
      </x:c>
      <x:c r="B206" s="29" t="str">
        <x:f>IF(C206&gt;=93,"S",IF(C206&gt;=90,"A",IF(C206&gt;=80,"B","C")))</x:f>
        <x:v>B</x:v>
      </x:c>
      <x:c r="C206" s="72" t="n">
        <x:f>ROUND((P206*0.20+Q206*0.18+R206*0.20+S206*0.15+T206*0.12+U206*0.10+V206*0.05)*20,0)</x:f>
        <x:v>88</x:v>
      </x:c>
      <x:c r="D206" s="29" t="str">
        <x:v>历史与考古</x:v>
      </x:c>
      <x:c r="E206" s="29" t="str">
        <x:v>中文历史/文化</x:v>
      </x:c>
      <x:c r="F206" s="29" t="str">
        <x:v>Taiwan Bar</x:v>
      </x:c>
      <x:c r="G206" s="29" t="str"/>
      <x:c r="H206" s="29" t="str">
        <x:v>视频 / 频道</x:v>
      </x:c>
      <x:c r="I206" s="29" t="str">
        <x:v>zh</x:v>
      </x:c>
      <x:c r="J206" s="29" t="str">
        <x:v>解释源</x:v>
      </x:c>
      <x:c r="K206" s="29" t="str">
        <x:v>Open</x:v>
      </x:c>
      <x:c r="L206" s="29" t="str">
        <x:v>以频道更新为准</x:v>
      </x:c>
      <x:c r="M206" s="29" t="str">
        <x:v>https://www.youtube.com/channel/UCRNsHFT7BFoAPBcuAa5sgEQ</x:v>
      </x:c>
      <x:c r="N206" s="29" t="str">
        <x:v>https://www.youtube.com/feeds/videos.xml?channel_id=UCRNsHFT7BFoAPBcuAa5sgEQ</x:v>
      </x:c>
      <x:c r="O206" s="29" t="str">
        <x:v>有效</x:v>
      </x:c>
      <x:c r="P206" s="72" t="n">
        <x:v>4</x:v>
      </x:c>
      <x:c r="Q206" s="72" t="n">
        <x:v>5</x:v>
      </x:c>
      <x:c r="R206" s="72" t="n">
        <x:v>4</x:v>
      </x:c>
      <x:c r="S206" s="72" t="n">
        <x:v>5</x:v>
      </x:c>
      <x:c r="T206" s="72" t="n">
        <x:v>4</x:v>
      </x:c>
      <x:c r="U206" s="72" t="n">
        <x:v>4</x:v>
      </x:c>
      <x:c r="V206" s="72" t="n">
        <x:v>5</x:v>
      </x:c>
      <x:c r="W206" s="29" t="str">
        <x:v>视频观点拆解、概念科普、选题与案例线索</x:v>
      </x:c>
      <x:c r="X206" s="29" t="str">
        <x:v>高质量中文历史/文化视频创作者，适合快速建立背景、观察叙事结构并发现可传播选题。</x:v>
      </x:c>
      <x:c r="Y206" s="29" t="str">
        <x:v>高质量解释源；具体数字和研究结论仍应回到论文、数据集或机构原文。</x:v>
      </x:c>
      <x:c r="Z206" s="75" t="b">
        <x:v>0</x:v>
      </x:c>
      <x:c r="AA206" s="29"/>
      <x:c r="AB206" s="29" t="str">
        <x:v>YouTube 高质量创作者</x:v>
      </x:c>
      <x:c r="AC206" s="29" t="str">
        <x:v>https://www.youtube.com/@TaiwanBar</x:v>
      </x:c>
      <x:c r="AD206" s="29" t="str">
        <x:v>2026-08-17</x:v>
      </x:c>
      <x:c r="AE206" s="29" t="n">
        <x:v>200</x:v>
      </x:c>
      <x:c r="AF206" s="29" t="str">
        <x:v>https://www.youtube.com/feeds/videos.xml?channel_id=UCRNsHFT7BFoAPBcuAa5sgEQ</x:v>
      </x:c>
      <x:c r="AG206" s="29" t="str"/>
    </x:row>
    <x:row r="207" ht="44" customHeight="1">
      <x:c r="A207" s="29" t="str">
        <x:v>SRC-203</x:v>
      </x:c>
      <x:c r="B207" s="29" t="str">
        <x:f>IF(C207&gt;=93,"S",IF(C207&gt;=90,"A",IF(C207&gt;=80,"B","C")))</x:f>
        <x:v>B</x:v>
      </x:c>
      <x:c r="C207" s="72" t="n">
        <x:f>ROUND((P207*0.20+Q207*0.18+R207*0.20+S207*0.15+T207*0.12+U207*0.10+V207*0.05)*20,0)</x:f>
        <x:v>88</x:v>
      </x:c>
      <x:c r="D207" s="29" t="str">
        <x:v>历史与考古</x:v>
      </x:c>
      <x:c r="E207" s="29" t="str">
        <x:v>古典史/考古</x:v>
      </x:c>
      <x:c r="F207" s="29" t="str">
        <x:v>Told in Stone</x:v>
      </x:c>
      <x:c r="G207" s="29" t="str"/>
      <x:c r="H207" s="29" t="str">
        <x:v>视频 / 频道</x:v>
      </x:c>
      <x:c r="I207" s="29" t="str">
        <x:v>en</x:v>
      </x:c>
      <x:c r="J207" s="29" t="str">
        <x:v>解释源</x:v>
      </x:c>
      <x:c r="K207" s="29" t="str">
        <x:v>Open</x:v>
      </x:c>
      <x:c r="L207" s="29" t="str">
        <x:v>以频道更新为准</x:v>
      </x:c>
      <x:c r="M207" s="29" t="str">
        <x:v>https://www.youtube.com/channel/UCqBiWcuTF8IaLH7wBqnihsQ</x:v>
      </x:c>
      <x:c r="N207" s="29" t="str">
        <x:v>https://www.youtube.com/feeds/videos.xml?channel_id=UCqBiWcuTF8IaLH7wBqnihsQ</x:v>
      </x:c>
      <x:c r="O207" s="29" t="str">
        <x:v>有效</x:v>
      </x:c>
      <x:c r="P207" s="72" t="n">
        <x:v>4</x:v>
      </x:c>
      <x:c r="Q207" s="72" t="n">
        <x:v>5</x:v>
      </x:c>
      <x:c r="R207" s="72" t="n">
        <x:v>4</x:v>
      </x:c>
      <x:c r="S207" s="72" t="n">
        <x:v>5</x:v>
      </x:c>
      <x:c r="T207" s="72" t="n">
        <x:v>4</x:v>
      </x:c>
      <x:c r="U207" s="72" t="n">
        <x:v>4</x:v>
      </x:c>
      <x:c r="V207" s="72" t="n">
        <x:v>5</x:v>
      </x:c>
      <x:c r="W207" s="29" t="str">
        <x:v>视频观点拆解、概念科普、选题与案例线索</x:v>
      </x:c>
      <x:c r="X207" s="29" t="str">
        <x:v>高质量古典史/考古视频创作者，适合快速建立背景、观察叙事结构并发现可传播选题。</x:v>
      </x:c>
      <x:c r="Y207" s="29" t="str">
        <x:v>高质量解释源；具体数字和研究结论仍应回到论文、数据集或机构原文。</x:v>
      </x:c>
      <x:c r="Z207" s="75" t="b">
        <x:v>0</x:v>
      </x:c>
      <x:c r="AA207" s="29"/>
      <x:c r="AB207" s="29" t="str">
        <x:v>YouTube 高质量创作者</x:v>
      </x:c>
      <x:c r="AC207" s="29" t="str">
        <x:v>https://www.youtube.com/@toldinstone</x:v>
      </x:c>
      <x:c r="AD207" s="29" t="str">
        <x:v>2026-08-17</x:v>
      </x:c>
      <x:c r="AE207" s="29" t="n">
        <x:v>200</x:v>
      </x:c>
      <x:c r="AF207" s="29" t="str">
        <x:v>https://www.youtube.com/feeds/videos.xml?channel_id=UCqBiWcuTF8IaLH7wBqnihsQ</x:v>
      </x:c>
      <x:c r="AG207" s="29" t="str"/>
    </x:row>
    <x:row r="208" ht="44" customHeight="1">
      <x:c r="A208" s="29" t="str">
        <x:v>SRC-204</x:v>
      </x:c>
      <x:c r="B208" s="29" t="str">
        <x:f>IF(C208&gt;=93,"S",IF(C208&gt;=90,"A",IF(C208&gt;=80,"B","C")))</x:f>
        <x:v>B</x:v>
      </x:c>
      <x:c r="C208" s="72" t="n">
        <x:f>ROUND((P208*0.20+Q208*0.18+R208*0.20+S208*0.15+T208*0.12+U208*0.10+V208*0.05)*20,0)</x:f>
        <x:v>88</x:v>
      </x:c>
      <x:c r="D208" s="29" t="str">
        <x:v>历史与考古</x:v>
      </x:c>
      <x:c r="E208" s="29" t="str">
        <x:v>历史文献</x:v>
      </x:c>
      <x:c r="F208" s="29" t="str">
        <x:v>Voices of the Past</x:v>
      </x:c>
      <x:c r="G208" s="29" t="str"/>
      <x:c r="H208" s="29" t="str">
        <x:v>视频 / 频道</x:v>
      </x:c>
      <x:c r="I208" s="29" t="str">
        <x:v>en</x:v>
      </x:c>
      <x:c r="J208" s="29" t="str">
        <x:v>解释源</x:v>
      </x:c>
      <x:c r="K208" s="29" t="str">
        <x:v>Open</x:v>
      </x:c>
      <x:c r="L208" s="29" t="str">
        <x:v>以频道更新为准</x:v>
      </x:c>
      <x:c r="M208" s="29" t="str">
        <x:v>https://www.youtube.com/channel/UCqoGR_EedlhKDVuWNwYWRbg</x:v>
      </x:c>
      <x:c r="N208" s="29" t="str">
        <x:v>https://www.youtube.com/feeds/videos.xml?channel_id=UCqoGR_EedlhKDVuWNwYWRbg</x:v>
      </x:c>
      <x:c r="O208" s="29" t="str">
        <x:v>有效</x:v>
      </x:c>
      <x:c r="P208" s="72" t="n">
        <x:v>4</x:v>
      </x:c>
      <x:c r="Q208" s="72" t="n">
        <x:v>5</x:v>
      </x:c>
      <x:c r="R208" s="72" t="n">
        <x:v>4</x:v>
      </x:c>
      <x:c r="S208" s="72" t="n">
        <x:v>5</x:v>
      </x:c>
      <x:c r="T208" s="72" t="n">
        <x:v>4</x:v>
      </x:c>
      <x:c r="U208" s="72" t="n">
        <x:v>4</x:v>
      </x:c>
      <x:c r="V208" s="72" t="n">
        <x:v>5</x:v>
      </x:c>
      <x:c r="W208" s="29" t="str">
        <x:v>视频观点拆解、概念科普、选题与案例线索</x:v>
      </x:c>
      <x:c r="X208" s="29" t="str">
        <x:v>高质量历史文献视频创作者，适合快速建立背景、观察叙事结构并发现可传播选题。</x:v>
      </x:c>
      <x:c r="Y208" s="29" t="str">
        <x:v>高质量解释源；具体数字和研究结论仍应回到论文、数据集或机构原文。</x:v>
      </x:c>
      <x:c r="Z208" s="75" t="b">
        <x:v>0</x:v>
      </x:c>
      <x:c r="AA208" s="29"/>
      <x:c r="AB208" s="29" t="str">
        <x:v>YouTube 高质量创作者</x:v>
      </x:c>
      <x:c r="AC208" s="29" t="str">
        <x:v>https://www.youtube.com/@VoicesofthePast</x:v>
      </x:c>
      <x:c r="AD208" s="29" t="str">
        <x:v>2026-08-17</x:v>
      </x:c>
      <x:c r="AE208" s="29" t="n">
        <x:v>200</x:v>
      </x:c>
      <x:c r="AF208" s="29" t="str">
        <x:v>https://www.youtube.com/feeds/videos.xml?channel_id=UCqoGR_EedlhKDVuWNwYWRbg</x:v>
      </x:c>
      <x:c r="AG208" s="29" t="str"/>
    </x:row>
    <x:row r="209" ht="44" customHeight="1">
      <x:c r="A209" s="29" t="str">
        <x:v>SRC-205</x:v>
      </x:c>
      <x:c r="B209" s="29" t="str">
        <x:f>IF(C209&gt;=93,"S",IF(C209&gt;=90,"A",IF(C209&gt;=80,"B","C")))</x:f>
        <x:v>B</x:v>
      </x:c>
      <x:c r="C209" s="72" t="n">
        <x:f>ROUND((P209*0.20+Q209*0.18+R209*0.20+S209*0.15+T209*0.12+U209*0.10+V209*0.05)*20,0)</x:f>
        <x:v>88</x:v>
      </x:c>
      <x:c r="D209" s="29" t="str">
        <x:v>哲学与思想</x:v>
      </x:c>
      <x:c r="E209" s="29" t="str">
        <x:v>开放哲学百科</x:v>
      </x:c>
      <x:c r="F209" s="29" t="str">
        <x:v>Internet Encyclopedia of Philosophy</x:v>
      </x:c>
      <x:c r="G209" s="29" t="str"/>
      <x:c r="H209" s="29" t="str">
        <x:v>同行审阅百科 / RSS</x:v>
      </x:c>
      <x:c r="I209" s="29" t="str">
        <x:v>en</x:v>
      </x:c>
      <x:c r="J209" s="29" t="str">
        <x:v>解释源</x:v>
      </x:c>
      <x:c r="K209" s="29" t="str">
        <x:v>Open</x:v>
      </x:c>
      <x:c r="L209" s="29" t="str">
        <x:v>不定期</x:v>
      </x:c>
      <x:c r="M209" s="29" t="str">
        <x:v>https://iep.utm.edu/</x:v>
      </x:c>
      <x:c r="N209" s="29" t="str">
        <x:v>https://iep.utm.edu/feed/</x:v>
      </x:c>
      <x:c r="O209" s="29" t="str">
        <x:v>有效</x:v>
      </x:c>
      <x:c r="P209" s="72" t="n">
        <x:v>4</x:v>
      </x:c>
      <x:c r="Q209" s="72" t="n">
        <x:v>5</x:v>
      </x:c>
      <x:c r="R209" s="72" t="n">
        <x:v>4</x:v>
      </x:c>
      <x:c r="S209" s="72" t="n">
        <x:v>5</x:v>
      </x:c>
      <x:c r="T209" s="72" t="n">
        <x:v>4</x:v>
      </x:c>
      <x:c r="U209" s="72" t="n">
        <x:v>4</x:v>
      </x:c>
      <x:c r="V209" s="72" t="n">
        <x:v>5</x:v>
      </x:c>
      <x:c r="W209" s="29" t="str">
        <x:v>概念科普、思想史</x:v>
      </x:c>
      <x:c r="X209" s="29" t="str">
        <x:v>可读性强的哲学概念与人物入口，适合和 SEP 互相校验。</x:v>
      </x:c>
      <x:c r="Y209" s="29" t="str">
        <x:v>使用前核对数据口径、更新时间、许可与引用格式。</x:v>
      </x:c>
      <x:c r="Z209" s="75" t="b">
        <x:v>0</x:v>
      </x:c>
      <x:c r="AA209" s="29"/>
      <x:c r="AB209" s="29" t="str">
        <x:v>扩展调研：数据库、资料库与平台</x:v>
      </x:c>
      <x:c r="AC209" s="29" t="str">
        <x:v>https://iep.utm.edu/</x:v>
      </x:c>
      <x:c r="AD209" s="29" t="str">
        <x:v>2026-08-17</x:v>
      </x:c>
      <x:c r="AE209" s="29" t="n">
        <x:v>200</x:v>
      </x:c>
      <x:c r="AF209" s="29" t="str">
        <x:v>https://iep.utm.edu/feed/</x:v>
      </x:c>
      <x:c r="AG209" s="29" t="str"/>
    </x:row>
    <x:row r="210" ht="44" customHeight="1">
      <x:c r="A210" s="29" t="str">
        <x:v>SRC-206</x:v>
      </x:c>
      <x:c r="B210" s="29" t="str">
        <x:f>IF(C210&gt;=93,"S",IF(C210&gt;=90,"A",IF(C210&gt;=80,"B","C")))</x:f>
        <x:v>B</x:v>
      </x:c>
      <x:c r="C210" s="72" t="n">
        <x:f>ROUND((P210*0.20+Q210*0.18+R210*0.20+S210*0.15+T210*0.12+U210*0.10+V210*0.05)*20,0)</x:f>
        <x:v>88</x:v>
      </x:c>
      <x:c r="D210" s="29" t="str">
        <x:v>商业、管理与创新</x:v>
      </x:c>
      <x:c r="E210" s="29" t="str">
        <x:v>云软件、创业与基准</x:v>
      </x:c>
      <x:c r="F210" s="29" t="str">
        <x:v>Bessemer Venture Partners Atlas</x:v>
      </x:c>
      <x:c r="G210" s="29" t="str"/>
      <x:c r="H210" s="29" t="str">
        <x:v>行业路线图、云软件基准、创业手册、投资备忘录与案例</x:v>
      </x:c>
      <x:c r="I210" s="29" t="str">
        <x:v>en</x:v>
      </x:c>
      <x:c r="J210" s="29" t="str">
        <x:v>解释源</x:v>
      </x:c>
      <x:c r="K210" s="29" t="str">
        <x:v>Open</x:v>
      </x:c>
      <x:c r="L210" s="29" t="str">
        <x:v>每月约2至6篇</x:v>
      </x:c>
      <x:c r="M210" s="29" t="str">
        <x:v>https://www.bvp.com/atlas</x:v>
      </x:c>
      <x:c r="N210" s="29" t="str"/>
      <x:c r="O210" s="29" t="str">
        <x:v>无RSS/API入口</x:v>
      </x:c>
      <x:c r="P210" s="72" t="n">
        <x:v>4</x:v>
      </x:c>
      <x:c r="Q210" s="72" t="n">
        <x:v>5</x:v>
      </x:c>
      <x:c r="R210" s="72" t="n">
        <x:v>4</x:v>
      </x:c>
      <x:c r="S210" s="72" t="n">
        <x:v>5</x:v>
      </x:c>
      <x:c r="T210" s="72" t="n">
        <x:v>4</x:v>
      </x:c>
      <x:c r="U210" s="72" t="n">
        <x:v>4</x:v>
      </x:c>
      <x:c r="V210" s="72" t="n">
        <x:v>5</x:v>
      </x:c>
      <x:c r="W210" s="29" t="str">
        <x:v>用一个行业基准对比公司案例，说明阶段差异。</x:v>
      </x:c>
      <x:c r="X210" s="29" t="str">
        <x:v>Atlas沉淀了SaaS和云经济的基准、方法与历史案例，适合数据化讨论公司建设。</x:v>
      </x:c>
      <x:c r="Y210" s="29" t="str">
        <x:v>2026-08-17：Atlas页面返回200；常见Feed路径均为404，按平台收录。投资机构观点需与财报或独立数据交叉核验。</x:v>
      </x:c>
      <x:c r="Z210" s="75" t="b">
        <x:v>0</x:v>
      </x:c>
      <x:c r="AA210" s="29"/>
      <x:c r="AB210" s="29" t="str">
        <x:v>扩展调研：成长、学习、商业与管理</x:v>
      </x:c>
      <x:c r="AC210" s="29" t="str">
        <x:v>https://www.bvp.com/atlas</x:v>
      </x:c>
      <x:c r="AD210" s="29" t="str">
        <x:v>2026-08-17</x:v>
      </x:c>
      <x:c r="AE210" s="29"/>
      <x:c r="AF210" s="29" t="str"/>
      <x:c r="AG210" s="29" t="str"/>
    </x:row>
    <x:row r="211" ht="44" customHeight="1">
      <x:c r="A211" s="29" t="str">
        <x:v>SRC-207</x:v>
      </x:c>
      <x:c r="B211" s="29" t="str">
        <x:f>IF(C211&gt;=93,"S",IF(C211&gt;=90,"A",IF(C211&gt;=80,"B","C")))</x:f>
        <x:v>B</x:v>
      </x:c>
      <x:c r="C211" s="72" t="n">
        <x:f>ROUND((P211*0.20+Q211*0.18+R211*0.20+S211*0.15+T211*0.12+U211*0.10+V211*0.05)*20,0)</x:f>
        <x:v>88</x:v>
      </x:c>
      <x:c r="D211" s="29" t="str">
        <x:v>商业、管理与创新</x:v>
      </x:c>
      <x:c r="E211" s="29" t="str">
        <x:v>管理者访谈</x:v>
      </x:c>
      <x:c r="F211" s="29" t="str">
        <x:v>HBR IdeaCast</x:v>
      </x:c>
      <x:c r="G211" s="29" t="str"/>
      <x:c r="H211" s="29" t="str">
        <x:v>管理研究者、企业领袖和专家的每周访谈与文字稿</x:v>
      </x:c>
      <x:c r="I211" s="29" t="str">
        <x:v>en</x:v>
      </x:c>
      <x:c r="J211" s="29" t="str">
        <x:v>解释源</x:v>
      </x:c>
      <x:c r="K211" s="29" t="str">
        <x:v>Open</x:v>
      </x:c>
      <x:c r="L211" s="29" t="str">
        <x:v>每周约1集</x:v>
      </x:c>
      <x:c r="M211" s="29" t="str">
        <x:v>https://hbr.org/podcast/ideacast</x:v>
      </x:c>
      <x:c r="N211" s="29" t="str">
        <x:v>https://hbr.org/resources/xml/rss/ideacast.xml</x:v>
      </x:c>
      <x:c r="O211" s="29" t="str">
        <x:v>有效</x:v>
      </x:c>
      <x:c r="P211" s="72" t="n">
        <x:v>4</x:v>
      </x:c>
      <x:c r="Q211" s="72" t="n">
        <x:v>5</x:v>
      </x:c>
      <x:c r="R211" s="72" t="n">
        <x:v>4</x:v>
      </x:c>
      <x:c r="S211" s="72" t="n">
        <x:v>5</x:v>
      </x:c>
      <x:c r="T211" s="72" t="n">
        <x:v>4</x:v>
      </x:c>
      <x:c r="U211" s="72" t="n">
        <x:v>4</x:v>
      </x:c>
      <x:c r="V211" s="72" t="n">
        <x:v>5</x:v>
      </x:c>
      <x:c r="W211" s="29" t="str">
        <x:v>从访谈中提炼一个判断、一个案例和主持人的追问。</x:v>
      </x:c>
      <x:c r="X211" s="29" t="str">
        <x:v>HBR旗舰播客，覆盖领导力、战略、创新和组织，通常有可引用文字稿。</x:v>
      </x:c>
      <x:c r="Y211" s="29" t="str">
        <x:v>2026-08-17：HBR节目页明确链接RSS；hbr.org镜像端点返回200并含有效RSS正文，虽Content-Type标为text/html。</x:v>
      </x:c>
      <x:c r="Z211" s="75" t="b">
        <x:v>0</x:v>
      </x:c>
      <x:c r="AA211" s="29"/>
      <x:c r="AB211" s="29" t="str">
        <x:v>扩展调研：成长、学习、商业与管理</x:v>
      </x:c>
      <x:c r="AC211" s="29" t="str">
        <x:v>https://hbr.org/podcast/ideacast</x:v>
      </x:c>
      <x:c r="AD211" s="29" t="str">
        <x:v>2026-08-17</x:v>
      </x:c>
      <x:c r="AE211" s="29" t="n">
        <x:v>200</x:v>
      </x:c>
      <x:c r="AF211" s="29" t="str">
        <x:v>https://hbr.org/resources/xml/rss/ideacast.xml</x:v>
      </x:c>
      <x:c r="AG211" s="29" t="str"/>
    </x:row>
    <x:row r="212" ht="44" customHeight="1">
      <x:c r="A212" s="29" t="str">
        <x:v>SRC-208</x:v>
      </x:c>
      <x:c r="B212" s="29" t="str">
        <x:f>IF(C212&gt;=93,"S",IF(C212&gt;=90,"A",IF(C212&gt;=80,"B","C")))</x:f>
        <x:v>B</x:v>
      </x:c>
      <x:c r="C212" s="72" t="n">
        <x:f>ROUND((P212*0.20+Q212*0.18+R212*0.20+S212*0.15+T212*0.12+U212*0.10+V212*0.05)*20,0)</x:f>
        <x:v>88</x:v>
      </x:c>
      <x:c r="D212" s="29" t="str">
        <x:v>商业、管理与创新</x:v>
      </x:c>
      <x:c r="E212" s="29" t="str">
        <x:v>全球战略与领导力</x:v>
      </x:c>
      <x:c r="F212" s="29" t="str">
        <x:v>London Business School Think</x:v>
      </x:c>
      <x:c r="G212" s="29" t="str"/>
      <x:c r="H212" s="29" t="str">
        <x:v>全球商业、领导力、金融、创新、战略与教授评论</x:v>
      </x:c>
      <x:c r="I212" s="29" t="str">
        <x:v>en</x:v>
      </x:c>
      <x:c r="J212" s="29" t="str">
        <x:v>解释源</x:v>
      </x:c>
      <x:c r="K212" s="29" t="str">
        <x:v>Open</x:v>
      </x:c>
      <x:c r="L212" s="29" t="str">
        <x:v>每周约2至5篇</x:v>
      </x:c>
      <x:c r="M212" s="29" t="str">
        <x:v>https://www.london.edu/think</x:v>
      </x:c>
      <x:c r="N212" s="29" t="str"/>
      <x:c r="O212" s="29" t="str">
        <x:v>无RSS/API入口</x:v>
      </x:c>
      <x:c r="P212" s="72" t="n">
        <x:v>4</x:v>
      </x:c>
      <x:c r="Q212" s="72" t="n">
        <x:v>5</x:v>
      </x:c>
      <x:c r="R212" s="72" t="n">
        <x:v>4</x:v>
      </x:c>
      <x:c r="S212" s="72" t="n">
        <x:v>5</x:v>
      </x:c>
      <x:c r="T212" s="72" t="n">
        <x:v>4</x:v>
      </x:c>
      <x:c r="U212" s="72" t="n">
        <x:v>4</x:v>
      </x:c>
      <x:c r="V212" s="72" t="n">
        <x:v>5</x:v>
      </x:c>
      <x:c r="W212" s="29" t="str">
        <x:v>用跨市场比较解释同一管理方法为何不能简单复制。</x:v>
      </x:c>
      <x:c r="X212" s="29" t="str">
        <x:v>欧洲与全球市场视角突出，可平衡以美国公司为中心的商业素材。</x:v>
      </x:c>
      <x:c r="Y212" s="29" t="str">
        <x:v>2026-08-17：官网返回200；测试的RSS路径均为404，按平台收录。</x:v>
      </x:c>
      <x:c r="Z212" s="75" t="b">
        <x:v>0</x:v>
      </x:c>
      <x:c r="AA212" s="29"/>
      <x:c r="AB212" s="29" t="str">
        <x:v>扩展调研：成长、学习、商业与管理</x:v>
      </x:c>
      <x:c r="AC212" s="29" t="str">
        <x:v>https://www.london.edu/think</x:v>
      </x:c>
      <x:c r="AD212" s="29" t="str">
        <x:v>2026-08-17</x:v>
      </x:c>
      <x:c r="AE212" s="29"/>
      <x:c r="AF212" s="29" t="str"/>
      <x:c r="AG212" s="29" t="str"/>
    </x:row>
    <x:row r="213" ht="44" customHeight="1">
      <x:c r="A213" s="29" t="str">
        <x:v>SRC-209</x:v>
      </x:c>
      <x:c r="B213" s="29" t="str">
        <x:f>IF(C213&gt;=93,"S",IF(C213&gt;=90,"A",IF(C213&gt;=80,"B","C")))</x:f>
        <x:v>B</x:v>
      </x:c>
      <x:c r="C213" s="72" t="n">
        <x:f>ROUND((P213*0.20+Q213*0.18+R213*0.20+S213*0.15+T213*0.12+U213*0.10+V213*0.05)*20,0)</x:f>
        <x:v>88</x:v>
      </x:c>
      <x:c r="D213" s="29" t="str">
        <x:v>商业、管理与创新</x:v>
      </x:c>
      <x:c r="E213" s="29" t="str">
        <x:v>估值、金融与公司分析</x:v>
      </x:c>
      <x:c r="F213" s="29" t="str">
        <x:v>Musings on Markets</x:v>
      </x:c>
      <x:c r="G213" s="29" t="str"/>
      <x:c r="H213" s="29" t="str">
        <x:v>公司估值、市场风险、财务模型、课堂材料与案例</x:v>
      </x:c>
      <x:c r="I213" s="29" t="str">
        <x:v>en</x:v>
      </x:c>
      <x:c r="J213" s="29" t="str">
        <x:v>解释源</x:v>
      </x:c>
      <x:c r="K213" s="29" t="str">
        <x:v>Open</x:v>
      </x:c>
      <x:c r="L213" s="29" t="str">
        <x:v>每月约1至4篇</x:v>
      </x:c>
      <x:c r="M213" s="29" t="str">
        <x:v>https://aswathdamodaran.blogspot.com/</x:v>
      </x:c>
      <x:c r="N213" s="29" t="str">
        <x:v>https://aswathdamodaran.blogspot.com/feeds/posts/default</x:v>
      </x:c>
      <x:c r="O213" s="29" t="str">
        <x:v>有效</x:v>
      </x:c>
      <x:c r="P213" s="72" t="n">
        <x:v>4</x:v>
      </x:c>
      <x:c r="Q213" s="72" t="n">
        <x:v>5</x:v>
      </x:c>
      <x:c r="R213" s="72" t="n">
        <x:v>4</x:v>
      </x:c>
      <x:c r="S213" s="72" t="n">
        <x:v>5</x:v>
      </x:c>
      <x:c r="T213" s="72" t="n">
        <x:v>4</x:v>
      </x:c>
      <x:c r="U213" s="72" t="n">
        <x:v>4</x:v>
      </x:c>
      <x:c r="V213" s="72" t="n">
        <x:v>5</x:v>
      </x:c>
      <x:c r="W213" s="29" t="str">
        <x:v>展示估值结论如何随增长、利润率和风险假设变化。</x:v>
      </x:c>
      <x:c r="X213" s="29" t="str">
        <x:v>纽约大学估值教授 Aswath Damodaran 的长期公开分析，常附数据、模型和完整假设。</x:v>
      </x:c>
      <x:c r="Y213" s="29" t="str">
        <x:v>2026-08-17：Blogger官方Atom端点返回200和有效XML；估值是条件性判断，不应写成确定价格预测。</x:v>
      </x:c>
      <x:c r="Z213" s="75" t="b">
        <x:v>0</x:v>
      </x:c>
      <x:c r="AA213" s="29"/>
      <x:c r="AB213" s="29" t="str">
        <x:v>扩展调研：成长、学习、商业与管理</x:v>
      </x:c>
      <x:c r="AC213" s="29" t="str">
        <x:v>https://aswathdamodaran.blogspot.com/feeds/posts/default</x:v>
      </x:c>
      <x:c r="AD213" s="29" t="str">
        <x:v>2026-08-17</x:v>
      </x:c>
      <x:c r="AE213" s="29" t="n">
        <x:v>200</x:v>
      </x:c>
      <x:c r="AF213" s="29" t="str">
        <x:v>https://aswathdamodaran.blogspot.com/feeds/posts/default</x:v>
      </x:c>
      <x:c r="AG213" s="29" t="str"/>
    </x:row>
    <x:row r="214" ht="44" customHeight="1">
      <x:c r="A214" s="29" t="str">
        <x:v>SRC-210</x:v>
      </x:c>
      <x:c r="B214" s="29" t="str">
        <x:f>IF(C214&gt;=93,"S",IF(C214&gt;=90,"A",IF(C214&gt;=80,"B","C")))</x:f>
        <x:v>B</x:v>
      </x:c>
      <x:c r="C214" s="72" t="n">
        <x:f>ROUND((P214*0.20+Q214*0.18+R214*0.20+S214*0.15+T214*0.12+U214*0.10+V214*0.05)*20,0)</x:f>
        <x:v>88</x:v>
      </x:c>
      <x:c r="D214" s="29" t="str">
        <x:v>商业、管理与创新</x:v>
      </x:c>
      <x:c r="E214" s="29" t="str">
        <x:v>网络效应与创业增长</x:v>
      </x:c>
      <x:c r="F214" s="29" t="str">
        <x:v>NFX Library</x:v>
      </x:c>
      <x:c r="G214" s="29" t="str"/>
      <x:c r="H214" s="29" t="str">
        <x:v>网络效应、增长、融资、领导力、市场与投资备忘录</x:v>
      </x:c>
      <x:c r="I214" s="29" t="str">
        <x:v>en</x:v>
      </x:c>
      <x:c r="J214" s="29" t="str">
        <x:v>解释源</x:v>
      </x:c>
      <x:c r="K214" s="29" t="str">
        <x:v>Open</x:v>
      </x:c>
      <x:c r="L214" s="29" t="str">
        <x:v>每月约1至4篇</x:v>
      </x:c>
      <x:c r="M214" s="29" t="str">
        <x:v>https://www.nfx.com/library</x:v>
      </x:c>
      <x:c r="N214" s="29" t="str"/>
      <x:c r="O214" s="29" t="str">
        <x:v>无RSS/API入口</x:v>
      </x:c>
      <x:c r="P214" s="72" t="n">
        <x:v>4</x:v>
      </x:c>
      <x:c r="Q214" s="72" t="n">
        <x:v>5</x:v>
      </x:c>
      <x:c r="R214" s="72" t="n">
        <x:v>4</x:v>
      </x:c>
      <x:c r="S214" s="72" t="n">
        <x:v>5</x:v>
      </x:c>
      <x:c r="T214" s="72" t="n">
        <x:v>4</x:v>
      </x:c>
      <x:c r="U214" s="72" t="n">
        <x:v>4</x:v>
      </x:c>
      <x:c r="V214" s="72" t="n">
        <x:v>5</x:v>
      </x:c>
      <x:c r="W214" s="29" t="str">
        <x:v>用网络结构图解释产品增长与防御性，再列出失效条件。</x:v>
      </x:c>
      <x:c r="X214" s="29" t="str">
        <x:v>网络效应和平台业务框架集中，Library可按主题、作者与内容类型筛选。</x:v>
      </x:c>
      <x:c r="Y214" s="29" t="str">
        <x:v>2026-08-17：Library页面返回200；常见Feed路径为404，按平台收录。研究数据由投资机构发布，需查方法和利益关系。</x:v>
      </x:c>
      <x:c r="Z214" s="75" t="b">
        <x:v>0</x:v>
      </x:c>
      <x:c r="AA214" s="29"/>
      <x:c r="AB214" s="29" t="str">
        <x:v>扩展调研：成长、学习、商业与管理</x:v>
      </x:c>
      <x:c r="AC214" s="29" t="str">
        <x:v>https://www.nfx.com/library</x:v>
      </x:c>
      <x:c r="AD214" s="29" t="str">
        <x:v>2026-08-17</x:v>
      </x:c>
      <x:c r="AE214" s="29"/>
      <x:c r="AF214" s="29" t="str"/>
      <x:c r="AG214" s="29" t="str"/>
    </x:row>
    <x:row r="215" ht="44" customHeight="1">
      <x:c r="A215" s="29" t="str">
        <x:v>SRC-211</x:v>
      </x:c>
      <x:c r="B215" s="29" t="str">
        <x:f>IF(C215&gt;=93,"S",IF(C215&gt;=90,"A",IF(C215&gt;=80,"B","C")))</x:f>
        <x:v>B</x:v>
      </x:c>
      <x:c r="C215" s="72" t="n">
        <x:f>ROUND((P215*0.20+Q215*0.18+R215*0.20+S215*0.15+T215*0.12+U215*0.10+V215*0.05)*20,0)</x:f>
        <x:v>88</x:v>
      </x:c>
      <x:c r="D215" s="29" t="str">
        <x:v>商业、管理与创新</x:v>
      </x:c>
      <x:c r="E215" s="29" t="str">
        <x:v>科技公司与新兴市场</x:v>
      </x:c>
      <x:c r="F215" s="29" t="str">
        <x:v>The Generalist</x:v>
      </x:c>
      <x:c r="G215" s="29" t="str"/>
      <x:c r="H215" s="29" t="str">
        <x:v>公司深度分析、市场地图、创业者访谈与投资研究</x:v>
      </x:c>
      <x:c r="I215" s="29" t="str">
        <x:v>en</x:v>
      </x:c>
      <x:c r="J215" s="29" t="str">
        <x:v>解释源</x:v>
      </x:c>
      <x:c r="K215" s="29" t="str">
        <x:v>Freemium</x:v>
      </x:c>
      <x:c r="L215" s="29" t="str">
        <x:v>每周约1至2篇</x:v>
      </x:c>
      <x:c r="M215" s="29" t="str">
        <x:v>https://www.generalist.com/</x:v>
      </x:c>
      <x:c r="N215" s="29" t="str">
        <x:v>https://www.generalist.com/feed</x:v>
      </x:c>
      <x:c r="O215" s="29" t="str">
        <x:v>有效</x:v>
      </x:c>
      <x:c r="P215" s="72" t="n">
        <x:v>4</x:v>
      </x:c>
      <x:c r="Q215" s="72" t="n">
        <x:v>5</x:v>
      </x:c>
      <x:c r="R215" s="72" t="n">
        <x:v>4</x:v>
      </x:c>
      <x:c r="S215" s="72" t="n">
        <x:v>5</x:v>
      </x:c>
      <x:c r="T215" s="72" t="n">
        <x:v>5</x:v>
      </x:c>
      <x:c r="U215" s="72" t="n">
        <x:v>4</x:v>
      </x:c>
      <x:c r="V215" s="72" t="n">
        <x:v>3</x:v>
      </x:c>
      <x:c r="W215" s="29" t="str">
        <x:v>用公司时间线、商业模式和关键风险构建高密度线程。</x:v>
      </x:c>
      <x:c r="X215" s="29" t="str">
        <x:v>长篇公司与市场研究结构清晰，适合从产品、组织、商业模式和竞争多角度拆解。</x:v>
      </x:c>
      <x:c r="Y215" s="29" t="str">
        <x:v>2026-08-17：官方RSS返回200和有效XML；作者具有投资活动时应检查文中披露。</x:v>
      </x:c>
      <x:c r="Z215" s="75" t="b">
        <x:v>0</x:v>
      </x:c>
      <x:c r="AA215" s="29"/>
      <x:c r="AB215" s="29" t="str">
        <x:v>扩展调研：成长、学习、商业与管理</x:v>
      </x:c>
      <x:c r="AC215" s="29" t="str">
        <x:v>https://www.generalist.com/feed</x:v>
      </x:c>
      <x:c r="AD215" s="29" t="str">
        <x:v>2026-08-17</x:v>
      </x:c>
      <x:c r="AE215" s="29" t="n">
        <x:v>200</x:v>
      </x:c>
      <x:c r="AF215" s="29" t="str">
        <x:v>https://www.generalist.com/feed</x:v>
      </x:c>
      <x:c r="AG215" s="29" t="str"/>
    </x:row>
    <x:row r="216" ht="44" customHeight="1">
      <x:c r="A216" s="29" t="str">
        <x:v>SRC-212</x:v>
      </x:c>
      <x:c r="B216" s="29" t="str">
        <x:f>IF(C216&gt;=93,"S",IF(C216&gt;=90,"A",IF(C216&gt;=80,"B","C")))</x:f>
        <x:v>B</x:v>
      </x:c>
      <x:c r="C216" s="72" t="n">
        <x:f>ROUND((P216*0.20+Q216*0.18+R216*0.20+S216*0.15+T216*0.12+U216*0.10+V216*0.05)*20,0)</x:f>
        <x:v>88</x:v>
      </x:c>
      <x:c r="D216" s="29" t="str">
        <x:v>商业、管理与创新</x:v>
      </x:c>
      <x:c r="E216" s="29" t="str">
        <x:v>工作、领导力与组织实践</x:v>
      </x:c>
      <x:c r="F216" s="29" t="str">
        <x:v>WorkLife with Molly Graham</x:v>
      </x:c>
      <x:c r="G216" s="29" t="str"/>
      <x:c r="H216" s="29" t="str">
        <x:v>领导力、团队、职业、公司文化与工作设计访谈</x:v>
      </x:c>
      <x:c r="I216" s="29" t="str">
        <x:v>en</x:v>
      </x:c>
      <x:c r="J216" s="29" t="str">
        <x:v>解释源</x:v>
      </x:c>
      <x:c r="K216" s="29" t="str">
        <x:v>Open</x:v>
      </x:c>
      <x:c r="L216" s="29" t="str">
        <x:v>每周约1集</x:v>
      </x:c>
      <x:c r="M216" s="29" t="str">
        <x:v>https://www.ted.com/podcasts/worklife</x:v>
      </x:c>
      <x:c r="N216" s="29" t="str">
        <x:v>https://feeds.acast.com/public/shows/worklife-with-adam-grant</x:v>
      </x:c>
      <x:c r="O216" s="29" t="str">
        <x:v>有效</x:v>
      </x:c>
      <x:c r="P216" s="72" t="n">
        <x:v>4</x:v>
      </x:c>
      <x:c r="Q216" s="72" t="n">
        <x:v>5</x:v>
      </x:c>
      <x:c r="R216" s="72" t="n">
        <x:v>4</x:v>
      </x:c>
      <x:c r="S216" s="72" t="n">
        <x:v>5</x:v>
      </x:c>
      <x:c r="T216" s="72" t="n">
        <x:v>4</x:v>
      </x:c>
      <x:c r="U216" s="72" t="n">
        <x:v>4</x:v>
      </x:c>
      <x:c r="V216" s="72" t="n">
        <x:v>5</x:v>
      </x:c>
      <x:c r="W216" s="29" t="str">
        <x:v>将领导者经验拆成情境、原则、具体行为与潜在反例。</x:v>
      </x:c>
      <x:c r="X216" s="29" t="str">
        <x:v>TED工作主题播客，2026年由资深科技运营者 Molly Graham 主持，兼顾实践细节与人性议题。</x:v>
      </x:c>
      <x:c r="Y216" s="29" t="str">
        <x:v>2026-08-17：官方Acast RSS返回200和有效XML；Feed地址沿用旧节目slug，内容已更新为现行节目。</x:v>
      </x:c>
      <x:c r="Z216" s="75" t="b">
        <x:v>0</x:v>
      </x:c>
      <x:c r="AA216" s="29"/>
      <x:c r="AB216" s="29" t="str">
        <x:v>扩展调研：成长、学习、商业与管理</x:v>
      </x:c>
      <x:c r="AC216" s="29" t="str">
        <x:v>https://www.ted.com/podcasts/worklife</x:v>
      </x:c>
      <x:c r="AD216" s="29" t="str">
        <x:v>2026-08-17</x:v>
      </x:c>
      <x:c r="AE216" s="29" t="n">
        <x:v>200</x:v>
      </x:c>
      <x:c r="AF216" s="29" t="str">
        <x:v>https://feeds.acast.com/public/shows/worklife-with-adam-grant</x:v>
      </x:c>
      <x:c r="AG216" s="29" t="str"/>
    </x:row>
    <x:row r="217" ht="44" customHeight="1">
      <x:c r="A217" s="29" t="str">
        <x:v>SRC-213</x:v>
      </x:c>
      <x:c r="B217" s="29" t="str">
        <x:f>IF(C217&gt;=93,"S",IF(C217&gt;=90,"A",IF(C217&gt;=80,"B","C")))</x:f>
        <x:v>B</x:v>
      </x:c>
      <x:c r="C217" s="72" t="n">
        <x:f>ROUND((P217*0.20+Q217*0.18+R217*0.20+S217*0.15+T217*0.12+U217*0.10+V217*0.05)*20,0)</x:f>
        <x:v>88</x:v>
      </x:c>
      <x:c r="D217" s="29" t="str">
        <x:v>商业、管理与创新</x:v>
      </x:c>
      <x:c r="E217" s="29" t="str">
        <x:v>进步研究、制度与创新</x:v>
      </x:c>
      <x:c r="F217" s="29" t="str">
        <x:v>Works in Progress</x:v>
      </x:c>
      <x:c r="G217" s="29" t="str"/>
      <x:c r="H217" s="29" t="str">
        <x:v>经济史、科学、住房、能源、制度、生产率与创新长文</x:v>
      </x:c>
      <x:c r="I217" s="29" t="str">
        <x:v>en</x:v>
      </x:c>
      <x:c r="J217" s="29" t="str">
        <x:v>解释源</x:v>
      </x:c>
      <x:c r="K217" s="29" t="str">
        <x:v>Open</x:v>
      </x:c>
      <x:c r="L217" s="29" t="str">
        <x:v>每周至每月数篇</x:v>
      </x:c>
      <x:c r="M217" s="29" t="str">
        <x:v>https://worksinprogress.co/</x:v>
      </x:c>
      <x:c r="N217" s="29" t="str">
        <x:v>https://worksinprogress.co/rss.xml</x:v>
      </x:c>
      <x:c r="O217" s="29" t="str">
        <x:v>有效</x:v>
      </x:c>
      <x:c r="P217" s="72" t="n">
        <x:v>4</x:v>
      </x:c>
      <x:c r="Q217" s="72" t="n">
        <x:v>5</x:v>
      </x:c>
      <x:c r="R217" s="72" t="n">
        <x:v>4</x:v>
      </x:c>
      <x:c r="S217" s="72" t="n">
        <x:v>5</x:v>
      </x:c>
      <x:c r="T217" s="72" t="n">
        <x:v>4</x:v>
      </x:c>
      <x:c r="U217" s="72" t="n">
        <x:v>4</x:v>
      </x:c>
      <x:c r="V217" s="72" t="n">
        <x:v>5</x:v>
      </x:c>
      <x:c r="W217" s="29" t="str">
        <x:v>因果链、政策复盘和某项技术为何迟迟没有发生。；把历史制度案例连接到今天的商业或公共政策困境。</x:v>
      </x:c>
      <x:c r="X217" s="29" t="str">
        <x:v>跨经济学、历史和技术的编辑型长文，常用具体制度和数据解释增长与停滞。</x:v>
      </x:c>
      <x:c r="Y217" s="29" t="str">
        <x:v>2026-08-17：rss.xml 端点返回 application/xml。；2026-08-17：官网返回200；/feed/为404且页面未声明统一Feed，按平台收录。</x:v>
      </x:c>
      <x:c r="Z217" s="75" t="b">
        <x:v>0</x:v>
      </x:c>
      <x:c r="AA217" s="29"/>
      <x:c r="AB217" s="29" t="str">
        <x:v>扩展调研：人文、历史、哲学与设计；扩展调研：成长、学习、商业与管理</x:v>
      </x:c>
      <x:c r="AC217" s="29" t="str">
        <x:v>https://worksinprogress.co/</x:v>
      </x:c>
      <x:c r="AD217" s="29" t="str">
        <x:v>2026-08-17</x:v>
      </x:c>
      <x:c r="AE217" s="29" t="n">
        <x:v>200</x:v>
      </x:c>
      <x:c r="AF217" s="29" t="str">
        <x:v>https://worksinprogress.co/rss.xml</x:v>
      </x:c>
      <x:c r="AG217" s="29" t="str"/>
    </x:row>
    <x:row r="218" ht="44" customHeight="1">
      <x:c r="A218" s="29" t="str">
        <x:v>SRC-214</x:v>
      </x:c>
      <x:c r="B218" s="29" t="str">
        <x:f>IF(C218&gt;=93,"S",IF(C218&gt;=90,"A",IF(C218&gt;=80,"B","C")))</x:f>
        <x:v>B</x:v>
      </x:c>
      <x:c r="C218" s="72" t="n">
        <x:f>ROUND((P218*0.20+Q218*0.18+R218*0.20+S218*0.15+T218*0.12+U218*0.10+V218*0.05)*20,0)</x:f>
        <x:v>88</x:v>
      </x:c>
      <x:c r="D218" s="29" t="str">
        <x:v>商业、管理与创新</x:v>
      </x:c>
      <x:c r="E218" s="29" t="str">
        <x:v>早期创业与产品</x:v>
      </x:c>
      <x:c r="F218" s="29" t="str">
        <x:v>Y Combinator Blog</x:v>
      </x:c>
      <x:c r="G218" s="29" t="str"/>
      <x:c r="H218" s="29" t="str">
        <x:v>创业建议、批次公司、产品、融资、创始人故事与机构公告</x:v>
      </x:c>
      <x:c r="I218" s="29" t="str">
        <x:v>en</x:v>
      </x:c>
      <x:c r="J218" s="29" t="str">
        <x:v>解释源</x:v>
      </x:c>
      <x:c r="K218" s="29" t="str">
        <x:v>Open</x:v>
      </x:c>
      <x:c r="L218" s="29" t="str">
        <x:v>每周约1至4篇</x:v>
      </x:c>
      <x:c r="M218" s="29" t="str">
        <x:v>https://www.ycombinator.com/blog</x:v>
      </x:c>
      <x:c r="N218" s="29" t="str">
        <x:v>https://www.ycombinator.com/blog/rss</x:v>
      </x:c>
      <x:c r="O218" s="29" t="str">
        <x:v>有效</x:v>
      </x:c>
      <x:c r="P218" s="72" t="n">
        <x:v>4</x:v>
      </x:c>
      <x:c r="Q218" s="72" t="n">
        <x:v>5</x:v>
      </x:c>
      <x:c r="R218" s="72" t="n">
        <x:v>4</x:v>
      </x:c>
      <x:c r="S218" s="72" t="n">
        <x:v>5</x:v>
      </x:c>
      <x:c r="T218" s="72" t="n">
        <x:v>4</x:v>
      </x:c>
      <x:c r="U218" s="72" t="n">
        <x:v>4</x:v>
      </x:c>
      <x:c r="V218" s="72" t="n">
        <x:v>5</x:v>
      </x:c>
      <x:c r="W218" s="29" t="str">
        <x:v>一个创始人常见错误加YC建议加适用阶段。</x:v>
      </x:c>
      <x:c r="X218" s="29" t="str">
        <x:v>来自大规模早期创业样本和合伙人实践，适合寻找创始人常见问题与案例。</x:v>
      </x:c>
      <x:c r="Y218" s="29" t="str">
        <x:v>2026-08-17：官方RSS返回200和有效XML；加速器样本存在筛选偏差，不能视为所有创业公司的基准。</x:v>
      </x:c>
      <x:c r="Z218" s="75" t="b">
        <x:v>0</x:v>
      </x:c>
      <x:c r="AA218" s="29"/>
      <x:c r="AB218" s="29" t="str">
        <x:v>扩展调研：成长、学习、商业与管理</x:v>
      </x:c>
      <x:c r="AC218" s="29" t="str">
        <x:v>https://www.ycombinator.com/blog/rss</x:v>
      </x:c>
      <x:c r="AD218" s="29" t="str">
        <x:v>2026-08-17</x:v>
      </x:c>
      <x:c r="AE218" s="29" t="n">
        <x:v>200</x:v>
      </x:c>
      <x:c r="AF218" s="29" t="str">
        <x:v>https://www.ycombinator.com/blog/rss</x:v>
      </x:c>
      <x:c r="AG218" s="29" t="str"/>
    </x:row>
    <x:row r="219" ht="44" customHeight="1">
      <x:c r="A219" s="29" t="str">
        <x:v>SRC-215</x:v>
      </x:c>
      <x:c r="B219" s="29" t="str">
        <x:f>IF(C219&gt;=93,"S",IF(C219&gt;=90,"A",IF(C219&gt;=80,"B","C")))</x:f>
        <x:v>B</x:v>
      </x:c>
      <x:c r="C219" s="72" t="n">
        <x:f>ROUND((P219*0.20+Q219*0.18+R219*0.20+S219*0.15+T219*0.12+U219*0.10+V219*0.05)*20,0)</x:f>
        <x:v>88</x:v>
      </x:c>
      <x:c r="D219" s="29" t="str">
        <x:v>商业、管理与创新</x:v>
      </x:c>
      <x:c r="E219" s="29" t="str">
        <x:v>管理、经济与中国商业研究</x:v>
      </x:c>
      <x:c r="F219" s="29" t="str">
        <x:v>北京大学光华管理学院观点与研究</x:v>
      </x:c>
      <x:c r="G219" s="29" t="str"/>
      <x:c r="H219" s="29" t="str">
        <x:v>商学院研究与教授观点平台</x:v>
      </x:c>
      <x:c r="I219" s="29" t="str">
        <x:v>zh-CN</x:v>
      </x:c>
      <x:c r="J219" s="29" t="str">
        <x:v>解释源</x:v>
      </x:c>
      <x:c r="K219" s="29" t="str">
        <x:v>Open</x:v>
      </x:c>
      <x:c r="L219" s="29" t="str">
        <x:v>持续更新</x:v>
      </x:c>
      <x:c r="M219" s="29" t="str">
        <x:v>https://www.gsm.pku.edu.cn/</x:v>
      </x:c>
      <x:c r="N219" s="29" t="str"/>
      <x:c r="O219" s="29" t="str">
        <x:v>无RSS/API入口</x:v>
      </x:c>
      <x:c r="P219" s="72" t="n">
        <x:v>4</x:v>
      </x:c>
      <x:c r="Q219" s="72" t="n">
        <x:v>5</x:v>
      </x:c>
      <x:c r="R219" s="72" t="n">
        <x:v>4</x:v>
      </x:c>
      <x:c r="S219" s="72" t="n">
        <x:v>5</x:v>
      </x:c>
      <x:c r="T219" s="72" t="n">
        <x:v>4</x:v>
      </x:c>
      <x:c r="U219" s="72" t="n">
        <x:v>4</x:v>
      </x:c>
      <x:c r="V219" s="72" t="n">
        <x:v>5</x:v>
      </x:c>
      <x:c r="W219" s="29" t="str">
        <x:v>中国企业案例、管理研究、政策与商业交叉解读</x:v>
      </x:c>
      <x:c r="X219" s="29" t="str">
        <x:v>提供管理、经济、数字化和中国商业问题的教授研究与观点。</x:v>
      </x:c>
      <x:c r="Y219" s="29" t="str">
        <x:v>区分学术研究、政策观点、教学案例和招生内容；案例不等于决策有效性的因果证明。</x:v>
      </x:c>
      <x:c r="Z219" s="75" t="b">
        <x:v>0</x:v>
      </x:c>
      <x:c r="AA219" s="29"/>
      <x:c r="AB219" s="29" t="str">
        <x:v>扩展调研：中文心理、健康与商业机构</x:v>
      </x:c>
      <x:c r="AC219" s="29" t="str">
        <x:v>https://www.gsm.pku.edu.cn/info/1316/31065.htm</x:v>
      </x:c>
      <x:c r="AD219" s="29" t="str">
        <x:v>2026-08-17</x:v>
      </x:c>
      <x:c r="AE219" s="29"/>
      <x:c r="AF219" s="29" t="str"/>
      <x:c r="AG219" s="29" t="str"/>
    </x:row>
    <x:row r="220" ht="44" customHeight="1">
      <x:c r="A220" s="29" t="str">
        <x:v>SRC-216</x:v>
      </x:c>
      <x:c r="B220" s="29" t="str">
        <x:f>IF(C220&gt;=93,"S",IF(C220&gt;=90,"A",IF(C220&gt;=80,"B","C")))</x:f>
        <x:v>B</x:v>
      </x:c>
      <x:c r="C220" s="72" t="n">
        <x:f>ROUND((P220*0.20+Q220*0.18+R220*0.20+S220*0.15+T220*0.12+U220*0.10+V220*0.05)*20,0)</x:f>
        <x:v>88</x:v>
      </x:c>
      <x:c r="D220" s="29" t="str">
        <x:v>地球、地理与城市</x:v>
      </x:c>
      <x:c r="E220" s="29" t="str">
        <x:v>自然地理</x:v>
      </x:c>
      <x:c r="F220" s="29" t="str">
        <x:v>Atlas Pro</x:v>
      </x:c>
      <x:c r="G220" s="29" t="str"/>
      <x:c r="H220" s="29" t="str">
        <x:v>视频 / 频道</x:v>
      </x:c>
      <x:c r="I220" s="29" t="str">
        <x:v>en</x:v>
      </x:c>
      <x:c r="J220" s="29" t="str">
        <x:v>解释源</x:v>
      </x:c>
      <x:c r="K220" s="29" t="str">
        <x:v>Open</x:v>
      </x:c>
      <x:c r="L220" s="29" t="str">
        <x:v>以频道更新为准</x:v>
      </x:c>
      <x:c r="M220" s="29" t="str">
        <x:v>https://www.youtube.com/channel/UCz1oFxMrgrQ82-276UCOU9w</x:v>
      </x:c>
      <x:c r="N220" s="29" t="str">
        <x:v>https://www.youtube.com/feeds/videos.xml?channel_id=UCz1oFxMrgrQ82-276UCOU9w</x:v>
      </x:c>
      <x:c r="O220" s="29" t="str">
        <x:v>有效</x:v>
      </x:c>
      <x:c r="P220" s="72" t="n">
        <x:v>4</x:v>
      </x:c>
      <x:c r="Q220" s="72" t="n">
        <x:v>5</x:v>
      </x:c>
      <x:c r="R220" s="72" t="n">
        <x:v>4</x:v>
      </x:c>
      <x:c r="S220" s="72" t="n">
        <x:v>5</x:v>
      </x:c>
      <x:c r="T220" s="72" t="n">
        <x:v>4</x:v>
      </x:c>
      <x:c r="U220" s="72" t="n">
        <x:v>4</x:v>
      </x:c>
      <x:c r="V220" s="72" t="n">
        <x:v>5</x:v>
      </x:c>
      <x:c r="W220" s="29" t="str">
        <x:v>视频观点拆解、概念科普、选题与案例线索</x:v>
      </x:c>
      <x:c r="X220" s="29" t="str">
        <x:v>高质量自然地理视频创作者，适合快速建立背景、观察叙事结构并发现可传播选题。</x:v>
      </x:c>
      <x:c r="Y220" s="29" t="str">
        <x:v>高质量解释源；具体数字和研究结论仍应回到论文、数据集或机构原文。</x:v>
      </x:c>
      <x:c r="Z220" s="75" t="b">
        <x:v>0</x:v>
      </x:c>
      <x:c r="AA220" s="29"/>
      <x:c r="AB220" s="29" t="str">
        <x:v>YouTube 高质量创作者</x:v>
      </x:c>
      <x:c r="AC220" s="29" t="str">
        <x:v>https://www.youtube.com/@AtlasPro1</x:v>
      </x:c>
      <x:c r="AD220" s="29" t="str">
        <x:v>2026-08-17</x:v>
      </x:c>
      <x:c r="AE220" s="29" t="n">
        <x:v>200</x:v>
      </x:c>
      <x:c r="AF220" s="29" t="str">
        <x:v>https://www.youtube.com/feeds/videos.xml?channel_id=UCz1oFxMrgrQ82-276UCOU9w</x:v>
      </x:c>
      <x:c r="AG220" s="29" t="str"/>
    </x:row>
    <x:row r="221" ht="44" customHeight="1">
      <x:c r="A221" s="29" t="str">
        <x:v>SRC-217</x:v>
      </x:c>
      <x:c r="B221" s="29" t="str">
        <x:f>IF(C221&gt;=93,"S",IF(C221&gt;=90,"A",IF(C221&gt;=80,"B","C")))</x:f>
        <x:v>B</x:v>
      </x:c>
      <x:c r="C221" s="72" t="n">
        <x:f>ROUND((P221*0.20+Q221*0.18+R221*0.20+S221*0.15+T221*0.12+U221*0.10+V221*0.05)*20,0)</x:f>
        <x:v>88</x:v>
      </x:c>
      <x:c r="D221" s="29" t="str">
        <x:v>地球、地理与城市</x:v>
      </x:c>
      <x:c r="E221" s="29" t="str">
        <x:v>制度/地理/解释</x:v>
      </x:c>
      <x:c r="F221" s="29" t="str">
        <x:v>CGP Grey</x:v>
      </x:c>
      <x:c r="G221" s="29" t="str"/>
      <x:c r="H221" s="29" t="str">
        <x:v>视频 / 频道</x:v>
      </x:c>
      <x:c r="I221" s="29" t="str">
        <x:v>en</x:v>
      </x:c>
      <x:c r="J221" s="29" t="str">
        <x:v>解释源</x:v>
      </x:c>
      <x:c r="K221" s="29" t="str">
        <x:v>Open</x:v>
      </x:c>
      <x:c r="L221" s="29" t="str">
        <x:v>以频道更新为准</x:v>
      </x:c>
      <x:c r="M221" s="29" t="str">
        <x:v>https://www.youtube.com/channel/UC2C_jShtL725hvbm1arSV9w</x:v>
      </x:c>
      <x:c r="N221" s="29" t="str">
        <x:v>https://www.youtube.com/feeds/videos.xml?channel_id=UC2C_jShtL725hvbm1arSV9w</x:v>
      </x:c>
      <x:c r="O221" s="29" t="str">
        <x:v>有效</x:v>
      </x:c>
      <x:c r="P221" s="72" t="n">
        <x:v>4</x:v>
      </x:c>
      <x:c r="Q221" s="72" t="n">
        <x:v>5</x:v>
      </x:c>
      <x:c r="R221" s="72" t="n">
        <x:v>4</x:v>
      </x:c>
      <x:c r="S221" s="72" t="n">
        <x:v>5</x:v>
      </x:c>
      <x:c r="T221" s="72" t="n">
        <x:v>4</x:v>
      </x:c>
      <x:c r="U221" s="72" t="n">
        <x:v>4</x:v>
      </x:c>
      <x:c r="V221" s="72" t="n">
        <x:v>5</x:v>
      </x:c>
      <x:c r="W221" s="29" t="str">
        <x:v>视频观点拆解、概念科普、选题与案例线索</x:v>
      </x:c>
      <x:c r="X221" s="29" t="str">
        <x:v>高质量制度/地理/解释视频创作者，适合快速建立背景、观察叙事结构并发现可传播选题。</x:v>
      </x:c>
      <x:c r="Y221" s="29" t="str">
        <x:v>高质量解释源；具体数字和研究结论仍应回到论文、数据集或机构原文。</x:v>
      </x:c>
      <x:c r="Z221" s="75" t="b">
        <x:v>0</x:v>
      </x:c>
      <x:c r="AA221" s="29"/>
      <x:c r="AB221" s="29" t="str">
        <x:v>YouTube 高质量创作者</x:v>
      </x:c>
      <x:c r="AC221" s="29" t="str">
        <x:v>https://www.youtube.com/@CGPGrey</x:v>
      </x:c>
      <x:c r="AD221" s="29" t="str">
        <x:v>2026-08-17</x:v>
      </x:c>
      <x:c r="AE221" s="29" t="n">
        <x:v>200</x:v>
      </x:c>
      <x:c r="AF221" s="29" t="str">
        <x:v>https://www.youtube.com/feeds/videos.xml?channel_id=UC2C_jShtL725hvbm1arSV9w</x:v>
      </x:c>
      <x:c r="AG221" s="29" t="str"/>
    </x:row>
    <x:row r="222" ht="44" customHeight="1">
      <x:c r="A222" s="29" t="str">
        <x:v>SRC-218</x:v>
      </x:c>
      <x:c r="B222" s="29" t="str">
        <x:f>IF(C222&gt;=93,"S",IF(C222&gt;=90,"A",IF(C222&gt;=80,"B","C")))</x:f>
        <x:v>B</x:v>
      </x:c>
      <x:c r="C222" s="72" t="n">
        <x:f>ROUND((P222*0.20+Q222*0.18+R222*0.20+S222*0.15+T222*0.12+U222*0.10+V222*0.05)*20,0)</x:f>
        <x:v>88</x:v>
      </x:c>
      <x:c r="D222" s="29" t="str">
        <x:v>地球、地理与城市</x:v>
      </x:c>
      <x:c r="E222" s="29" t="str">
        <x:v>城市规划</x:v>
      </x:c>
      <x:c r="F222" s="29" t="str">
        <x:v>City Beautiful</x:v>
      </x:c>
      <x:c r="G222" s="29" t="str"/>
      <x:c r="H222" s="29" t="str">
        <x:v>视频 / 频道</x:v>
      </x:c>
      <x:c r="I222" s="29" t="str">
        <x:v>en</x:v>
      </x:c>
      <x:c r="J222" s="29" t="str">
        <x:v>解释源</x:v>
      </x:c>
      <x:c r="K222" s="29" t="str">
        <x:v>Open</x:v>
      </x:c>
      <x:c r="L222" s="29" t="str">
        <x:v>以频道更新为准</x:v>
      </x:c>
      <x:c r="M222" s="29" t="str">
        <x:v>https://www.youtube.com/channel/UCGc8ZVCsrR3dAuhvUbkbToQ</x:v>
      </x:c>
      <x:c r="N222" s="29" t="str">
        <x:v>https://www.youtube.com/feeds/videos.xml?channel_id=UCGc8ZVCsrR3dAuhvUbkbToQ</x:v>
      </x:c>
      <x:c r="O222" s="29" t="str">
        <x:v>有效</x:v>
      </x:c>
      <x:c r="P222" s="72" t="n">
        <x:v>4</x:v>
      </x:c>
      <x:c r="Q222" s="72" t="n">
        <x:v>5</x:v>
      </x:c>
      <x:c r="R222" s="72" t="n">
        <x:v>4</x:v>
      </x:c>
      <x:c r="S222" s="72" t="n">
        <x:v>5</x:v>
      </x:c>
      <x:c r="T222" s="72" t="n">
        <x:v>4</x:v>
      </x:c>
      <x:c r="U222" s="72" t="n">
        <x:v>4</x:v>
      </x:c>
      <x:c r="V222" s="72" t="n">
        <x:v>5</x:v>
      </x:c>
      <x:c r="W222" s="29" t="str">
        <x:v>视频观点拆解、概念科普、选题与案例线索</x:v>
      </x:c>
      <x:c r="X222" s="29" t="str">
        <x:v>高质量城市规划视频创作者，适合快速建立背景、观察叙事结构并发现可传播选题。</x:v>
      </x:c>
      <x:c r="Y222" s="29" t="str">
        <x:v>高质量解释源；具体数字和研究结论仍应回到论文、数据集或机构原文。</x:v>
      </x:c>
      <x:c r="Z222" s="75" t="b">
        <x:v>0</x:v>
      </x:c>
      <x:c r="AA222" s="29"/>
      <x:c r="AB222" s="29" t="str">
        <x:v>YouTube 高质量创作者</x:v>
      </x:c>
      <x:c r="AC222" s="29" t="str">
        <x:v>https://www.youtube.com/@CityBeautiful</x:v>
      </x:c>
      <x:c r="AD222" s="29" t="str">
        <x:v>2026-08-17</x:v>
      </x:c>
      <x:c r="AE222" s="29" t="n">
        <x:v>200</x:v>
      </x:c>
      <x:c r="AF222" s="29" t="str">
        <x:v>https://www.youtube.com/feeds/videos.xml?channel_id=UCGc8ZVCsrR3dAuhvUbkbToQ</x:v>
      </x:c>
      <x:c r="AG222" s="29" t="str"/>
    </x:row>
    <x:row r="223" ht="44" customHeight="1">
      <x:c r="A223" s="29" t="str">
        <x:v>SRC-219</x:v>
      </x:c>
      <x:c r="B223" s="29" t="str">
        <x:f>IF(C223&gt;=93,"S",IF(C223&gt;=90,"A",IF(C223&gt;=80,"B","C")))</x:f>
        <x:v>B</x:v>
      </x:c>
      <x:c r="C223" s="72" t="n">
        <x:f>ROUND((P223*0.20+Q223*0.18+R223*0.20+S223*0.15+T223*0.12+U223*0.10+V223*0.05)*20,0)</x:f>
        <x:v>88</x:v>
      </x:c>
      <x:c r="D223" s="29" t="str">
        <x:v>地球、地理与城市</x:v>
      </x:c>
      <x:c r="E223" s="29" t="str">
        <x:v>地球与空间科学</x:v>
      </x:c>
      <x:c r="F223" s="29" t="str">
        <x:v>Eos / AGU</x:v>
      </x:c>
      <x:c r="G223" s="29" t="str"/>
      <x:c r="H223" s="29" t="str">
        <x:v>研究新闻、解释、观点与地学报道</x:v>
      </x:c>
      <x:c r="I223" s="29" t="str">
        <x:v>en</x:v>
      </x:c>
      <x:c r="J223" s="29" t="str">
        <x:v>解释源</x:v>
      </x:c>
      <x:c r="K223" s="29" t="str">
        <x:v>Open</x:v>
      </x:c>
      <x:c r="L223" s="29" t="str">
        <x:v>近每日</x:v>
      </x:c>
      <x:c r="M223" s="29" t="str">
        <x:v>https://eos.org/</x:v>
      </x:c>
      <x:c r="N223" s="29" t="str">
        <x:v>https://eos.org/feed</x:v>
      </x:c>
      <x:c r="O223" s="29" t="str">
        <x:v>有效</x:v>
      </x:c>
      <x:c r="P223" s="72" t="n">
        <x:v>4</x:v>
      </x:c>
      <x:c r="Q223" s="72" t="n">
        <x:v>5</x:v>
      </x:c>
      <x:c r="R223" s="72" t="n">
        <x:v>4</x:v>
      </x:c>
      <x:c r="S223" s="72" t="n">
        <x:v>5</x:v>
      </x:c>
      <x:c r="T223" s="72" t="n">
        <x:v>4</x:v>
      </x:c>
      <x:c r="U223" s="72" t="n">
        <x:v>4</x:v>
      </x:c>
      <x:c r="V223" s="72" t="n">
        <x:v>5</x:v>
      </x:c>
      <x:c r="W223" s="29" t="str">
        <x:v>地质、气候、火山、空间天气</x:v>
      </x:c>
      <x:c r="X223" s="29" t="str">
        <x:v>地球科学专业编辑，适合补充政府数据的科学背景。</x:v>
      </x:c>
      <x:c r="Y223" s="29" t="str">
        <x:v>RSS端点已核验。</x:v>
      </x:c>
      <x:c r="Z223" s="75" t="b">
        <x:v>0</x:v>
      </x:c>
      <x:c r="AA223" s="29"/>
      <x:c r="AB223" s="29" t="str">
        <x:v>扩展调研：科技、科学与数据</x:v>
      </x:c>
      <x:c r="AC223" s="29" t="str">
        <x:v>https://eos.org/feed</x:v>
      </x:c>
      <x:c r="AD223" s="29" t="str">
        <x:v>2026-08-17</x:v>
      </x:c>
      <x:c r="AE223" s="29" t="n">
        <x:v>200</x:v>
      </x:c>
      <x:c r="AF223" s="29" t="str">
        <x:v>https://eos.org/feed</x:v>
      </x:c>
      <x:c r="AG223" s="29" t="str"/>
    </x:row>
    <x:row r="224" ht="44" customHeight="1">
      <x:c r="A224" s="29" t="str">
        <x:v>SRC-220</x:v>
      </x:c>
      <x:c r="B224" s="29" t="str">
        <x:f>IF(C224&gt;=93,"S",IF(C224&gt;=90,"A",IF(C224&gt;=80,"B","C")))</x:f>
        <x:v>B</x:v>
      </x:c>
      <x:c r="C224" s="72" t="n">
        <x:f>ROUND((P224*0.20+Q224*0.18+R224*0.20+S224*0.15+T224*0.12+U224*0.10+V224*0.05)*20,0)</x:f>
        <x:v>88</x:v>
      </x:c>
      <x:c r="D224" s="29" t="str">
        <x:v>地球、地理与城市</x:v>
      </x:c>
      <x:c r="E224" s="29" t="str">
        <x:v>地理</x:v>
      </x:c>
      <x:c r="F224" s="29" t="str">
        <x:v>Geography Now</x:v>
      </x:c>
      <x:c r="G224" s="29" t="str"/>
      <x:c r="H224" s="29" t="str">
        <x:v>视频 / 频道</x:v>
      </x:c>
      <x:c r="I224" s="29" t="str">
        <x:v>en</x:v>
      </x:c>
      <x:c r="J224" s="29" t="str">
        <x:v>解释源</x:v>
      </x:c>
      <x:c r="K224" s="29" t="str">
        <x:v>Open</x:v>
      </x:c>
      <x:c r="L224" s="29" t="str">
        <x:v>以频道更新为准</x:v>
      </x:c>
      <x:c r="M224" s="29" t="str">
        <x:v>https://www.youtube.com/channel/UCmmPgObSUPw1HL2lq6H4ffA</x:v>
      </x:c>
      <x:c r="N224" s="29" t="str">
        <x:v>https://www.youtube.com/feeds/videos.xml?channel_id=UCmmPgObSUPw1HL2lq6H4ffA</x:v>
      </x:c>
      <x:c r="O224" s="29" t="str">
        <x:v>有效</x:v>
      </x:c>
      <x:c r="P224" s="72" t="n">
        <x:v>4</x:v>
      </x:c>
      <x:c r="Q224" s="72" t="n">
        <x:v>5</x:v>
      </x:c>
      <x:c r="R224" s="72" t="n">
        <x:v>4</x:v>
      </x:c>
      <x:c r="S224" s="72" t="n">
        <x:v>5</x:v>
      </x:c>
      <x:c r="T224" s="72" t="n">
        <x:v>4</x:v>
      </x:c>
      <x:c r="U224" s="72" t="n">
        <x:v>4</x:v>
      </x:c>
      <x:c r="V224" s="72" t="n">
        <x:v>5</x:v>
      </x:c>
      <x:c r="W224" s="29" t="str">
        <x:v>视频观点拆解、概念科普、选题与案例线索</x:v>
      </x:c>
      <x:c r="X224" s="29" t="str">
        <x:v>高质量地理视频创作者，适合快速建立背景、观察叙事结构并发现可传播选题。</x:v>
      </x:c>
      <x:c r="Y224" s="29" t="str">
        <x:v>高质量解释源；具体数字和研究结论仍应回到论文、数据集或机构原文。</x:v>
      </x:c>
      <x:c r="Z224" s="75" t="b">
        <x:v>0</x:v>
      </x:c>
      <x:c r="AA224" s="29"/>
      <x:c r="AB224" s="29" t="str">
        <x:v>YouTube 高质量创作者</x:v>
      </x:c>
      <x:c r="AC224" s="29" t="str">
        <x:v>https://www.youtube.com/@GeographyNow</x:v>
      </x:c>
      <x:c r="AD224" s="29" t="str">
        <x:v>2026-08-17</x:v>
      </x:c>
      <x:c r="AE224" s="29" t="n">
        <x:v>200</x:v>
      </x:c>
      <x:c r="AF224" s="29" t="str">
        <x:v>https://www.youtube.com/feeds/videos.xml?channel_id=UCmmPgObSUPw1HL2lq6H4ffA</x:v>
      </x:c>
      <x:c r="AG224" s="29" t="str"/>
    </x:row>
    <x:row r="225" ht="44" customHeight="1">
      <x:c r="A225" s="29" t="str">
        <x:v>SRC-221</x:v>
      </x:c>
      <x:c r="B225" s="29" t="str">
        <x:f>IF(C225&gt;=93,"S",IF(C225&gt;=90,"A",IF(C225&gt;=80,"B","C")))</x:f>
        <x:v>B</x:v>
      </x:c>
      <x:c r="C225" s="72" t="n">
        <x:f>ROUND((P225*0.20+Q225*0.18+R225*0.20+S225*0.15+T225*0.12+U225*0.10+V225*0.05)*20,0)</x:f>
        <x:v>88</x:v>
      </x:c>
      <x:c r="D225" s="29" t="str">
        <x:v>地球、地理与城市</x:v>
      </x:c>
      <x:c r="E225" s="29" t="str">
        <x:v>城市/交通</x:v>
      </x:c>
      <x:c r="F225" s="29" t="str">
        <x:v>Not Just Bikes</x:v>
      </x:c>
      <x:c r="G225" s="29" t="str"/>
      <x:c r="H225" s="29" t="str">
        <x:v>视频 / 频道</x:v>
      </x:c>
      <x:c r="I225" s="29" t="str">
        <x:v>en</x:v>
      </x:c>
      <x:c r="J225" s="29" t="str">
        <x:v>解释源</x:v>
      </x:c>
      <x:c r="K225" s="29" t="str">
        <x:v>Open</x:v>
      </x:c>
      <x:c r="L225" s="29" t="str">
        <x:v>以频道更新为准</x:v>
      </x:c>
      <x:c r="M225" s="29" t="str">
        <x:v>https://www.youtube.com/channel/UC0intLFzLaudFG-xAvUEO-A</x:v>
      </x:c>
      <x:c r="N225" s="29" t="str">
        <x:v>https://www.youtube.com/feeds/videos.xml?channel_id=UC0intLFzLaudFG-xAvUEO-A</x:v>
      </x:c>
      <x:c r="O225" s="29" t="str">
        <x:v>有效</x:v>
      </x:c>
      <x:c r="P225" s="72" t="n">
        <x:v>4</x:v>
      </x:c>
      <x:c r="Q225" s="72" t="n">
        <x:v>5</x:v>
      </x:c>
      <x:c r="R225" s="72" t="n">
        <x:v>4</x:v>
      </x:c>
      <x:c r="S225" s="72" t="n">
        <x:v>5</x:v>
      </x:c>
      <x:c r="T225" s="72" t="n">
        <x:v>4</x:v>
      </x:c>
      <x:c r="U225" s="72" t="n">
        <x:v>4</x:v>
      </x:c>
      <x:c r="V225" s="72" t="n">
        <x:v>5</x:v>
      </x:c>
      <x:c r="W225" s="29" t="str">
        <x:v>视频观点拆解、概念科普、选题与案例线索</x:v>
      </x:c>
      <x:c r="X225" s="29" t="str">
        <x:v>高质量城市/交通视频创作者，适合快速建立背景、观察叙事结构并发现可传播选题。</x:v>
      </x:c>
      <x:c r="Y225" s="29" t="str">
        <x:v>高质量解释源；具体数字和研究结论仍应回到论文、数据集或机构原文。</x:v>
      </x:c>
      <x:c r="Z225" s="75" t="b">
        <x:v>0</x:v>
      </x:c>
      <x:c r="AA225" s="29"/>
      <x:c r="AB225" s="29" t="str">
        <x:v>YouTube 高质量创作者</x:v>
      </x:c>
      <x:c r="AC225" s="29" t="str">
        <x:v>https://www.youtube.com/@NotJustBikes</x:v>
      </x:c>
      <x:c r="AD225" s="29" t="str">
        <x:v>2026-08-17</x:v>
      </x:c>
      <x:c r="AE225" s="29" t="n">
        <x:v>200</x:v>
      </x:c>
      <x:c r="AF225" s="29" t="str">
        <x:v>https://www.youtube.com/feeds/videos.xml?channel_id=UC0intLFzLaudFG-xAvUEO-A</x:v>
      </x:c>
      <x:c r="AG225" s="29" t="str"/>
    </x:row>
    <x:row r="226" ht="44" customHeight="1">
      <x:c r="A226" s="29" t="str">
        <x:v>SRC-222</x:v>
      </x:c>
      <x:c r="B226" s="29" t="str">
        <x:f>IF(C226&gt;=93,"S",IF(C226&gt;=90,"A",IF(C226&gt;=80,"B","C")))</x:f>
        <x:v>B</x:v>
      </x:c>
      <x:c r="C226" s="72" t="n">
        <x:f>ROUND((P226*0.20+Q226*0.18+R226*0.20+S226*0.15+T226*0.12+U226*0.10+V226*0.05)*20,0)</x:f>
        <x:v>88</x:v>
      </x:c>
      <x:c r="D226" s="29" t="str">
        <x:v>地球、地理与城市</x:v>
      </x:c>
      <x:c r="E226" s="29" t="str">
        <x:v>工程/基建</x:v>
      </x:c>
      <x:c r="F226" s="29" t="str">
        <x:v>Practical Engineering</x:v>
      </x:c>
      <x:c r="G226" s="29" t="str"/>
      <x:c r="H226" s="29" t="str">
        <x:v>视频 / 频道</x:v>
      </x:c>
      <x:c r="I226" s="29" t="str">
        <x:v>en</x:v>
      </x:c>
      <x:c r="J226" s="29" t="str">
        <x:v>解释源</x:v>
      </x:c>
      <x:c r="K226" s="29" t="str">
        <x:v>Open</x:v>
      </x:c>
      <x:c r="L226" s="29" t="str">
        <x:v>以频道更新为准</x:v>
      </x:c>
      <x:c r="M226" s="29" t="str">
        <x:v>https://www.youtube.com/channel/UCMOqf8ab-42UUQIdVoKwjlQ</x:v>
      </x:c>
      <x:c r="N226" s="29" t="str">
        <x:v>https://www.youtube.com/feeds/videos.xml?channel_id=UCMOqf8ab-42UUQIdVoKwjlQ</x:v>
      </x:c>
      <x:c r="O226" s="29" t="str">
        <x:v>有效</x:v>
      </x:c>
      <x:c r="P226" s="72" t="n">
        <x:v>4</x:v>
      </x:c>
      <x:c r="Q226" s="72" t="n">
        <x:v>5</x:v>
      </x:c>
      <x:c r="R226" s="72" t="n">
        <x:v>4</x:v>
      </x:c>
      <x:c r="S226" s="72" t="n">
        <x:v>5</x:v>
      </x:c>
      <x:c r="T226" s="72" t="n">
        <x:v>4</x:v>
      </x:c>
      <x:c r="U226" s="72" t="n">
        <x:v>4</x:v>
      </x:c>
      <x:c r="V226" s="72" t="n">
        <x:v>5</x:v>
      </x:c>
      <x:c r="W226" s="29" t="str">
        <x:v>视频观点拆解、概念科普、选题与案例线索</x:v>
      </x:c>
      <x:c r="X226" s="29" t="str">
        <x:v>高质量工程/基建视频创作者，适合快速建立背景、观察叙事结构并发现可传播选题。</x:v>
      </x:c>
      <x:c r="Y226" s="29" t="str">
        <x:v>高质量解释源；具体数字和研究结论仍应回到论文、数据集或机构原文。</x:v>
      </x:c>
      <x:c r="Z226" s="75" t="b">
        <x:v>0</x:v>
      </x:c>
      <x:c r="AA226" s="29"/>
      <x:c r="AB226" s="29" t="str">
        <x:v>YouTube 高质量创作者</x:v>
      </x:c>
      <x:c r="AC226" s="29" t="str">
        <x:v>https://www.youtube.com/@PracticalEngineeringChannel</x:v>
      </x:c>
      <x:c r="AD226" s="29" t="str">
        <x:v>2026-08-17</x:v>
      </x:c>
      <x:c r="AE226" s="29" t="n">
        <x:v>200</x:v>
      </x:c>
      <x:c r="AF226" s="29" t="str">
        <x:v>https://www.youtube.com/feeds/videos.xml?channel_id=UCMOqf8ab-42UUQIdVoKwjlQ</x:v>
      </x:c>
      <x:c r="AG226" s="29" t="str"/>
    </x:row>
    <x:row r="227" ht="44" customHeight="1">
      <x:c r="A227" s="29" t="str">
        <x:v>SRC-223</x:v>
      </x:c>
      <x:c r="B227" s="29" t="str">
        <x:f>IF(C227&gt;=93,"S",IF(C227&gt;=90,"A",IF(C227&gt;=80,"B","C")))</x:f>
        <x:v>B</x:v>
      </x:c>
      <x:c r="C227" s="72" t="n">
        <x:f>ROUND((P227*0.20+Q227*0.18+R227*0.20+S227*0.15+T227*0.12+U227*0.10+V227*0.05)*20,0)</x:f>
        <x:v>88</x:v>
      </x:c>
      <x:c r="D227" s="29" t="str">
        <x:v>地球、地理与城市</x:v>
      </x:c>
      <x:c r="E227" s="29" t="str">
        <x:v>科技/地理/文化</x:v>
      </x:c>
      <x:c r="F227" s="29" t="str">
        <x:v>Tom Scott</x:v>
      </x:c>
      <x:c r="G227" s="29" t="str"/>
      <x:c r="H227" s="29" t="str">
        <x:v>视频 / 频道</x:v>
      </x:c>
      <x:c r="I227" s="29" t="str">
        <x:v>en</x:v>
      </x:c>
      <x:c r="J227" s="29" t="str">
        <x:v>解释源</x:v>
      </x:c>
      <x:c r="K227" s="29" t="str">
        <x:v>Open</x:v>
      </x:c>
      <x:c r="L227" s="29" t="str">
        <x:v>以频道更新为准</x:v>
      </x:c>
      <x:c r="M227" s="29" t="str">
        <x:v>https://www.youtube.com/channel/UCBa659QWEk1AI4Tg--mrJ2A</x:v>
      </x:c>
      <x:c r="N227" s="29" t="str">
        <x:v>https://www.youtube.com/feeds/videos.xml?channel_id=UCBa659QWEk1AI4Tg--mrJ2A</x:v>
      </x:c>
      <x:c r="O227" s="29" t="str">
        <x:v>有效</x:v>
      </x:c>
      <x:c r="P227" s="72" t="n">
        <x:v>4</x:v>
      </x:c>
      <x:c r="Q227" s="72" t="n">
        <x:v>5</x:v>
      </x:c>
      <x:c r="R227" s="72" t="n">
        <x:v>4</x:v>
      </x:c>
      <x:c r="S227" s="72" t="n">
        <x:v>5</x:v>
      </x:c>
      <x:c r="T227" s="72" t="n">
        <x:v>4</x:v>
      </x:c>
      <x:c r="U227" s="72" t="n">
        <x:v>4</x:v>
      </x:c>
      <x:c r="V227" s="72" t="n">
        <x:v>5</x:v>
      </x:c>
      <x:c r="W227" s="29" t="str">
        <x:v>视频观点拆解、概念科普、选题与案例线索</x:v>
      </x:c>
      <x:c r="X227" s="29" t="str">
        <x:v>高质量科技/地理/文化视频创作者，适合快速建立背景、观察叙事结构并发现可传播选题。</x:v>
      </x:c>
      <x:c r="Y227" s="29" t="str">
        <x:v>高质量解释源；具体数字和研究结论仍应回到论文、数据集或机构原文。</x:v>
      </x:c>
      <x:c r="Z227" s="75" t="b">
        <x:v>0</x:v>
      </x:c>
      <x:c r="AA227" s="29"/>
      <x:c r="AB227" s="29" t="str">
        <x:v>YouTube 高质量创作者</x:v>
      </x:c>
      <x:c r="AC227" s="29" t="str">
        <x:v>https://www.youtube.com/@TomScottGo</x:v>
      </x:c>
      <x:c r="AD227" s="29" t="str">
        <x:v>2026-08-17</x:v>
      </x:c>
      <x:c r="AE227" s="29" t="n">
        <x:v>200</x:v>
      </x:c>
      <x:c r="AF227" s="29" t="str">
        <x:v>https://www.youtube.com/feeds/videos.xml?channel_id=UCBa659QWEk1AI4Tg--mrJ2A</x:v>
      </x:c>
      <x:c r="AG227" s="29" t="str"/>
    </x:row>
    <x:row r="228" ht="44" customHeight="1">
      <x:c r="A228" s="29" t="str">
        <x:v>SRC-224</x:v>
      </x:c>
      <x:c r="B228" s="29" t="str">
        <x:f>IF(C228&gt;=93,"S",IF(C228&gt;=90,"A",IF(C228&gt;=80,"B","C")))</x:f>
        <x:v>B</x:v>
      </x:c>
      <x:c r="C228" s="72" t="n">
        <x:f>ROUND((P228*0.20+Q228*0.18+R228*0.20+S228*0.15+T228*0.12+U228*0.10+V228*0.05)*20,0)</x:f>
        <x:v>88</x:v>
      </x:c>
      <x:c r="D228" s="29" t="str">
        <x:v>天文与太空</x:v>
      </x:c>
      <x:c r="E228" s="29" t="str">
        <x:v>天文/科学新闻</x:v>
      </x:c>
      <x:c r="F228" s="29" t="str">
        <x:v>Anton Petrov</x:v>
      </x:c>
      <x:c r="G228" s="29" t="str"/>
      <x:c r="H228" s="29" t="str">
        <x:v>视频 / 频道</x:v>
      </x:c>
      <x:c r="I228" s="29" t="str">
        <x:v>en</x:v>
      </x:c>
      <x:c r="J228" s="29" t="str">
        <x:v>解释源</x:v>
      </x:c>
      <x:c r="K228" s="29" t="str">
        <x:v>Open</x:v>
      </x:c>
      <x:c r="L228" s="29" t="str">
        <x:v>以频道更新为准</x:v>
      </x:c>
      <x:c r="M228" s="29" t="str">
        <x:v>https://www.youtube.com/channel/UCciQ8wFcVoIIMi-lfu8-cjQ</x:v>
      </x:c>
      <x:c r="N228" s="29" t="str">
        <x:v>https://www.youtube.com/feeds/videos.xml?channel_id=UCciQ8wFcVoIIMi-lfu8-cjQ</x:v>
      </x:c>
      <x:c r="O228" s="29" t="str">
        <x:v>有效</x:v>
      </x:c>
      <x:c r="P228" s="72" t="n">
        <x:v>4</x:v>
      </x:c>
      <x:c r="Q228" s="72" t="n">
        <x:v>5</x:v>
      </x:c>
      <x:c r="R228" s="72" t="n">
        <x:v>4</x:v>
      </x:c>
      <x:c r="S228" s="72" t="n">
        <x:v>5</x:v>
      </x:c>
      <x:c r="T228" s="72" t="n">
        <x:v>4</x:v>
      </x:c>
      <x:c r="U228" s="72" t="n">
        <x:v>4</x:v>
      </x:c>
      <x:c r="V228" s="72" t="n">
        <x:v>5</x:v>
      </x:c>
      <x:c r="W228" s="29" t="str">
        <x:v>视频观点拆解、概念科普、选题与案例线索</x:v>
      </x:c>
      <x:c r="X228" s="29" t="str">
        <x:v>高质量天文/科学新闻视频创作者，适合快速建立背景、观察叙事结构并发现可传播选题。</x:v>
      </x:c>
      <x:c r="Y228" s="29" t="str">
        <x:v>高质量解释源；具体数字和研究结论仍应回到论文、数据集或机构原文。</x:v>
      </x:c>
      <x:c r="Z228" s="75" t="b">
        <x:v>0</x:v>
      </x:c>
      <x:c r="AA228" s="29"/>
      <x:c r="AB228" s="29" t="str">
        <x:v>YouTube 高质量创作者</x:v>
      </x:c>
      <x:c r="AC228" s="29" t="str">
        <x:v>https://www.youtube.com/@whatdamath</x:v>
      </x:c>
      <x:c r="AD228" s="29" t="str">
        <x:v>2026-08-17</x:v>
      </x:c>
      <x:c r="AE228" s="29" t="n">
        <x:v>200</x:v>
      </x:c>
      <x:c r="AF228" s="29" t="str">
        <x:v>https://www.youtube.com/feeds/videos.xml?channel_id=UCciQ8wFcVoIIMi-lfu8-cjQ</x:v>
      </x:c>
      <x:c r="AG228" s="29" t="str"/>
    </x:row>
    <x:row r="229" ht="44" customHeight="1">
      <x:c r="A229" s="29" t="str">
        <x:v>SRC-225</x:v>
      </x:c>
      <x:c r="B229" s="29" t="str">
        <x:f>IF(C229&gt;=93,"S",IF(C229&gt;=90,"A",IF(C229&gt;=80,"B","C")))</x:f>
        <x:v>B</x:v>
      </x:c>
      <x:c r="C229" s="72" t="n">
        <x:f>ROUND((P229*0.20+Q229*0.18+R229*0.20+S229*0.15+T229*0.12+U229*0.10+V229*0.05)*20,0)</x:f>
        <x:v>88</x:v>
      </x:c>
      <x:c r="D229" s="29" t="str">
        <x:v>天文与太空</x:v>
      </x:c>
      <x:c r="E229" s="29" t="str">
        <x:v>太空/天文</x:v>
      </x:c>
      <x:c r="F229" s="29" t="str">
        <x:v>Astrum</x:v>
      </x:c>
      <x:c r="G229" s="29" t="str"/>
      <x:c r="H229" s="29" t="str">
        <x:v>视频 / 频道</x:v>
      </x:c>
      <x:c r="I229" s="29" t="str">
        <x:v>en</x:v>
      </x:c>
      <x:c r="J229" s="29" t="str">
        <x:v>解释源</x:v>
      </x:c>
      <x:c r="K229" s="29" t="str">
        <x:v>Open</x:v>
      </x:c>
      <x:c r="L229" s="29" t="str">
        <x:v>以频道更新为准</x:v>
      </x:c>
      <x:c r="M229" s="29" t="str">
        <x:v>https://www.youtube.com/channel/UC-9b7aDP6ZN0coj9-xFnrtw</x:v>
      </x:c>
      <x:c r="N229" s="29" t="str">
        <x:v>https://www.youtube.com/feeds/videos.xml?channel_id=UC-9b7aDP6ZN0coj9-xFnrtw</x:v>
      </x:c>
      <x:c r="O229" s="29" t="str">
        <x:v>有效</x:v>
      </x:c>
      <x:c r="P229" s="72" t="n">
        <x:v>4</x:v>
      </x:c>
      <x:c r="Q229" s="72" t="n">
        <x:v>5</x:v>
      </x:c>
      <x:c r="R229" s="72" t="n">
        <x:v>4</x:v>
      </x:c>
      <x:c r="S229" s="72" t="n">
        <x:v>5</x:v>
      </x:c>
      <x:c r="T229" s="72" t="n">
        <x:v>4</x:v>
      </x:c>
      <x:c r="U229" s="72" t="n">
        <x:v>4</x:v>
      </x:c>
      <x:c r="V229" s="72" t="n">
        <x:v>5</x:v>
      </x:c>
      <x:c r="W229" s="29" t="str">
        <x:v>视频观点拆解、概念科普、选题与案例线索</x:v>
      </x:c>
      <x:c r="X229" s="29" t="str">
        <x:v>高质量太空/天文视频创作者，适合快速建立背景、观察叙事结构并发现可传播选题。</x:v>
      </x:c>
      <x:c r="Y229" s="29" t="str">
        <x:v>高质量解释源；具体数字和研究结论仍应回到论文、数据集或机构原文。</x:v>
      </x:c>
      <x:c r="Z229" s="75" t="b">
        <x:v>0</x:v>
      </x:c>
      <x:c r="AA229" s="29"/>
      <x:c r="AB229" s="29" t="str">
        <x:v>YouTube 高质量创作者</x:v>
      </x:c>
      <x:c r="AC229" s="29" t="str">
        <x:v>https://www.youtube.com/@astrumspace</x:v>
      </x:c>
      <x:c r="AD229" s="29" t="str">
        <x:v>2026-08-17</x:v>
      </x:c>
      <x:c r="AE229" s="29" t="n">
        <x:v>200</x:v>
      </x:c>
      <x:c r="AF229" s="29" t="str">
        <x:v>https://www.youtube.com/feeds/videos.xml?channel_id=UC-9b7aDP6ZN0coj9-xFnrtw</x:v>
      </x:c>
      <x:c r="AG229" s="29" t="str"/>
    </x:row>
    <x:row r="230" ht="44" customHeight="1">
      <x:c r="A230" s="29" t="str">
        <x:v>SRC-226</x:v>
      </x:c>
      <x:c r="B230" s="29" t="str">
        <x:f>IF(C230&gt;=93,"S",IF(C230&gt;=90,"A",IF(C230&gt;=80,"B","C")))</x:f>
        <x:v>B</x:v>
      </x:c>
      <x:c r="C230" s="72" t="n">
        <x:f>ROUND((P230*0.20+Q230*0.18+R230*0.20+S230*0.15+T230*0.12+U230*0.10+V230*0.05)*20,0)</x:f>
        <x:v>88</x:v>
      </x:c>
      <x:c r="D230" s="29" t="str">
        <x:v>天文与太空</x:v>
      </x:c>
      <x:c r="E230" s="29" t="str">
        <x:v>天文/系外行星</x:v>
      </x:c>
      <x:c r="F230" s="29" t="str">
        <x:v>Cool Worlds</x:v>
      </x:c>
      <x:c r="G230" s="29" t="str"/>
      <x:c r="H230" s="29" t="str">
        <x:v>视频 / 频道</x:v>
      </x:c>
      <x:c r="I230" s="29" t="str">
        <x:v>en</x:v>
      </x:c>
      <x:c r="J230" s="29" t="str">
        <x:v>解释源</x:v>
      </x:c>
      <x:c r="K230" s="29" t="str">
        <x:v>Open</x:v>
      </x:c>
      <x:c r="L230" s="29" t="str">
        <x:v>以频道更新为准</x:v>
      </x:c>
      <x:c r="M230" s="29" t="str">
        <x:v>https://www.youtube.com/channel/UCGHZpIpAWJQ-Jy_CeCdXhMA</x:v>
      </x:c>
      <x:c r="N230" s="29" t="str">
        <x:v>https://www.youtube.com/feeds/videos.xml?channel_id=UCGHZpIpAWJQ-Jy_CeCdXhMA</x:v>
      </x:c>
      <x:c r="O230" s="29" t="str">
        <x:v>有效</x:v>
      </x:c>
      <x:c r="P230" s="72" t="n">
        <x:v>4</x:v>
      </x:c>
      <x:c r="Q230" s="72" t="n">
        <x:v>5</x:v>
      </x:c>
      <x:c r="R230" s="72" t="n">
        <x:v>4</x:v>
      </x:c>
      <x:c r="S230" s="72" t="n">
        <x:v>5</x:v>
      </x:c>
      <x:c r="T230" s="72" t="n">
        <x:v>4</x:v>
      </x:c>
      <x:c r="U230" s="72" t="n">
        <x:v>4</x:v>
      </x:c>
      <x:c r="V230" s="72" t="n">
        <x:v>5</x:v>
      </x:c>
      <x:c r="W230" s="29" t="str">
        <x:v>视频观点拆解、概念科普、选题与案例线索</x:v>
      </x:c>
      <x:c r="X230" s="29" t="str">
        <x:v>高质量天文/系外行星视频创作者，适合快速建立背景、观察叙事结构并发现可传播选题。</x:v>
      </x:c>
      <x:c r="Y230" s="29" t="str">
        <x:v>高质量解释源；具体数字和研究结论仍应回到论文、数据集或机构原文。</x:v>
      </x:c>
      <x:c r="Z230" s="75" t="b">
        <x:v>0</x:v>
      </x:c>
      <x:c r="AA230" s="29"/>
      <x:c r="AB230" s="29" t="str">
        <x:v>YouTube 高质量创作者</x:v>
      </x:c>
      <x:c r="AC230" s="29" t="str">
        <x:v>https://www.youtube.com/@CoolWorldsLab</x:v>
      </x:c>
      <x:c r="AD230" s="29" t="str">
        <x:v>2026-08-17</x:v>
      </x:c>
      <x:c r="AE230" s="29" t="n">
        <x:v>200</x:v>
      </x:c>
      <x:c r="AF230" s="29" t="str">
        <x:v>https://www.youtube.com/feeds/videos.xml?channel_id=UCGHZpIpAWJQ-Jy_CeCdXhMA</x:v>
      </x:c>
      <x:c r="AG230" s="29" t="str"/>
    </x:row>
    <x:row r="231" ht="44" customHeight="1">
      <x:c r="A231" s="29" t="str">
        <x:v>SRC-227</x:v>
      </x:c>
      <x:c r="B231" s="29" t="str">
        <x:f>IF(C231&gt;=93,"S",IF(C231&gt;=90,"A",IF(C231&gt;=80,"B","C")))</x:f>
        <x:v>B</x:v>
      </x:c>
      <x:c r="C231" s="72" t="n">
        <x:f>ROUND((P231*0.20+Q231*0.18+R231*0.20+S231*0.15+T231*0.12+U231*0.10+V231*0.05)*20,0)</x:f>
        <x:v>88</x:v>
      </x:c>
      <x:c r="D231" s="29" t="str">
        <x:v>天文与太空</x:v>
      </x:c>
      <x:c r="E231" s="29" t="str">
        <x:v>天文</x:v>
      </x:c>
      <x:c r="F231" s="29" t="str">
        <x:v>Dr Becky</x:v>
      </x:c>
      <x:c r="G231" s="29" t="str"/>
      <x:c r="H231" s="29" t="str">
        <x:v>视频 / 频道</x:v>
      </x:c>
      <x:c r="I231" s="29" t="str">
        <x:v>en</x:v>
      </x:c>
      <x:c r="J231" s="29" t="str">
        <x:v>解释源</x:v>
      </x:c>
      <x:c r="K231" s="29" t="str">
        <x:v>Open</x:v>
      </x:c>
      <x:c r="L231" s="29" t="str">
        <x:v>以频道更新为准</x:v>
      </x:c>
      <x:c r="M231" s="29" t="str">
        <x:v>https://www.youtube.com/channel/UCYNbYGl89UUowy8oXkipC-Q</x:v>
      </x:c>
      <x:c r="N231" s="29" t="str">
        <x:v>https://www.youtube.com/feeds/videos.xml?channel_id=UCYNbYGl89UUowy8oXkipC-Q</x:v>
      </x:c>
      <x:c r="O231" s="29" t="str">
        <x:v>有效</x:v>
      </x:c>
      <x:c r="P231" s="72" t="n">
        <x:v>4</x:v>
      </x:c>
      <x:c r="Q231" s="72" t="n">
        <x:v>5</x:v>
      </x:c>
      <x:c r="R231" s="72" t="n">
        <x:v>4</x:v>
      </x:c>
      <x:c r="S231" s="72" t="n">
        <x:v>5</x:v>
      </x:c>
      <x:c r="T231" s="72" t="n">
        <x:v>4</x:v>
      </x:c>
      <x:c r="U231" s="72" t="n">
        <x:v>4</x:v>
      </x:c>
      <x:c r="V231" s="72" t="n">
        <x:v>5</x:v>
      </x:c>
      <x:c r="W231" s="29" t="str">
        <x:v>视频观点拆解、概念科普、选题与案例线索</x:v>
      </x:c>
      <x:c r="X231" s="29" t="str">
        <x:v>高质量天文视频创作者，适合快速建立背景、观察叙事结构并发现可传播选题。</x:v>
      </x:c>
      <x:c r="Y231" s="29" t="str">
        <x:v>高质量解释源；具体数字和研究结论仍应回到论文、数据集或机构原文。</x:v>
      </x:c>
      <x:c r="Z231" s="75" t="b">
        <x:v>0</x:v>
      </x:c>
      <x:c r="AA231" s="29"/>
      <x:c r="AB231" s="29" t="str">
        <x:v>YouTube 高质量创作者</x:v>
      </x:c>
      <x:c r="AC231" s="29" t="str">
        <x:v>https://www.youtube.com/@DrBecky</x:v>
      </x:c>
      <x:c r="AD231" s="29" t="str">
        <x:v>2026-08-17</x:v>
      </x:c>
      <x:c r="AE231" s="29" t="n">
        <x:v>200</x:v>
      </x:c>
      <x:c r="AF231" s="29" t="str">
        <x:v>https://www.youtube.com/feeds/videos.xml?channel_id=UCYNbYGl89UUowy8oXkipC-Q</x:v>
      </x:c>
      <x:c r="AG231" s="29" t="str"/>
    </x:row>
    <x:row r="232" ht="44" customHeight="1">
      <x:c r="A232" s="29" t="str">
        <x:v>SRC-228</x:v>
      </x:c>
      <x:c r="B232" s="29" t="str">
        <x:f>IF(C232&gt;=93,"S",IF(C232&gt;=90,"A",IF(C232&gt;=80,"B","C")))</x:f>
        <x:v>B</x:v>
      </x:c>
      <x:c r="C232" s="72" t="n">
        <x:f>ROUND((P232*0.20+Q232*0.18+R232*0.20+S232*0.15+T232*0.12+U232*0.10+V232*0.05)*20,0)</x:f>
        <x:v>88</x:v>
      </x:c>
      <x:c r="D232" s="29" t="str">
        <x:v>天文与太空</x:v>
      </x:c>
      <x:c r="E232" s="29" t="str">
        <x:v>物理/天文</x:v>
      </x:c>
      <x:c r="F232" s="29" t="str">
        <x:v>PBS Space Time</x:v>
      </x:c>
      <x:c r="G232" s="29" t="str"/>
      <x:c r="H232" s="29" t="str">
        <x:v>视频 / 频道</x:v>
      </x:c>
      <x:c r="I232" s="29" t="str">
        <x:v>en</x:v>
      </x:c>
      <x:c r="J232" s="29" t="str">
        <x:v>解释源</x:v>
      </x:c>
      <x:c r="K232" s="29" t="str">
        <x:v>Open</x:v>
      </x:c>
      <x:c r="L232" s="29" t="str">
        <x:v>以频道更新为准</x:v>
      </x:c>
      <x:c r="M232" s="29" t="str">
        <x:v>https://www.youtube.com/channel/UC7_gcs09iThXybpVgjHZ_7g</x:v>
      </x:c>
      <x:c r="N232" s="29" t="str">
        <x:v>https://www.youtube.com/feeds/videos.xml?channel_id=UC7_gcs09iThXybpVgjHZ_7g</x:v>
      </x:c>
      <x:c r="O232" s="29" t="str">
        <x:v>有效</x:v>
      </x:c>
      <x:c r="P232" s="72" t="n">
        <x:v>4</x:v>
      </x:c>
      <x:c r="Q232" s="72" t="n">
        <x:v>5</x:v>
      </x:c>
      <x:c r="R232" s="72" t="n">
        <x:v>4</x:v>
      </x:c>
      <x:c r="S232" s="72" t="n">
        <x:v>5</x:v>
      </x:c>
      <x:c r="T232" s="72" t="n">
        <x:v>4</x:v>
      </x:c>
      <x:c r="U232" s="72" t="n">
        <x:v>4</x:v>
      </x:c>
      <x:c r="V232" s="72" t="n">
        <x:v>5</x:v>
      </x:c>
      <x:c r="W232" s="29" t="str">
        <x:v>视频观点拆解、概念科普、选题与案例线索</x:v>
      </x:c>
      <x:c r="X232" s="29" t="str">
        <x:v>高质量物理/天文视频创作者，适合快速建立背景、观察叙事结构并发现可传播选题。</x:v>
      </x:c>
      <x:c r="Y232" s="29" t="str">
        <x:v>高质量解释源；具体数字和研究结论仍应回到论文、数据集或机构原文。</x:v>
      </x:c>
      <x:c r="Z232" s="75" t="b">
        <x:v>0</x:v>
      </x:c>
      <x:c r="AA232" s="29"/>
      <x:c r="AB232" s="29" t="str">
        <x:v>YouTube 高质量创作者</x:v>
      </x:c>
      <x:c r="AC232" s="29" t="str">
        <x:v>https://www.youtube.com/@pbsspacetime</x:v>
      </x:c>
      <x:c r="AD232" s="29" t="str">
        <x:v>2026-08-17</x:v>
      </x:c>
      <x:c r="AE232" s="29" t="n">
        <x:v>200</x:v>
      </x:c>
      <x:c r="AF232" s="29" t="str">
        <x:v>https://www.youtube.com/feeds/videos.xml?channel_id=UC7_gcs09iThXybpVgjHZ_7g</x:v>
      </x:c>
      <x:c r="AG232" s="29" t="str"/>
    </x:row>
    <x:row r="233" ht="44" customHeight="1">
      <x:c r="A233" s="29" t="str">
        <x:v>SRC-229</x:v>
      </x:c>
      <x:c r="B233" s="29" t="str">
        <x:f>IF(C233&gt;=93,"S",IF(C233&gt;=90,"A",IF(C233&gt;=80,"B","C")))</x:f>
        <x:v>B</x:v>
      </x:c>
      <x:c r="C233" s="72" t="n">
        <x:f>ROUND((P233*0.20+Q233*0.18+R233*0.20+S233*0.15+T233*0.12+U233*0.10+V233*0.05)*20,0)</x:f>
        <x:v>88</x:v>
      </x:c>
      <x:c r="D233" s="29" t="str">
        <x:v>心理、认知与情商</x:v>
      </x:c>
      <x:c r="E233" s="29" t="str">
        <x:v>心理健康素养与公众科普</x:v>
      </x:c>
      <x:c r="F233" s="29" t="str">
        <x:v>国民心理健康评估发展中心科普服务</x:v>
      </x:c>
      <x:c r="G233" s="29" t="str"/>
      <x:c r="H233" s="29" t="str">
        <x:v>研究机构心理健康科普入口</x:v>
      </x:c>
      <x:c r="I233" s="29" t="str">
        <x:v>zh-CN</x:v>
      </x:c>
      <x:c r="J233" s="29" t="str">
        <x:v>解释源</x:v>
      </x:c>
      <x:c r="K233" s="29" t="str">
        <x:v>Open</x:v>
      </x:c>
      <x:c r="L233" s="29" t="str">
        <x:v>不定期</x:v>
      </x:c>
      <x:c r="M233" s="29" t="str">
        <x:v>https://cmhr.psych.ac.cn/PopularScienceService.html</x:v>
      </x:c>
      <x:c r="N233" s="29" t="str"/>
      <x:c r="O233" s="29" t="str">
        <x:v>无RSS/API入口</x:v>
      </x:c>
      <x:c r="P233" s="72" t="n">
        <x:v>4</x:v>
      </x:c>
      <x:c r="Q233" s="72" t="n">
        <x:v>5</x:v>
      </x:c>
      <x:c r="R233" s="72" t="n">
        <x:v>4</x:v>
      </x:c>
      <x:c r="S233" s="72" t="n">
        <x:v>5</x:v>
      </x:c>
      <x:c r="T233" s="72" t="n">
        <x:v>4</x:v>
      </x:c>
      <x:c r="U233" s="72" t="n">
        <x:v>4</x:v>
      </x:c>
      <x:c r="V233" s="72" t="n">
        <x:v>5</x:v>
      </x:c>
      <x:c r="W233" s="29" t="str">
        <x:v>情绪调节、婚恋家庭、教育与心理健康素养</x:v>
      </x:c>
      <x:c r="X233" s="29" t="str">
        <x:v>由中国科学院心理研究所相关中心提供心理健康直播、文章与知识问答入口。</x:v>
      </x:c>
      <x:c r="Y233" s="29" t="str">
        <x:v>公众科普不能替代精神科或心理专业评估；遇到危机应指向当地专业和急救服务。</x:v>
      </x:c>
      <x:c r="Z233" s="75" t="b">
        <x:v>0</x:v>
      </x:c>
      <x:c r="AA233" s="29"/>
      <x:c r="AB233" s="29" t="str">
        <x:v>扩展调研：中文心理、健康与商业机构</x:v>
      </x:c>
      <x:c r="AC233" s="29" t="str">
        <x:v>https://cmhr.psych.ac.cn/PopularScienceService.html</x:v>
      </x:c>
      <x:c r="AD233" s="29" t="str">
        <x:v>2026-08-17</x:v>
      </x:c>
      <x:c r="AE233" s="29"/>
      <x:c r="AF233" s="29" t="str"/>
      <x:c r="AG233" s="29" t="str"/>
    </x:row>
    <x:row r="234" ht="44" customHeight="1">
      <x:c r="A234" s="29" t="str">
        <x:v>SRC-230</x:v>
      </x:c>
      <x:c r="B234" s="29" t="str">
        <x:f>IF(C234&gt;=93,"S",IF(C234&gt;=90,"A",IF(C234&gt;=80,"B","C")))</x:f>
        <x:v>B</x:v>
      </x:c>
      <x:c r="C234" s="72" t="n">
        <x:f>ROUND((P234*0.20+Q234*0.18+R234*0.20+S234*0.15+T234*0.12+U234*0.10+V234*0.05)*20,0)</x:f>
        <x:v>88</x:v>
      </x:c>
      <x:c r="D234" s="29" t="str">
        <x:v>成长与学习</x:v>
      </x:c>
      <x:c r="E234" s="29" t="str">
        <x:v>组织行为与决策</x:v>
      </x:c>
      <x:c r="F234" s="29" t="str">
        <x:v>Behavioral Scientist</x:v>
      </x:c>
      <x:c r="G234" s="29" t="str"/>
      <x:c r="H234" s="29" t="str">
        <x:v>行为科学研究解读、评论、访谈与书评</x:v>
      </x:c>
      <x:c r="I234" s="29" t="str">
        <x:v>en</x:v>
      </x:c>
      <x:c r="J234" s="29" t="str">
        <x:v>解释源</x:v>
      </x:c>
      <x:c r="K234" s="29" t="str">
        <x:v>Open</x:v>
      </x:c>
      <x:c r="L234" s="29" t="str">
        <x:v>每周约1至3篇</x:v>
      </x:c>
      <x:c r="M234" s="29" t="str">
        <x:v>https://behavioralscientist.org/</x:v>
      </x:c>
      <x:c r="N234" s="29" t="str">
        <x:v>https://behavioralscientist.org/feed/</x:v>
      </x:c>
      <x:c r="O234" s="29" t="str">
        <x:v>有效</x:v>
      </x:c>
      <x:c r="P234" s="72" t="n">
        <x:v>4</x:v>
      </x:c>
      <x:c r="Q234" s="72" t="n">
        <x:v>5</x:v>
      </x:c>
      <x:c r="R234" s="72" t="n">
        <x:v>4</x:v>
      </x:c>
      <x:c r="S234" s="72" t="n">
        <x:v>5</x:v>
      </x:c>
      <x:c r="T234" s="72" t="n">
        <x:v>4</x:v>
      </x:c>
      <x:c r="U234" s="72" t="n">
        <x:v>4</x:v>
      </x:c>
      <x:c r="V234" s="72" t="n">
        <x:v>5</x:v>
      </x:c>
      <x:c r="W234" s="29" t="str">
        <x:v>寻找“研究如何改变现实系统”的选题和案例；事实性结论回链论文或报告。；用一项研究解释职场决策、动机、偏差或群体行为。</x:v>
      </x:c>
      <x:c r="X234" s="29" t="str">
        <x:v>非营利编辑型刊物，连接行为科学研究者与现实问题，主动反对夸张和伪科学。</x:v>
      </x:c>
      <x:c r="Y234" s="29" t="str">
        <x:v>2026-08-17：主页 200；官方 RSS 200，XML 已确认。；2026-08-17：官网与RSS均返回200，Feed正文为有效XML；具体结论宜继续追到原论文。</x:v>
      </x:c>
      <x:c r="Z234" s="75" t="b">
        <x:v>0</x:v>
      </x:c>
      <x:c r="AA234" s="29"/>
      <x:c r="AB234" s="29" t="str">
        <x:v>扩展调研：心理、认知与情商；扩展调研：成长、学习、商业与管理</x:v>
      </x:c>
      <x:c r="AC234" s="29" t="str">
        <x:v>https://behavioralscientist.org/about/</x:v>
      </x:c>
      <x:c r="AD234" s="29" t="str">
        <x:v>2026-08-17</x:v>
      </x:c>
      <x:c r="AE234" s="29" t="n">
        <x:v>200</x:v>
      </x:c>
      <x:c r="AF234" s="29" t="str">
        <x:v>https://behavioralscientist.org/feed/</x:v>
      </x:c>
      <x:c r="AG234" s="29" t="str"/>
    </x:row>
    <x:row r="235" ht="44" customHeight="1">
      <x:c r="A235" s="29" t="str">
        <x:v>SRC-231</x:v>
      </x:c>
      <x:c r="B235" s="29" t="str">
        <x:f>IF(C235&gt;=93,"S",IF(C235&gt;=90,"A",IF(C235&gt;=80,"B","C")))</x:f>
        <x:v>B</x:v>
      </x:c>
      <x:c r="C235" s="72" t="n">
        <x:f>ROUND((P235*0.20+Q235*0.18+R235*0.20+S235*0.15+T235*0.12+U235*0.10+V235*0.05)*20,0)</x:f>
        <x:v>88</x:v>
      </x:c>
      <x:c r="D235" s="29" t="str">
        <x:v>成长与学习</x:v>
      </x:c>
      <x:c r="E235" s="29" t="str">
        <x:v>习惯与行为改变</x:v>
      </x:c>
      <x:c r="F235" s="29" t="str">
        <x:v>James Clear</x:v>
      </x:c>
      <x:c r="G235" s="29" t="str"/>
      <x:c r="H235" s="29" t="str">
        <x:v>习惯、行为设计、决策、写作与个人成长</x:v>
      </x:c>
      <x:c r="I235" s="29" t="str">
        <x:v>en</x:v>
      </x:c>
      <x:c r="J235" s="29" t="str">
        <x:v>解释源</x:v>
      </x:c>
      <x:c r="K235" s="29" t="str">
        <x:v>Open</x:v>
      </x:c>
      <x:c r="L235" s="29" t="str">
        <x:v>每月约1至4篇</x:v>
      </x:c>
      <x:c r="M235" s="29" t="str">
        <x:v>https://jamesclear.com/articles</x:v>
      </x:c>
      <x:c r="N235" s="29" t="str">
        <x:v>https://jamesclear.com/feed</x:v>
      </x:c>
      <x:c r="O235" s="29" t="str">
        <x:v>有效</x:v>
      </x:c>
      <x:c r="P235" s="72" t="n">
        <x:v>4</x:v>
      </x:c>
      <x:c r="Q235" s="72" t="n">
        <x:v>5</x:v>
      </x:c>
      <x:c r="R235" s="72" t="n">
        <x:v>4</x:v>
      </x:c>
      <x:c r="S235" s="72" t="n">
        <x:v>5</x:v>
      </x:c>
      <x:c r="T235" s="72" t="n">
        <x:v>4</x:v>
      </x:c>
      <x:c r="U235" s="72" t="n">
        <x:v>4</x:v>
      </x:c>
      <x:c r="V235" s="72" t="n">
        <x:v>5</x:v>
      </x:c>
      <x:c r="W235" s="29" t="str">
        <x:v>一个行为设计公式加一个低门槛行动例子。</x:v>
      </x:c>
      <x:c r="X235" s="29" t="str">
        <x:v>表达简洁、框架传播性强，适合把抽象成长概念转成易执行的微行动。</x:v>
      </x:c>
      <x:c r="Y235" s="29" t="str">
        <x:v>2026-08-17：官方RSS返回200和有效XML；用于传播框架，不应替代心理学原始证据。</x:v>
      </x:c>
      <x:c r="Z235" s="75" t="b">
        <x:v>0</x:v>
      </x:c>
      <x:c r="AA235" s="29"/>
      <x:c r="AB235" s="29" t="str">
        <x:v>扩展调研：成长、学习、商业与管理</x:v>
      </x:c>
      <x:c r="AC235" s="29" t="str">
        <x:v>https://jamesclear.com/feed</x:v>
      </x:c>
      <x:c r="AD235" s="29" t="str">
        <x:v>2026-08-17</x:v>
      </x:c>
      <x:c r="AE235" s="29" t="n">
        <x:v>200</x:v>
      </x:c>
      <x:c r="AF235" s="29" t="str">
        <x:v>https://jamesclear.com/feed</x:v>
      </x:c>
      <x:c r="AG235" s="29" t="str"/>
    </x:row>
    <x:row r="236" ht="44" customHeight="1">
      <x:c r="A236" s="29" t="str">
        <x:v>SRC-232</x:v>
      </x:c>
      <x:c r="B236" s="29" t="str">
        <x:f>IF(C236&gt;=93,"S",IF(C236&gt;=90,"A",IF(C236&gt;=80,"B","C")))</x:f>
        <x:v>B</x:v>
      </x:c>
      <x:c r="C236" s="72" t="n">
        <x:f>ROUND((P236*0.20+Q236*0.18+R236*0.20+S236*0.15+T236*0.12+U236*0.10+V236*0.05)*20,0)</x:f>
        <x:v>88</x:v>
      </x:c>
      <x:c r="D236" s="29" t="str">
        <x:v>成长与学习</x:v>
      </x:c>
      <x:c r="E236" s="29" t="str">
        <x:v>组织心理与认知</x:v>
      </x:c>
      <x:c r="F236" s="29" t="str">
        <x:v>ReThinking with Adam Grant</x:v>
      </x:c>
      <x:c r="G236" s="29" t="str"/>
      <x:c r="H236" s="29" t="str">
        <x:v>专家访谈、动机、领导力、创造力、关系与认知反思</x:v>
      </x:c>
      <x:c r="I236" s="29" t="str">
        <x:v>en</x:v>
      </x:c>
      <x:c r="J236" s="29" t="str">
        <x:v>解释源</x:v>
      </x:c>
      <x:c r="K236" s="29" t="str">
        <x:v>Open</x:v>
      </x:c>
      <x:c r="L236" s="29" t="str">
        <x:v>每周约1集</x:v>
      </x:c>
      <x:c r="M236" s="29" t="str">
        <x:v>https://www.ted.com/podcasts/rethinking-with-adam-grant</x:v>
      </x:c>
      <x:c r="N236" s="29" t="str">
        <x:v>https://feeds.acast.com/public/shows/675858676d1777b3683ec351</x:v>
      </x:c>
      <x:c r="O236" s="29" t="str">
        <x:v>重定向后有效</x:v>
      </x:c>
      <x:c r="P236" s="72" t="n">
        <x:v>4</x:v>
      </x:c>
      <x:c r="Q236" s="72" t="n">
        <x:v>5</x:v>
      </x:c>
      <x:c r="R236" s="72" t="n">
        <x:v>4</x:v>
      </x:c>
      <x:c r="S236" s="72" t="n">
        <x:v>5</x:v>
      </x:c>
      <x:c r="T236" s="72" t="n">
        <x:v>4</x:v>
      </x:c>
      <x:c r="U236" s="72" t="n">
        <x:v>4</x:v>
      </x:c>
      <x:c r="V236" s="72" t="n">
        <x:v>5</x:v>
      </x:c>
      <x:c r="W236" s="29" t="str">
        <x:v>提炼专家分歧、反直觉观点和一项可以测试的工作方式。</x:v>
      </x:c>
      <x:c r="X236" s="29" t="str">
        <x:v>由组织心理学者主持，善于让研究者和实践者围绕可争辩问题展开深度对话。</x:v>
      </x:c>
      <x:c r="Y236" s="29" t="str">
        <x:v>2026-08-17：TED页面明确提供RSS；旧FeedBurner地址会重定向至有效Acast XML。</x:v>
      </x:c>
      <x:c r="Z236" s="75" t="b">
        <x:v>0</x:v>
      </x:c>
      <x:c r="AA236" s="29"/>
      <x:c r="AB236" s="29" t="str">
        <x:v>扩展调研：成长、学习、商业与管理</x:v>
      </x:c>
      <x:c r="AC236" s="29" t="str">
        <x:v>https://www.ted.com/podcasts/rethinking-with-adam-grant</x:v>
      </x:c>
      <x:c r="AD236" s="29" t="str">
        <x:v>2026-08-17</x:v>
      </x:c>
      <x:c r="AE236" s="29" t="n">
        <x:v>200</x:v>
      </x:c>
      <x:c r="AF236" s="29" t="str">
        <x:v>https://feeds.acast.com/public/shows/675858676d1777b3683ec351</x:v>
      </x:c>
      <x:c r="AG236" s="29" t="str"/>
    </x:row>
    <x:row r="237" ht="44" customHeight="1">
      <x:c r="A237" s="29" t="str">
        <x:v>SRC-233</x:v>
      </x:c>
      <x:c r="B237" s="29" t="str">
        <x:f>IF(C237&gt;=93,"S",IF(C237&gt;=90,"A",IF(C237&gt;=80,"B","C")))</x:f>
        <x:v>B</x:v>
      </x:c>
      <x:c r="C237" s="72" t="n">
        <x:f>ROUND((P237*0.20+Q237*0.18+R237*0.20+S237*0.15+T237*0.12+U237*0.10+V237*0.05)*20,0)</x:f>
        <x:v>88</x:v>
      </x:c>
      <x:c r="D237" s="29" t="str">
        <x:v>成长与学习</x:v>
      </x:c>
      <x:c r="E237" s="29" t="str">
        <x:v>记忆与教学实践</x:v>
      </x:c>
      <x:c r="F237" s="29" t="str">
        <x:v>Retrieval Practice</x:v>
      </x:c>
      <x:c r="G237" s="29" t="str"/>
      <x:c r="H237" s="29" t="str">
        <x:v>提取练习策略、课堂资源、研究转化与工具</x:v>
      </x:c>
      <x:c r="I237" s="29" t="str">
        <x:v>en</x:v>
      </x:c>
      <x:c r="J237" s="29" t="str">
        <x:v>解释源</x:v>
      </x:c>
      <x:c r="K237" s="29" t="str">
        <x:v>Open</x:v>
      </x:c>
      <x:c r="L237" s="29" t="str">
        <x:v>不定期更新</x:v>
      </x:c>
      <x:c r="M237" s="29" t="str">
        <x:v>https://www.retrievalpractice.org/</x:v>
      </x:c>
      <x:c r="N237" s="29" t="str">
        <x:v>https://www.retrievalpractice.org/strategies?format=rss</x:v>
      </x:c>
      <x:c r="O237" s="29" t="str">
        <x:v>有效</x:v>
      </x:c>
      <x:c r="P237" s="72" t="n">
        <x:v>4</x:v>
      </x:c>
      <x:c r="Q237" s="72" t="n">
        <x:v>5</x:v>
      </x:c>
      <x:c r="R237" s="72" t="n">
        <x:v>4</x:v>
      </x:c>
      <x:c r="S237" s="72" t="n">
        <x:v>5</x:v>
      </x:c>
      <x:c r="T237" s="72" t="n">
        <x:v>4</x:v>
      </x:c>
      <x:c r="U237" s="72" t="n">
        <x:v>4</x:v>
      </x:c>
      <x:c r="V237" s="72" t="n">
        <x:v>5</x:v>
      </x:c>
      <x:c r="W237" s="29" t="str">
        <x:v>用一个教学场景演示如何把重复阅读改成主动提取。</x:v>
      </x:c>
      <x:c r="X237" s="29" t="str">
        <x:v>专注把记忆研究转化为可执行教学策略，适合做学习方法清单和误区纠正。</x:v>
      </x:c>
      <x:c r="Y237" s="29" t="str">
        <x:v>2026-08-17：策略页官方RSS返回200和有效XML；属于应用转化源，严谨引用时追溯其研究链接。</x:v>
      </x:c>
      <x:c r="Z237" s="75" t="b">
        <x:v>0</x:v>
      </x:c>
      <x:c r="AA237" s="29"/>
      <x:c r="AB237" s="29" t="str">
        <x:v>扩展调研：成长、学习、商业与管理</x:v>
      </x:c>
      <x:c r="AC237" s="29" t="str">
        <x:v>https://www.retrievalpractice.org/strategies</x:v>
      </x:c>
      <x:c r="AD237" s="29" t="str">
        <x:v>2026-08-17</x:v>
      </x:c>
      <x:c r="AE237" s="29" t="n">
        <x:v>200</x:v>
      </x:c>
      <x:c r="AF237" s="29" t="str">
        <x:v>https://www.retrievalpractice.org/strategies?format=rss</x:v>
      </x:c>
      <x:c r="AG237" s="29" t="str"/>
    </x:row>
    <x:row r="238" ht="44" customHeight="1">
      <x:c r="A238" s="29" t="str">
        <x:v>SRC-234</x:v>
      </x:c>
      <x:c r="B238" s="29" t="str">
        <x:f>IF(C238&gt;=93,"S",IF(C238&gt;=90,"A",IF(C238&gt;=80,"B","C")))</x:f>
        <x:v>B</x:v>
      </x:c>
      <x:c r="C238" s="72" t="n">
        <x:f>ROUND((P238*0.20+Q238*0.18+R238*0.20+S238*0.15+T238*0.12+U238*0.10+V238*0.05)*20,0)</x:f>
        <x:v>88</x:v>
      </x:c>
      <x:c r="D238" s="29" t="str">
        <x:v>数据与可视化</x:v>
      </x:c>
      <x:c r="E238" s="29" t="str">
        <x:v>商业图表与表达</x:v>
      </x:c>
      <x:c r="F238" s="29" t="str">
        <x:v>Storytelling with Data</x:v>
      </x:c>
      <x:c r="G238" s="29" t="str"/>
      <x:c r="H238" s="29" t="str">
        <x:v>改图案例、图表沟通、演示与教程</x:v>
      </x:c>
      <x:c r="I238" s="29" t="str">
        <x:v>en</x:v>
      </x:c>
      <x:c r="J238" s="29" t="str">
        <x:v>解释源</x:v>
      </x:c>
      <x:c r="K238" s="29" t="str">
        <x:v>Open</x:v>
      </x:c>
      <x:c r="L238" s="29" t="str">
        <x:v>每月2至4篇</x:v>
      </x:c>
      <x:c r="M238" s="29" t="str">
        <x:v>https://www.storytellingwithdata.com/blog</x:v>
      </x:c>
      <x:c r="N238" s="29" t="str">
        <x:v>https://www.storytellingwithdata.com/blog?format=rss</x:v>
      </x:c>
      <x:c r="O238" s="29" t="str">
        <x:v>有效</x:v>
      </x:c>
      <x:c r="P238" s="72" t="n">
        <x:v>4</x:v>
      </x:c>
      <x:c r="Q238" s="72" t="n">
        <x:v>5</x:v>
      </x:c>
      <x:c r="R238" s="72" t="n">
        <x:v>4</x:v>
      </x:c>
      <x:c r="S238" s="72" t="n">
        <x:v>5</x:v>
      </x:c>
      <x:c r="T238" s="72" t="n">
        <x:v>4</x:v>
      </x:c>
      <x:c r="U238" s="72" t="n">
        <x:v>4</x:v>
      </x:c>
      <x:c r="V238" s="72" t="n">
        <x:v>5</x:v>
      </x:c>
      <x:c r="W238" s="29" t="str">
        <x:v>改图前后对比、沟通技巧、清单</x:v>
      </x:c>
      <x:c r="X238" s="29" t="str">
        <x:v>强调受众、信息层级和可执行的图表改进。</x:v>
      </x:c>
      <x:c r="Y238" s="29" t="str">
        <x:v>Squarespace RSS参数端点已核验为XML。</x:v>
      </x:c>
      <x:c r="Z238" s="75" t="b">
        <x:v>0</x:v>
      </x:c>
      <x:c r="AA238" s="29"/>
      <x:c r="AB238" s="29" t="str">
        <x:v>扩展调研：科技、科学与数据</x:v>
      </x:c>
      <x:c r="AC238" s="29" t="str">
        <x:v>https://www.storytellingwithdata.com/blog?format=rss</x:v>
      </x:c>
      <x:c r="AD238" s="29" t="str">
        <x:v>2026-08-17</x:v>
      </x:c>
      <x:c r="AE238" s="29" t="n">
        <x:v>200</x:v>
      </x:c>
      <x:c r="AF238" s="29" t="str">
        <x:v>https://www.storytellingwithdata.com/blog?format=rss</x:v>
      </x:c>
      <x:c r="AG238" s="29" t="str"/>
    </x:row>
    <x:row r="239" ht="44" customHeight="1">
      <x:c r="A239" s="29" t="str">
        <x:v>SRC-235</x:v>
      </x:c>
      <x:c r="B239" s="29" t="str">
        <x:f>IF(C239&gt;=93,"S",IF(C239&gt;=90,"A",IF(C239&gt;=80,"B","C")))</x:f>
        <x:v>B</x:v>
      </x:c>
      <x:c r="C239" s="72" t="n">
        <x:f>ROUND((P239*0.20+Q239*0.18+R239*0.20+S239*0.15+T239*0.12+U239*0.10+V239*0.05)*20,0)</x:f>
        <x:v>88</x:v>
      </x:c>
      <x:c r="D239" s="29" t="str">
        <x:v>数据与可视化</x:v>
      </x:c>
      <x:c r="E239" s="29" t="str">
        <x:v>声明式可视化示例</x:v>
      </x:c>
      <x:c r="F239" s="29" t="str">
        <x:v>Vega Example Gallery</x:v>
      </x:c>
      <x:c r="G239" s="29" t="str"/>
      <x:c r="H239" s="29" t="str">
        <x:v>示例库 / 开源规范</x:v>
      </x:c>
      <x:c r="I239" s="29" t="str">
        <x:v>en</x:v>
      </x:c>
      <x:c r="J239" s="29" t="str">
        <x:v>解释源</x:v>
      </x:c>
      <x:c r="K239" s="29" t="str">
        <x:v>Open</x:v>
      </x:c>
      <x:c r="L239" s="29" t="str">
        <x:v>持续更新</x:v>
      </x:c>
      <x:c r="M239" s="29" t="str">
        <x:v>https://vega.github.io/vega-lite/examples/</x:v>
      </x:c>
      <x:c r="N239" s="29" t="str"/>
      <x:c r="O239" s="29" t="str">
        <x:v>无RSS/API入口</x:v>
      </x:c>
      <x:c r="P239" s="72" t="n">
        <x:v>4</x:v>
      </x:c>
      <x:c r="Q239" s="72" t="n">
        <x:v>5</x:v>
      </x:c>
      <x:c r="R239" s="72" t="n">
        <x:v>4</x:v>
      </x:c>
      <x:c r="S239" s="72" t="n">
        <x:v>5</x:v>
      </x:c>
      <x:c r="T239" s="72" t="n">
        <x:v>4</x:v>
      </x:c>
      <x:c r="U239" s="72" t="n">
        <x:v>4</x:v>
      </x:c>
      <x:c r="V239" s="72" t="n">
        <x:v>5</x:v>
      </x:c>
      <x:c r="W239" s="29" t="str">
        <x:v>图表原型、视觉编码参考</x:v>
      </x:c>
      <x:c r="X239" s="29" t="str">
        <x:v>从可运行规范学习统计图和交互设计。</x:v>
      </x:c>
      <x:c r="Y239" s="29" t="str">
        <x:v>使用前核对数据口径、更新时间、许可与引用格式。</x:v>
      </x:c>
      <x:c r="Z239" s="75" t="b">
        <x:v>0</x:v>
      </x:c>
      <x:c r="AA239" s="29"/>
      <x:c r="AB239" s="29" t="str">
        <x:v>扩展调研：数据库、资料库与平台</x:v>
      </x:c>
      <x:c r="AC239" s="29" t="str">
        <x:v>https://vega.github.io/vega-lite/examples/</x:v>
      </x:c>
      <x:c r="AD239" s="29" t="str">
        <x:v>2026-08-17</x:v>
      </x:c>
      <x:c r="AE239" s="29"/>
      <x:c r="AF239" s="29" t="str"/>
      <x:c r="AG239" s="29" t="str"/>
    </x:row>
    <x:row r="240" ht="44" customHeight="1">
      <x:c r="A240" s="29" t="str">
        <x:v>SRC-236</x:v>
      </x:c>
      <x:c r="B240" s="29" t="str">
        <x:f>IF(C240&gt;=93,"S",IF(C240&gt;=90,"A",IF(C240&gt;=80,"B","C")))</x:f>
        <x:v>B</x:v>
      </x:c>
      <x:c r="C240" s="72" t="n">
        <x:f>ROUND((P240*0.20+Q240*0.18+R240*0.20+S240*0.15+T240*0.12+U240*0.10+V240*0.05)*20,0)</x:f>
        <x:v>88</x:v>
      </x:c>
      <x:c r="D240" s="29" t="str">
        <x:v>新闻与调查</x:v>
      </x:c>
      <x:c r="E240" s="29" t="str">
        <x:v>学者时事解释</x:v>
      </x:c>
      <x:c r="F240" s="29" t="str">
        <x:v>The Conversation Global</x:v>
      </x:c>
      <x:c r="G240" s="29" t="str"/>
      <x:c r="H240" s="29" t="str">
        <x:v>学者署名新闻解释与研究评论</x:v>
      </x:c>
      <x:c r="I240" s="29" t="str">
        <x:v>en</x:v>
      </x:c>
      <x:c r="J240" s="29" t="str">
        <x:v>解释源</x:v>
      </x:c>
      <x:c r="K240" s="29" t="str">
        <x:v>Open</x:v>
      </x:c>
      <x:c r="L240" s="29" t="str">
        <x:v>每日高频</x:v>
      </x:c>
      <x:c r="M240" s="29" t="str">
        <x:v>https://theconversation.com/global</x:v>
      </x:c>
      <x:c r="N240" s="29" t="str">
        <x:v>https://theconversation.com/global/articles.atom</x:v>
      </x:c>
      <x:c r="O240" s="29" t="str">
        <x:v>有效</x:v>
      </x:c>
      <x:c r="P240" s="72" t="n">
        <x:v>4</x:v>
      </x:c>
      <x:c r="Q240" s="72" t="n">
        <x:v>5</x:v>
      </x:c>
      <x:c r="R240" s="72" t="n">
        <x:v>4</x:v>
      </x:c>
      <x:c r="S240" s="72" t="n">
        <x:v>5</x:v>
      </x:c>
      <x:c r="T240" s="72" t="n">
        <x:v>4</x:v>
      </x:c>
      <x:c r="U240" s="72" t="n">
        <x:v>4</x:v>
      </x:c>
      <x:c r="V240" s="72" t="n">
        <x:v>5</x:v>
      </x:c>
      <x:c r="W240" s="29" t="str">
        <x:v>专家解释、热点背景、研究转述；热点发生后补充研究者视角，并按主题建立过滤。</x:v>
      </x:c>
      <x:c r="X240" s="29" t="str">
        <x:v>作者所属机构和专业背景清晰，能在新闻发生后快速提供研究背景与概念解释。</x:v>
      </x:c>
      <x:c r="Y240" s="29" t="str">
        <x:v>Global Atom为站点标准订阅格式；最终事实引用宜继续链接论文或一手数据。；2026-08-17：采用 The Conversation 的标准区域 Atom 路径；目标阅读器导入时复验。</x:v>
      </x:c>
      <x:c r="Z240" s="75" t="b">
        <x:v>0</x:v>
      </x:c>
      <x:c r="AA240" s="29"/>
      <x:c r="AB240" s="29" t="str">
        <x:v>扩展调研：科技、科学与数据；扩展调研：人文、历史、哲学与设计</x:v>
      </x:c>
      <x:c r="AC240" s="29" t="str">
        <x:v>https://theconversation.com/global/articles.atom；https://theconversation.com/global</x:v>
      </x:c>
      <x:c r="AD240" s="29" t="str">
        <x:v>2026-08-17</x:v>
      </x:c>
      <x:c r="AE240" s="29" t="n">
        <x:v>200</x:v>
      </x:c>
      <x:c r="AF240" s="29" t="str">
        <x:v>https://theconversation.com/global/articles.atom</x:v>
      </x:c>
      <x:c r="AG240" s="29" t="str"/>
    </x:row>
    <x:row r="241" ht="44" customHeight="1">
      <x:c r="A241" s="29" t="str">
        <x:v>SRC-237</x:v>
      </x:c>
      <x:c r="B241" s="29" t="str">
        <x:f>IF(C241&gt;=93,"S",IF(C241&gt;=90,"A",IF(C241&gt;=80,"B","C")))</x:f>
        <x:v>B</x:v>
      </x:c>
      <x:c r="C241" s="72" t="n">
        <x:f>ROUND((P241*0.20+Q241*0.18+R241*0.20+S241*0.15+T241*0.12+U241*0.10+V241*0.05)*20,0)</x:f>
        <x:v>88</x:v>
      </x:c>
      <x:c r="D241" s="29" t="str">
        <x:v>科学与数学</x:v>
      </x:c>
      <x:c r="E241" s="29" t="str">
        <x:v>数学/可视化</x:v>
      </x:c>
      <x:c r="F241" s="29" t="str">
        <x:v>3Blue1Brown</x:v>
      </x:c>
      <x:c r="G241" s="29" t="str"/>
      <x:c r="H241" s="29" t="str">
        <x:v>视频 / 频道</x:v>
      </x:c>
      <x:c r="I241" s="29" t="str">
        <x:v>en</x:v>
      </x:c>
      <x:c r="J241" s="29" t="str">
        <x:v>解释源</x:v>
      </x:c>
      <x:c r="K241" s="29" t="str">
        <x:v>Open</x:v>
      </x:c>
      <x:c r="L241" s="29" t="str">
        <x:v>以频道更新为准</x:v>
      </x:c>
      <x:c r="M241" s="29" t="str">
        <x:v>https://www.youtube.com/channel/UCYO_jab_esuFRV4b17AJtAw</x:v>
      </x:c>
      <x:c r="N241" s="29" t="str">
        <x:v>https://www.youtube.com/feeds/videos.xml?channel_id=UCYO_jab_esuFRV4b17AJtAw</x:v>
      </x:c>
      <x:c r="O241" s="29" t="str">
        <x:v>有效</x:v>
      </x:c>
      <x:c r="P241" s="72" t="n">
        <x:v>4</x:v>
      </x:c>
      <x:c r="Q241" s="72" t="n">
        <x:v>5</x:v>
      </x:c>
      <x:c r="R241" s="72" t="n">
        <x:v>4</x:v>
      </x:c>
      <x:c r="S241" s="72" t="n">
        <x:v>5</x:v>
      </x:c>
      <x:c r="T241" s="72" t="n">
        <x:v>4</x:v>
      </x:c>
      <x:c r="U241" s="72" t="n">
        <x:v>4</x:v>
      </x:c>
      <x:c r="V241" s="72" t="n">
        <x:v>5</x:v>
      </x:c>
      <x:c r="W241" s="29" t="str">
        <x:v>视频观点拆解、概念科普、选题与案例线索</x:v>
      </x:c>
      <x:c r="X241" s="29" t="str">
        <x:v>高质量数学/可视化视频创作者，适合快速建立背景、观察叙事结构并发现可传播选题。</x:v>
      </x:c>
      <x:c r="Y241" s="29" t="str">
        <x:v>高质量解释源；具体数字和研究结论仍应回到论文、数据集或机构原文。</x:v>
      </x:c>
      <x:c r="Z241" s="75" t="b">
        <x:v>0</x:v>
      </x:c>
      <x:c r="AA241" s="29"/>
      <x:c r="AB241" s="29" t="str">
        <x:v>YouTube 高质量创作者</x:v>
      </x:c>
      <x:c r="AC241" s="29" t="str">
        <x:v>https://www.youtube.com/@3blue1brown</x:v>
      </x:c>
      <x:c r="AD241" s="29" t="str">
        <x:v>2026-08-17</x:v>
      </x:c>
      <x:c r="AE241" s="29" t="n">
        <x:v>200</x:v>
      </x:c>
      <x:c r="AF241" s="29" t="str">
        <x:v>https://www.youtube.com/feeds/videos.xml?channel_id=UCYO_jab_esuFRV4b17AJtAw</x:v>
      </x:c>
      <x:c r="AG241" s="29" t="str"/>
    </x:row>
    <x:row r="242" ht="44" customHeight="1">
      <x:c r="A242" s="29" t="str">
        <x:v>SRC-238</x:v>
      </x:c>
      <x:c r="B242" s="29" t="str">
        <x:f>IF(C242&gt;=93,"S",IF(C242&gt;=90,"A",IF(C242&gt;=80,"B","C")))</x:f>
        <x:v>B</x:v>
      </x:c>
      <x:c r="C242" s="72" t="n">
        <x:f>ROUND((P242*0.20+Q242*0.18+R242*0.20+S242*0.15+T242*0.12+U242*0.10+V242*0.05)*20,0)</x:f>
        <x:v>88</x:v>
      </x:c>
      <x:c r="D242" s="29" t="str">
        <x:v>科学与数学</x:v>
      </x:c>
      <x:c r="E242" s="29" t="str">
        <x:v>科学</x:v>
      </x:c>
      <x:c r="F242" s="29" t="str">
        <x:v>Be Smart</x:v>
      </x:c>
      <x:c r="G242" s="29" t="str"/>
      <x:c r="H242" s="29" t="str">
        <x:v>视频 / 频道</x:v>
      </x:c>
      <x:c r="I242" s="29" t="str">
        <x:v>en</x:v>
      </x:c>
      <x:c r="J242" s="29" t="str">
        <x:v>解释源</x:v>
      </x:c>
      <x:c r="K242" s="29" t="str">
        <x:v>Open</x:v>
      </x:c>
      <x:c r="L242" s="29" t="str">
        <x:v>以频道更新为准</x:v>
      </x:c>
      <x:c r="M242" s="29" t="str">
        <x:v>https://www.youtube.com/channel/UCH4BNI0-FOK2dMXoFtViWHw</x:v>
      </x:c>
      <x:c r="N242" s="29" t="str">
        <x:v>https://www.youtube.com/feeds/videos.xml?channel_id=UCH4BNI0-FOK2dMXoFtViWHw</x:v>
      </x:c>
      <x:c r="O242" s="29" t="str">
        <x:v>有效</x:v>
      </x:c>
      <x:c r="P242" s="72" t="n">
        <x:v>4</x:v>
      </x:c>
      <x:c r="Q242" s="72" t="n">
        <x:v>5</x:v>
      </x:c>
      <x:c r="R242" s="72" t="n">
        <x:v>4</x:v>
      </x:c>
      <x:c r="S242" s="72" t="n">
        <x:v>5</x:v>
      </x:c>
      <x:c r="T242" s="72" t="n">
        <x:v>4</x:v>
      </x:c>
      <x:c r="U242" s="72" t="n">
        <x:v>4</x:v>
      </x:c>
      <x:c r="V242" s="72" t="n">
        <x:v>5</x:v>
      </x:c>
      <x:c r="W242" s="29" t="str">
        <x:v>视频观点拆解、概念科普、选题与案例线索</x:v>
      </x:c>
      <x:c r="X242" s="29" t="str">
        <x:v>高质量科学视频创作者，适合快速建立背景、观察叙事结构并发现可传播选题。</x:v>
      </x:c>
      <x:c r="Y242" s="29" t="str">
        <x:v>高质量解释源；具体数字和研究结论仍应回到论文、数据集或机构原文。</x:v>
      </x:c>
      <x:c r="Z242" s="75" t="b">
        <x:v>0</x:v>
      </x:c>
      <x:c r="AA242" s="29"/>
      <x:c r="AB242" s="29" t="str">
        <x:v>YouTube 高质量创作者</x:v>
      </x:c>
      <x:c r="AC242" s="29" t="str">
        <x:v>https://www.youtube.com/@besmart</x:v>
      </x:c>
      <x:c r="AD242" s="29" t="str">
        <x:v>2026-08-17</x:v>
      </x:c>
      <x:c r="AE242" s="29" t="n">
        <x:v>200</x:v>
      </x:c>
      <x:c r="AF242" s="29" t="str">
        <x:v>https://www.youtube.com/feeds/videos.xml?channel_id=UCH4BNI0-FOK2dMXoFtViWHw</x:v>
      </x:c>
      <x:c r="AG242" s="29" t="str"/>
    </x:row>
    <x:row r="243" ht="44" customHeight="1">
      <x:c r="A243" s="29" t="str">
        <x:v>SRC-239</x:v>
      </x:c>
      <x:c r="B243" s="29" t="str">
        <x:f>IF(C243&gt;=93,"S",IF(C243&gt;=90,"A",IF(C243&gt;=80,"B","C")))</x:f>
        <x:v>B</x:v>
      </x:c>
      <x:c r="C243" s="72" t="n">
        <x:f>ROUND((P243*0.20+Q243*0.18+R243*0.20+S243*0.15+T243*0.12+U243*0.10+V243*0.05)*20,0)</x:f>
        <x:v>88</x:v>
      </x:c>
      <x:c r="D243" s="29" t="str">
        <x:v>科学与数学</x:v>
      </x:c>
      <x:c r="E243" s="29" t="str">
        <x:v>通识教育</x:v>
      </x:c>
      <x:c r="F243" s="29" t="str">
        <x:v>Crash Course</x:v>
      </x:c>
      <x:c r="G243" s="29" t="str"/>
      <x:c r="H243" s="29" t="str">
        <x:v>视频 / 频道</x:v>
      </x:c>
      <x:c r="I243" s="29" t="str">
        <x:v>en</x:v>
      </x:c>
      <x:c r="J243" s="29" t="str">
        <x:v>解释源</x:v>
      </x:c>
      <x:c r="K243" s="29" t="str">
        <x:v>Open</x:v>
      </x:c>
      <x:c r="L243" s="29" t="str">
        <x:v>以频道更新为准</x:v>
      </x:c>
      <x:c r="M243" s="29" t="str">
        <x:v>https://www.youtube.com/channel/UCX6b17PVsYBQ0ip5gyeme-Q</x:v>
      </x:c>
      <x:c r="N243" s="29" t="str">
        <x:v>https://www.youtube.com/feeds/videos.xml?channel_id=UCX6b17PVsYBQ0ip5gyeme-Q</x:v>
      </x:c>
      <x:c r="O243" s="29" t="str">
        <x:v>有效</x:v>
      </x:c>
      <x:c r="P243" s="72" t="n">
        <x:v>4</x:v>
      </x:c>
      <x:c r="Q243" s="72" t="n">
        <x:v>5</x:v>
      </x:c>
      <x:c r="R243" s="72" t="n">
        <x:v>4</x:v>
      </x:c>
      <x:c r="S243" s="72" t="n">
        <x:v>5</x:v>
      </x:c>
      <x:c r="T243" s="72" t="n">
        <x:v>4</x:v>
      </x:c>
      <x:c r="U243" s="72" t="n">
        <x:v>4</x:v>
      </x:c>
      <x:c r="V243" s="72" t="n">
        <x:v>5</x:v>
      </x:c>
      <x:c r="W243" s="29" t="str">
        <x:v>视频观点拆解、概念科普、选题与案例线索</x:v>
      </x:c>
      <x:c r="X243" s="29" t="str">
        <x:v>高质量通识教育视频创作者，适合快速建立背景、观察叙事结构并发现可传播选题。</x:v>
      </x:c>
      <x:c r="Y243" s="29" t="str">
        <x:v>高质量解释源；具体数字和研究结论仍应回到论文、数据集或机构原文。</x:v>
      </x:c>
      <x:c r="Z243" s="75" t="b">
        <x:v>0</x:v>
      </x:c>
      <x:c r="AA243" s="29"/>
      <x:c r="AB243" s="29" t="str">
        <x:v>YouTube 高质量创作者</x:v>
      </x:c>
      <x:c r="AC243" s="29" t="str">
        <x:v>https://www.youtube.com/@crashcourse</x:v>
      </x:c>
      <x:c r="AD243" s="29" t="str">
        <x:v>2026-08-17</x:v>
      </x:c>
      <x:c r="AE243" s="29" t="n">
        <x:v>200</x:v>
      </x:c>
      <x:c r="AF243" s="29" t="str">
        <x:v>https://www.youtube.com/feeds/videos.xml?channel_id=UCX6b17PVsYBQ0ip5gyeme-Q</x:v>
      </x:c>
      <x:c r="AG243" s="29" t="str"/>
    </x:row>
    <x:row r="244" ht="44" customHeight="1">
      <x:c r="A244" s="29" t="str">
        <x:v>SRC-240</x:v>
      </x:c>
      <x:c r="B244" s="29" t="str">
        <x:f>IF(C244&gt;=93,"S",IF(C244&gt;=90,"A",IF(C244&gt;=80,"B","C")))</x:f>
        <x:v>B</x:v>
      </x:c>
      <x:c r="C244" s="72" t="n">
        <x:f>ROUND((P244*0.20+Q244*0.18+R244*0.20+S244*0.15+T244*0.12+U244*0.10+V244*0.05)*20,0)</x:f>
        <x:v>88</x:v>
      </x:c>
      <x:c r="D244" s="29" t="str">
        <x:v>科学与数学</x:v>
      </x:c>
      <x:c r="E244" s="29" t="str">
        <x:v>自然/微观影像</x:v>
      </x:c>
      <x:c r="F244" s="29" t="str">
        <x:v>Deep Look</x:v>
      </x:c>
      <x:c r="G244" s="29" t="str"/>
      <x:c r="H244" s="29" t="str">
        <x:v>视频 / 频道</x:v>
      </x:c>
      <x:c r="I244" s="29" t="str">
        <x:v>en</x:v>
      </x:c>
      <x:c r="J244" s="29" t="str">
        <x:v>解释源</x:v>
      </x:c>
      <x:c r="K244" s="29" t="str">
        <x:v>Open</x:v>
      </x:c>
      <x:c r="L244" s="29" t="str">
        <x:v>以频道更新为准</x:v>
      </x:c>
      <x:c r="M244" s="29" t="str">
        <x:v>https://www.youtube.com/channel/UC-3SbfTPJsL8fJAPKiVqBLg</x:v>
      </x:c>
      <x:c r="N244" s="29" t="str">
        <x:v>https://www.youtube.com/feeds/videos.xml?channel_id=UC-3SbfTPJsL8fJAPKiVqBLg</x:v>
      </x:c>
      <x:c r="O244" s="29" t="str">
        <x:v>有效</x:v>
      </x:c>
      <x:c r="P244" s="72" t="n">
        <x:v>4</x:v>
      </x:c>
      <x:c r="Q244" s="72" t="n">
        <x:v>5</x:v>
      </x:c>
      <x:c r="R244" s="72" t="n">
        <x:v>4</x:v>
      </x:c>
      <x:c r="S244" s="72" t="n">
        <x:v>5</x:v>
      </x:c>
      <x:c r="T244" s="72" t="n">
        <x:v>4</x:v>
      </x:c>
      <x:c r="U244" s="72" t="n">
        <x:v>4</x:v>
      </x:c>
      <x:c r="V244" s="72" t="n">
        <x:v>5</x:v>
      </x:c>
      <x:c r="W244" s="29" t="str">
        <x:v>视频观点拆解、概念科普、选题与案例线索</x:v>
      </x:c>
      <x:c r="X244" s="29" t="str">
        <x:v>高质量自然/微观影像视频创作者，适合快速建立背景、观察叙事结构并发现可传播选题。</x:v>
      </x:c>
      <x:c r="Y244" s="29" t="str">
        <x:v>高质量解释源；具体数字和研究结论仍应回到论文、数据集或机构原文。</x:v>
      </x:c>
      <x:c r="Z244" s="75" t="b">
        <x:v>0</x:v>
      </x:c>
      <x:c r="AA244" s="29"/>
      <x:c r="AB244" s="29" t="str">
        <x:v>YouTube 高质量创作者</x:v>
      </x:c>
      <x:c r="AC244" s="29" t="str">
        <x:v>https://www.youtube.com/@KQEDDeepLook</x:v>
      </x:c>
      <x:c r="AD244" s="29" t="str">
        <x:v>2026-08-17</x:v>
      </x:c>
      <x:c r="AE244" s="29" t="n">
        <x:v>200</x:v>
      </x:c>
      <x:c r="AF244" s="29" t="str">
        <x:v>https://www.youtube.com/feeds/videos.xml?channel_id=UC-3SbfTPJsL8fJAPKiVqBLg</x:v>
      </x:c>
      <x:c r="AG244" s="29" t="str"/>
    </x:row>
    <x:row r="245" ht="44" customHeight="1">
      <x:c r="A245" s="29" t="str">
        <x:v>SRC-241</x:v>
      </x:c>
      <x:c r="B245" s="29" t="str">
        <x:f>IF(C245&gt;=93,"S",IF(C245&gt;=90,"A",IF(C245&gt;=80,"B","C")))</x:f>
        <x:v>B</x:v>
      </x:c>
      <x:c r="C245" s="72" t="n">
        <x:f>ROUND((P245*0.20+Q245*0.18+R245*0.20+S245*0.15+T245*0.12+U245*0.10+V245*0.05)*20,0)</x:f>
        <x:v>88</x:v>
      </x:c>
      <x:c r="D245" s="29" t="str">
        <x:v>科学与数学</x:v>
      </x:c>
      <x:c r="E245" s="29" t="str">
        <x:v>科学综述与解释</x:v>
      </x:c>
      <x:c r="F245" s="29" t="str">
        <x:v>Knowable Magazine</x:v>
      </x:c>
      <x:c r="G245" s="29" t="str"/>
      <x:c r="H245" s="29" t="str">
        <x:v>基于Annual Reviews的综述型科学报道</x:v>
      </x:c>
      <x:c r="I245" s="29" t="str">
        <x:v>en</x:v>
      </x:c>
      <x:c r="J245" s="29" t="str">
        <x:v>解释源</x:v>
      </x:c>
      <x:c r="K245" s="29" t="str">
        <x:v>Open</x:v>
      </x:c>
      <x:c r="L245" s="29" t="str">
        <x:v>每周2至4篇</x:v>
      </x:c>
      <x:c r="M245" s="29" t="str">
        <x:v>https://knowablemagazine.org/</x:v>
      </x:c>
      <x:c r="N245" s="29" t="str">
        <x:v>https://knowablemagazine.org/rss</x:v>
      </x:c>
      <x:c r="O245" s="29" t="str">
        <x:v>有效</x:v>
      </x:c>
      <x:c r="P245" s="72" t="n">
        <x:v>4</x:v>
      </x:c>
      <x:c r="Q245" s="72" t="n">
        <x:v>5</x:v>
      </x:c>
      <x:c r="R245" s="72" t="n">
        <x:v>4</x:v>
      </x:c>
      <x:c r="S245" s="72" t="n">
        <x:v>5</x:v>
      </x:c>
      <x:c r="T245" s="72" t="n">
        <x:v>4</x:v>
      </x:c>
      <x:c r="U245" s="72" t="n">
        <x:v>4</x:v>
      </x:c>
      <x:c r="V245" s="72" t="n">
        <x:v>5</x:v>
      </x:c>
      <x:c r="W245" s="29" t="str">
        <x:v>领域共识、综述型长帖、科学背景</x:v>
      </x:c>
      <x:c r="X245" s="29" t="str">
        <x:v>连接领域综述和大众叙事，能避免过度追逐单篇研究。</x:v>
      </x:c>
      <x:c r="Y245" s="29" t="str">
        <x:v>官方RSS地址已核验。</x:v>
      </x:c>
      <x:c r="Z245" s="75" t="b">
        <x:v>0</x:v>
      </x:c>
      <x:c r="AA245" s="29"/>
      <x:c r="AB245" s="29" t="str">
        <x:v>扩展调研：科技、科学与数据</x:v>
      </x:c>
      <x:c r="AC245" s="29" t="str">
        <x:v>https://knowablemagazine.org/rss</x:v>
      </x:c>
      <x:c r="AD245" s="29" t="str">
        <x:v>2026-08-17</x:v>
      </x:c>
      <x:c r="AE245" s="29" t="n">
        <x:v>200</x:v>
      </x:c>
      <x:c r="AF245" s="29" t="str">
        <x:v>https://knowablemagazine.org/rss</x:v>
      </x:c>
      <x:c r="AG245" s="29" t="str"/>
    </x:row>
    <x:row r="246" ht="44" customHeight="1">
      <x:c r="A246" s="29" t="str">
        <x:v>SRC-242</x:v>
      </x:c>
      <x:c r="B246" s="29" t="str">
        <x:f>IF(C246&gt;=93,"S",IF(C246&gt;=90,"A",IF(C246&gt;=80,"B","C")))</x:f>
        <x:v>B</x:v>
      </x:c>
      <x:c r="C246" s="72" t="n">
        <x:f>ROUND((P246*0.20+Q246*0.18+R246*0.20+S246*0.15+T246*0.12+U246*0.10+V246*0.05)*20,0)</x:f>
        <x:v>88</x:v>
      </x:c>
      <x:c r="D246" s="29" t="str">
        <x:v>科学与数学</x:v>
      </x:c>
      <x:c r="E246" s="29" t="str">
        <x:v>科学/社会</x:v>
      </x:c>
      <x:c r="F246" s="29" t="str">
        <x:v>Kurzgesagt</x:v>
      </x:c>
      <x:c r="G246" s="29" t="str"/>
      <x:c r="H246" s="29" t="str">
        <x:v>视频 / 频道</x:v>
      </x:c>
      <x:c r="I246" s="29" t="str">
        <x:v>en</x:v>
      </x:c>
      <x:c r="J246" s="29" t="str">
        <x:v>解释源</x:v>
      </x:c>
      <x:c r="K246" s="29" t="str">
        <x:v>Open</x:v>
      </x:c>
      <x:c r="L246" s="29" t="str">
        <x:v>以频道更新为准</x:v>
      </x:c>
      <x:c r="M246" s="29" t="str">
        <x:v>https://www.youtube.com/channel/UCsXVk37bltHxD1rDPwtNM8Q</x:v>
      </x:c>
      <x:c r="N246" s="29" t="str">
        <x:v>https://www.youtube.com/feeds/videos.xml?channel_id=UCsXVk37bltHxD1rDPwtNM8Q</x:v>
      </x:c>
      <x:c r="O246" s="29" t="str">
        <x:v>有效</x:v>
      </x:c>
      <x:c r="P246" s="72" t="n">
        <x:v>4</x:v>
      </x:c>
      <x:c r="Q246" s="72" t="n">
        <x:v>5</x:v>
      </x:c>
      <x:c r="R246" s="72" t="n">
        <x:v>4</x:v>
      </x:c>
      <x:c r="S246" s="72" t="n">
        <x:v>5</x:v>
      </x:c>
      <x:c r="T246" s="72" t="n">
        <x:v>4</x:v>
      </x:c>
      <x:c r="U246" s="72" t="n">
        <x:v>4</x:v>
      </x:c>
      <x:c r="V246" s="72" t="n">
        <x:v>5</x:v>
      </x:c>
      <x:c r="W246" s="29" t="str">
        <x:v>视频观点拆解、概念科普、选题与案例线索</x:v>
      </x:c>
      <x:c r="X246" s="29" t="str">
        <x:v>高质量科学/社会视频创作者，适合快速建立背景、观察叙事结构并发现可传播选题。</x:v>
      </x:c>
      <x:c r="Y246" s="29" t="str">
        <x:v>高质量解释源；具体数字和研究结论仍应回到论文、数据集或机构原文。</x:v>
      </x:c>
      <x:c r="Z246" s="75" t="b">
        <x:v>0</x:v>
      </x:c>
      <x:c r="AA246" s="29"/>
      <x:c r="AB246" s="29" t="str">
        <x:v>YouTube 高质量创作者</x:v>
      </x:c>
      <x:c r="AC246" s="29" t="str">
        <x:v>https://www.youtube.com/@kurzgesagt</x:v>
      </x:c>
      <x:c r="AD246" s="29" t="str">
        <x:v>2026-08-17</x:v>
      </x:c>
      <x:c r="AE246" s="29" t="n">
        <x:v>200</x:v>
      </x:c>
      <x:c r="AF246" s="29" t="str">
        <x:v>https://www.youtube.com/feeds/videos.xml?channel_id=UCsXVk37bltHxD1rDPwtNM8Q</x:v>
      </x:c>
      <x:c r="AG246" s="29" t="str"/>
    </x:row>
    <x:row r="247" ht="44" customHeight="1">
      <x:c r="A247" s="29" t="str">
        <x:v>SRC-243</x:v>
      </x:c>
      <x:c r="B247" s="29" t="str">
        <x:f>IF(C247&gt;=93,"S",IF(C247&gt;=90,"A",IF(C247&gt;=80,"B","C")))</x:f>
        <x:v>B</x:v>
      </x:c>
      <x:c r="C247" s="72" t="n">
        <x:f>ROUND((P247*0.20+Q247*0.18+R247*0.20+S247*0.15+T247*0.12+U247*0.10+V247*0.05)*20,0)</x:f>
        <x:v>88</x:v>
      </x:c>
      <x:c r="D247" s="29" t="str">
        <x:v>科学与数学</x:v>
      </x:c>
      <x:c r="E247" s="29" t="str">
        <x:v>物理</x:v>
      </x:c>
      <x:c r="F247" s="29" t="str">
        <x:v>minutephysics</x:v>
      </x:c>
      <x:c r="G247" s="29" t="str"/>
      <x:c r="H247" s="29" t="str">
        <x:v>视频 / 频道</x:v>
      </x:c>
      <x:c r="I247" s="29" t="str">
        <x:v>en</x:v>
      </x:c>
      <x:c r="J247" s="29" t="str">
        <x:v>解释源</x:v>
      </x:c>
      <x:c r="K247" s="29" t="str">
        <x:v>Open</x:v>
      </x:c>
      <x:c r="L247" s="29" t="str">
        <x:v>以频道更新为准</x:v>
      </x:c>
      <x:c r="M247" s="29" t="str">
        <x:v>https://www.youtube.com/channel/UCUHW94eEFW7hkUMVaZz4eDg</x:v>
      </x:c>
      <x:c r="N247" s="29" t="str">
        <x:v>https://www.youtube.com/feeds/videos.xml?channel_id=UCUHW94eEFW7hkUMVaZz4eDg</x:v>
      </x:c>
      <x:c r="O247" s="29" t="str">
        <x:v>有效</x:v>
      </x:c>
      <x:c r="P247" s="72" t="n">
        <x:v>4</x:v>
      </x:c>
      <x:c r="Q247" s="72" t="n">
        <x:v>5</x:v>
      </x:c>
      <x:c r="R247" s="72" t="n">
        <x:v>4</x:v>
      </x:c>
      <x:c r="S247" s="72" t="n">
        <x:v>5</x:v>
      </x:c>
      <x:c r="T247" s="72" t="n">
        <x:v>4</x:v>
      </x:c>
      <x:c r="U247" s="72" t="n">
        <x:v>4</x:v>
      </x:c>
      <x:c r="V247" s="72" t="n">
        <x:v>5</x:v>
      </x:c>
      <x:c r="W247" s="29" t="str">
        <x:v>视频观点拆解、概念科普、选题与案例线索</x:v>
      </x:c>
      <x:c r="X247" s="29" t="str">
        <x:v>高质量物理视频创作者，适合快速建立背景、观察叙事结构并发现可传播选题。</x:v>
      </x:c>
      <x:c r="Y247" s="29" t="str">
        <x:v>高质量解释源；具体数字和研究结论仍应回到论文、数据集或机构原文。</x:v>
      </x:c>
      <x:c r="Z247" s="75" t="b">
        <x:v>0</x:v>
      </x:c>
      <x:c r="AA247" s="29"/>
      <x:c r="AB247" s="29" t="str">
        <x:v>YouTube 高质量创作者</x:v>
      </x:c>
      <x:c r="AC247" s="29" t="str">
        <x:v>https://www.youtube.com/@minutephysics</x:v>
      </x:c>
      <x:c r="AD247" s="29" t="str">
        <x:v>2026-08-17</x:v>
      </x:c>
      <x:c r="AE247" s="29" t="n">
        <x:v>200</x:v>
      </x:c>
      <x:c r="AF247" s="29" t="str">
        <x:v>https://www.youtube.com/feeds/videos.xml?channel_id=UCUHW94eEFW7hkUMVaZz4eDg</x:v>
      </x:c>
      <x:c r="AG247" s="29" t="str"/>
    </x:row>
    <x:row r="248" ht="44" customHeight="1">
      <x:c r="A248" s="29" t="str">
        <x:v>SRC-244</x:v>
      </x:c>
      <x:c r="B248" s="29" t="str">
        <x:f>IF(C248&gt;=93,"S",IF(C248&gt;=90,"A",IF(C248&gt;=80,"B","C")))</x:f>
        <x:v>B</x:v>
      </x:c>
      <x:c r="C248" s="72" t="n">
        <x:f>ROUND((P248*0.20+Q248*0.18+R248*0.20+S248*0.15+T248*0.12+U248*0.10+V248*0.05)*20,0)</x:f>
        <x:v>88</x:v>
      </x:c>
      <x:c r="D248" s="29" t="str">
        <x:v>科学与数学</x:v>
      </x:c>
      <x:c r="E248" s="29" t="str">
        <x:v>数学</x:v>
      </x:c>
      <x:c r="F248" s="29" t="str">
        <x:v>Numberphile</x:v>
      </x:c>
      <x:c r="G248" s="29" t="str"/>
      <x:c r="H248" s="29" t="str">
        <x:v>视频 / 频道</x:v>
      </x:c>
      <x:c r="I248" s="29" t="str">
        <x:v>en</x:v>
      </x:c>
      <x:c r="J248" s="29" t="str">
        <x:v>解释源</x:v>
      </x:c>
      <x:c r="K248" s="29" t="str">
        <x:v>Open</x:v>
      </x:c>
      <x:c r="L248" s="29" t="str">
        <x:v>以频道更新为准</x:v>
      </x:c>
      <x:c r="M248" s="29" t="str">
        <x:v>https://www.youtube.com/channel/UCoxcjq-8xIDTYp3uz647V5A</x:v>
      </x:c>
      <x:c r="N248" s="29" t="str">
        <x:v>https://www.youtube.com/feeds/videos.xml?channel_id=UCoxcjq-8xIDTYp3uz647V5A</x:v>
      </x:c>
      <x:c r="O248" s="29" t="str">
        <x:v>有效</x:v>
      </x:c>
      <x:c r="P248" s="72" t="n">
        <x:v>4</x:v>
      </x:c>
      <x:c r="Q248" s="72" t="n">
        <x:v>5</x:v>
      </x:c>
      <x:c r="R248" s="72" t="n">
        <x:v>4</x:v>
      </x:c>
      <x:c r="S248" s="72" t="n">
        <x:v>5</x:v>
      </x:c>
      <x:c r="T248" s="72" t="n">
        <x:v>4</x:v>
      </x:c>
      <x:c r="U248" s="72" t="n">
        <x:v>4</x:v>
      </x:c>
      <x:c r="V248" s="72" t="n">
        <x:v>5</x:v>
      </x:c>
      <x:c r="W248" s="29" t="str">
        <x:v>视频观点拆解、概念科普、选题与案例线索</x:v>
      </x:c>
      <x:c r="X248" s="29" t="str">
        <x:v>高质量数学视频创作者，适合快速建立背景、观察叙事结构并发现可传播选题。</x:v>
      </x:c>
      <x:c r="Y248" s="29" t="str">
        <x:v>高质量解释源；具体数字和研究结论仍应回到论文、数据集或机构原文。</x:v>
      </x:c>
      <x:c r="Z248" s="75" t="b">
        <x:v>0</x:v>
      </x:c>
      <x:c r="AA248" s="29"/>
      <x:c r="AB248" s="29" t="str">
        <x:v>YouTube 高质量创作者</x:v>
      </x:c>
      <x:c r="AC248" s="29" t="str">
        <x:v>https://www.youtube.com/@numberphile</x:v>
      </x:c>
      <x:c r="AD248" s="29" t="str">
        <x:v>2026-08-17</x:v>
      </x:c>
      <x:c r="AE248" s="29" t="n">
        <x:v>200</x:v>
      </x:c>
      <x:c r="AF248" s="29" t="str">
        <x:v>https://www.youtube.com/feeds/videos.xml?channel_id=UCoxcjq-8xIDTYp3uz647V5A</x:v>
      </x:c>
      <x:c r="AG248" s="29" t="str"/>
    </x:row>
    <x:row r="249" ht="44" customHeight="1">
      <x:c r="A249" s="29" t="str">
        <x:v>SRC-245</x:v>
      </x:c>
      <x:c r="B249" s="29" t="str">
        <x:f>IF(C249&gt;=93,"S",IF(C249&gt;=90,"A",IF(C249&gt;=80,"B","C")))</x:f>
        <x:v>B</x:v>
      </x:c>
      <x:c r="C249" s="72" t="n">
        <x:f>ROUND((P249*0.20+Q249*0.18+R249*0.20+S249*0.15+T249*0.12+U249*0.10+V249*0.05)*20,0)</x:f>
        <x:v>88</x:v>
      </x:c>
      <x:c r="D249" s="29" t="str">
        <x:v>科学与数学</x:v>
      </x:c>
      <x:c r="E249" s="29" t="str">
        <x:v>数学、物理、生命与计算科学</x:v>
      </x:c>
      <x:c r="F249" s="29" t="str">
        <x:v>Quanta Magazine</x:v>
      </x:c>
      <x:c r="G249" s="29" t="str"/>
      <x:c r="H249" s="29" t="str">
        <x:v>深度科学报道、可视化解释</x:v>
      </x:c>
      <x:c r="I249" s="29" t="str">
        <x:v>en</x:v>
      </x:c>
      <x:c r="J249" s="29" t="str">
        <x:v>解释源</x:v>
      </x:c>
      <x:c r="K249" s="29" t="str">
        <x:v>Open</x:v>
      </x:c>
      <x:c r="L249" s="29" t="str">
        <x:v>每周约3至6篇</x:v>
      </x:c>
      <x:c r="M249" s="29" t="str">
        <x:v>https://www.quantamagazine.org/</x:v>
      </x:c>
      <x:c r="N249" s="29" t="str">
        <x:v>https://www.quantamagazine.org/feed/</x:v>
      </x:c>
      <x:c r="O249" s="29" t="str">
        <x:v>有效</x:v>
      </x:c>
      <x:c r="P249" s="72" t="n">
        <x:v>4</x:v>
      </x:c>
      <x:c r="Q249" s="72" t="n">
        <x:v>5</x:v>
      </x:c>
      <x:c r="R249" s="72" t="n">
        <x:v>4</x:v>
      </x:c>
      <x:c r="S249" s="72" t="n">
        <x:v>5</x:v>
      </x:c>
      <x:c r="T249" s="72" t="n">
        <x:v>4</x:v>
      </x:c>
      <x:c r="U249" s="72" t="n">
        <x:v>4</x:v>
      </x:c>
      <x:c r="V249" s="72" t="n">
        <x:v>5</x:v>
      </x:c>
      <x:c r="W249" s="29" t="str">
        <x:v>科学故事、概念科普、人物与发现；难概念拆解、研究突破和一张图理解一个理论。</x:v>
      </x:c>
      <x:c r="X249" s="29" t="str">
        <x:v>非营利科学新闻，解释严谨、图示优秀，适合作为复杂研究的高质量二手解释入口。</x:v>
      </x:c>
      <x:c r="Y249" s="29" t="str">
        <x:v>主站Feed端点已核验为RSS。；2026-08-17：Feed 端点返回 application/rss+xml。</x:v>
      </x:c>
      <x:c r="Z249" s="75" t="b">
        <x:v>0</x:v>
      </x:c>
      <x:c r="AA249" s="29"/>
      <x:c r="AB249" s="29" t="str">
        <x:v>扩展调研：科技、科学与数据；扩展调研：人文、历史、哲学与设计</x:v>
      </x:c>
      <x:c r="AC249" s="29" t="str">
        <x:v>https://www.quantamagazine.org/feed/；https://www.quantamagazine.org/</x:v>
      </x:c>
      <x:c r="AD249" s="29" t="str">
        <x:v>2026-08-17</x:v>
      </x:c>
      <x:c r="AE249" s="29" t="n">
        <x:v>200</x:v>
      </x:c>
      <x:c r="AF249" s="29" t="str">
        <x:v>https://www.quantamagazine.org/feed/</x:v>
      </x:c>
      <x:c r="AG249" s="29" t="str"/>
    </x:row>
    <x:row r="250" ht="44" customHeight="1">
      <x:c r="A250" s="29" t="str">
        <x:v>SRC-246</x:v>
      </x:c>
      <x:c r="B250" s="29" t="str">
        <x:f>IF(C250&gt;=93,"S",IF(C250&gt;=90,"A",IF(C250&gt;=80,"B","C")))</x:f>
        <x:v>B</x:v>
      </x:c>
      <x:c r="C250" s="72" t="n">
        <x:f>ROUND((P250*0.20+Q250*0.18+R250*0.20+S250*0.15+T250*0.12+U250*0.10+V250*0.05)*20,0)</x:f>
        <x:v>88</x:v>
      </x:c>
      <x:c r="D250" s="29" t="str">
        <x:v>科学与数学</x:v>
      </x:c>
      <x:c r="E250" s="29" t="str">
        <x:v>工程/科学</x:v>
      </x:c>
      <x:c r="F250" s="29" t="str">
        <x:v>Smarter Every Day</x:v>
      </x:c>
      <x:c r="G250" s="29" t="str"/>
      <x:c r="H250" s="29" t="str">
        <x:v>视频 / 频道</x:v>
      </x:c>
      <x:c r="I250" s="29" t="str">
        <x:v>en</x:v>
      </x:c>
      <x:c r="J250" s="29" t="str">
        <x:v>解释源</x:v>
      </x:c>
      <x:c r="K250" s="29" t="str">
        <x:v>Open</x:v>
      </x:c>
      <x:c r="L250" s="29" t="str">
        <x:v>以频道更新为准</x:v>
      </x:c>
      <x:c r="M250" s="29" t="str">
        <x:v>https://www.youtube.com/channel/UC6107grRI4m0o2-emgoDnAA</x:v>
      </x:c>
      <x:c r="N250" s="29" t="str">
        <x:v>https://www.youtube.com/feeds/videos.xml?channel_id=UC6107grRI4m0o2-emgoDnAA</x:v>
      </x:c>
      <x:c r="O250" s="29" t="str">
        <x:v>有效</x:v>
      </x:c>
      <x:c r="P250" s="72" t="n">
        <x:v>4</x:v>
      </x:c>
      <x:c r="Q250" s="72" t="n">
        <x:v>5</x:v>
      </x:c>
      <x:c r="R250" s="72" t="n">
        <x:v>4</x:v>
      </x:c>
      <x:c r="S250" s="72" t="n">
        <x:v>5</x:v>
      </x:c>
      <x:c r="T250" s="72" t="n">
        <x:v>4</x:v>
      </x:c>
      <x:c r="U250" s="72" t="n">
        <x:v>4</x:v>
      </x:c>
      <x:c r="V250" s="72" t="n">
        <x:v>5</x:v>
      </x:c>
      <x:c r="W250" s="29" t="str">
        <x:v>视频观点拆解、概念科普、选题与案例线索</x:v>
      </x:c>
      <x:c r="X250" s="29" t="str">
        <x:v>高质量工程/科学视频创作者，适合快速建立背景、观察叙事结构并发现可传播选题。</x:v>
      </x:c>
      <x:c r="Y250" s="29" t="str">
        <x:v>高质量解释源；具体数字和研究结论仍应回到论文、数据集或机构原文。</x:v>
      </x:c>
      <x:c r="Z250" s="75" t="b">
        <x:v>0</x:v>
      </x:c>
      <x:c r="AA250" s="29"/>
      <x:c r="AB250" s="29" t="str">
        <x:v>YouTube 高质量创作者</x:v>
      </x:c>
      <x:c r="AC250" s="29" t="str">
        <x:v>https://www.youtube.com/@smartereveryday</x:v>
      </x:c>
      <x:c r="AD250" s="29" t="str">
        <x:v>2026-08-17</x:v>
      </x:c>
      <x:c r="AE250" s="29" t="n">
        <x:v>200</x:v>
      </x:c>
      <x:c r="AF250" s="29" t="str">
        <x:v>https://www.youtube.com/feeds/videos.xml?channel_id=UC6107grRI4m0o2-emgoDnAA</x:v>
      </x:c>
      <x:c r="AG250" s="29" t="str"/>
    </x:row>
    <x:row r="251" ht="44" customHeight="1">
      <x:c r="A251" s="29" t="str">
        <x:v>SRC-247</x:v>
      </x:c>
      <x:c r="B251" s="29" t="str">
        <x:f>IF(C251&gt;=93,"S",IF(C251&gt;=90,"A",IF(C251&gt;=80,"B","C")))</x:f>
        <x:v>B</x:v>
      </x:c>
      <x:c r="C251" s="72" t="n">
        <x:f>ROUND((P251*0.20+Q251*0.18+R251*0.20+S251*0.15+T251*0.12+U251*0.10+V251*0.05)*20,0)</x:f>
        <x:v>88</x:v>
      </x:c>
      <x:c r="D251" s="29" t="str">
        <x:v>科学与数学</x:v>
      </x:c>
      <x:c r="E251" s="29" t="str">
        <x:v>数学</x:v>
      </x:c>
      <x:c r="F251" s="29" t="str">
        <x:v>Stand-up Maths</x:v>
      </x:c>
      <x:c r="G251" s="29" t="str"/>
      <x:c r="H251" s="29" t="str">
        <x:v>视频 / 频道</x:v>
      </x:c>
      <x:c r="I251" s="29" t="str">
        <x:v>en</x:v>
      </x:c>
      <x:c r="J251" s="29" t="str">
        <x:v>解释源</x:v>
      </x:c>
      <x:c r="K251" s="29" t="str">
        <x:v>Open</x:v>
      </x:c>
      <x:c r="L251" s="29" t="str">
        <x:v>以频道更新为准</x:v>
      </x:c>
      <x:c r="M251" s="29" t="str">
        <x:v>https://www.youtube.com/channel/UCSju5G2aFaWMqn-_0YBtq5A</x:v>
      </x:c>
      <x:c r="N251" s="29" t="str">
        <x:v>https://www.youtube.com/feeds/videos.xml?channel_id=UCSju5G2aFaWMqn-_0YBtq5A</x:v>
      </x:c>
      <x:c r="O251" s="29" t="str">
        <x:v>有效</x:v>
      </x:c>
      <x:c r="P251" s="72" t="n">
        <x:v>4</x:v>
      </x:c>
      <x:c r="Q251" s="72" t="n">
        <x:v>5</x:v>
      </x:c>
      <x:c r="R251" s="72" t="n">
        <x:v>4</x:v>
      </x:c>
      <x:c r="S251" s="72" t="n">
        <x:v>5</x:v>
      </x:c>
      <x:c r="T251" s="72" t="n">
        <x:v>4</x:v>
      </x:c>
      <x:c r="U251" s="72" t="n">
        <x:v>4</x:v>
      </x:c>
      <x:c r="V251" s="72" t="n">
        <x:v>5</x:v>
      </x:c>
      <x:c r="W251" s="29" t="str">
        <x:v>视频观点拆解、概念科普、选题与案例线索</x:v>
      </x:c>
      <x:c r="X251" s="29" t="str">
        <x:v>高质量数学视频创作者，适合快速建立背景、观察叙事结构并发现可传播选题。</x:v>
      </x:c>
      <x:c r="Y251" s="29" t="str">
        <x:v>高质量解释源；具体数字和研究结论仍应回到论文、数据集或机构原文。</x:v>
      </x:c>
      <x:c r="Z251" s="75" t="b">
        <x:v>0</x:v>
      </x:c>
      <x:c r="AA251" s="29"/>
      <x:c r="AB251" s="29" t="str">
        <x:v>YouTube 高质量创作者</x:v>
      </x:c>
      <x:c r="AC251" s="29" t="str">
        <x:v>https://www.youtube.com/@standupmaths</x:v>
      </x:c>
      <x:c r="AD251" s="29" t="str">
        <x:v>2026-08-17</x:v>
      </x:c>
      <x:c r="AE251" s="29" t="n">
        <x:v>200</x:v>
      </x:c>
      <x:c r="AF251" s="29" t="str">
        <x:v>https://www.youtube.com/feeds/videos.xml?channel_id=UCSju5G2aFaWMqn-_0YBtq5A</x:v>
      </x:c>
      <x:c r="AG251" s="29" t="str"/>
    </x:row>
    <x:row r="252" ht="44" customHeight="1">
      <x:c r="A252" s="29" t="str">
        <x:v>SRC-248</x:v>
      </x:c>
      <x:c r="B252" s="29" t="str">
        <x:f>IF(C252&gt;=93,"S",IF(C252&gt;=90,"A",IF(C252&gt;=80,"B","C")))</x:f>
        <x:v>B</x:v>
      </x:c>
      <x:c r="C252" s="72" t="n">
        <x:f>ROUND((P252*0.20+Q252*0.18+R252*0.20+S252*0.15+T252*0.12+U252*0.10+V252*0.05)*20,0)</x:f>
        <x:v>88</x:v>
      </x:c>
      <x:c r="D252" s="29" t="str">
        <x:v>科学与数学</x:v>
      </x:c>
      <x:c r="E252" s="29" t="str">
        <x:v>科学、健康与社会调查</x:v>
      </x:c>
      <x:c r="F252" s="29" t="str">
        <x:v>Undark</x:v>
      </x:c>
      <x:c r="G252" s="29" t="str"/>
      <x:c r="H252" s="29" t="str">
        <x:v>调查报道、评论、事实核查</x:v>
      </x:c>
      <x:c r="I252" s="29" t="str">
        <x:v>en</x:v>
      </x:c>
      <x:c r="J252" s="29" t="str">
        <x:v>解释源</x:v>
      </x:c>
      <x:c r="K252" s="29" t="str">
        <x:v>Open</x:v>
      </x:c>
      <x:c r="L252" s="29" t="str">
        <x:v>每周约3至5篇</x:v>
      </x:c>
      <x:c r="M252" s="29" t="str">
        <x:v>https://undark.org/</x:v>
      </x:c>
      <x:c r="N252" s="29" t="str">
        <x:v>https://undark.org/feed/</x:v>
      </x:c>
      <x:c r="O252" s="29" t="str">
        <x:v>有效</x:v>
      </x:c>
      <x:c r="P252" s="72" t="n">
        <x:v>4</x:v>
      </x:c>
      <x:c r="Q252" s="72" t="n">
        <x:v>5</x:v>
      </x:c>
      <x:c r="R252" s="72" t="n">
        <x:v>4</x:v>
      </x:c>
      <x:c r="S252" s="72" t="n">
        <x:v>5</x:v>
      </x:c>
      <x:c r="T252" s="72" t="n">
        <x:v>4</x:v>
      </x:c>
      <x:c r="U252" s="72" t="n">
        <x:v>4</x:v>
      </x:c>
      <x:c r="V252" s="72" t="n">
        <x:v>5</x:v>
      </x:c>
      <x:c r="W252" s="29" t="str">
        <x:v>科学误区纠正、风险沟通和科研争议复盘。</x:v>
      </x:c>
      <x:c r="X252" s="29" t="str">
        <x:v>关注科学传播背后的利益、制度和不确定性，能补足单纯突破式科学新闻的盲点。</x:v>
      </x:c>
      <x:c r="Y252" s="29" t="str">
        <x:v>2026-08-17：Feed 端点返回 application/rss+xml。</x:v>
      </x:c>
      <x:c r="Z252" s="75" t="b">
        <x:v>0</x:v>
      </x:c>
      <x:c r="AA252" s="29"/>
      <x:c r="AB252" s="29" t="str">
        <x:v>扩展调研：人文、历史、哲学与设计</x:v>
      </x:c>
      <x:c r="AC252" s="29" t="str">
        <x:v>https://undark.org/</x:v>
      </x:c>
      <x:c r="AD252" s="29" t="str">
        <x:v>2026-08-17</x:v>
      </x:c>
      <x:c r="AE252" s="29" t="n">
        <x:v>200</x:v>
      </x:c>
      <x:c r="AF252" s="29" t="str">
        <x:v>https://undark.org/feed/</x:v>
      </x:c>
      <x:c r="AG252" s="29" t="str"/>
    </x:row>
    <x:row r="253" ht="44" customHeight="1">
      <x:c r="A253" s="29" t="str">
        <x:v>SRC-249</x:v>
      </x:c>
      <x:c r="B253" s="29" t="str">
        <x:f>IF(C253&gt;=93,"S",IF(C253&gt;=90,"A",IF(C253&gt;=80,"B","C")))</x:f>
        <x:v>B</x:v>
      </x:c>
      <x:c r="C253" s="72" t="n">
        <x:f>ROUND((P253*0.20+Q253*0.18+R253*0.20+S253*0.15+T253*0.12+U253*0.10+V253*0.05)*20,0)</x:f>
        <x:v>88</x:v>
      </x:c>
      <x:c r="D253" s="29" t="str">
        <x:v>科学与数学</x:v>
      </x:c>
      <x:c r="E253" s="29" t="str">
        <x:v>科学</x:v>
      </x:c>
      <x:c r="F253" s="29" t="str">
        <x:v>Veritasium</x:v>
      </x:c>
      <x:c r="G253" s="29" t="str"/>
      <x:c r="H253" s="29" t="str">
        <x:v>视频 / 频道</x:v>
      </x:c>
      <x:c r="I253" s="29" t="str">
        <x:v>en</x:v>
      </x:c>
      <x:c r="J253" s="29" t="str">
        <x:v>解释源</x:v>
      </x:c>
      <x:c r="K253" s="29" t="str">
        <x:v>Open</x:v>
      </x:c>
      <x:c r="L253" s="29" t="str">
        <x:v>以频道更新为准</x:v>
      </x:c>
      <x:c r="M253" s="29" t="str">
        <x:v>https://www.youtube.com/channel/UCHnyfMqiRRG1u-2MsSQLbXA</x:v>
      </x:c>
      <x:c r="N253" s="29" t="str">
        <x:v>https://www.youtube.com/feeds/videos.xml?channel_id=UCHnyfMqiRRG1u-2MsSQLbXA</x:v>
      </x:c>
      <x:c r="O253" s="29" t="str">
        <x:v>有效</x:v>
      </x:c>
      <x:c r="P253" s="72" t="n">
        <x:v>4</x:v>
      </x:c>
      <x:c r="Q253" s="72" t="n">
        <x:v>5</x:v>
      </x:c>
      <x:c r="R253" s="72" t="n">
        <x:v>4</x:v>
      </x:c>
      <x:c r="S253" s="72" t="n">
        <x:v>5</x:v>
      </x:c>
      <x:c r="T253" s="72" t="n">
        <x:v>4</x:v>
      </x:c>
      <x:c r="U253" s="72" t="n">
        <x:v>4</x:v>
      </x:c>
      <x:c r="V253" s="72" t="n">
        <x:v>5</x:v>
      </x:c>
      <x:c r="W253" s="29" t="str">
        <x:v>视频观点拆解、概念科普、选题与案例线索</x:v>
      </x:c>
      <x:c r="X253" s="29" t="str">
        <x:v>高质量科学视频创作者，适合快速建立背景、观察叙事结构并发现可传播选题。</x:v>
      </x:c>
      <x:c r="Y253" s="29" t="str">
        <x:v>高质量解释源；具体数字和研究结论仍应回到论文、数据集或机构原文。</x:v>
      </x:c>
      <x:c r="Z253" s="75" t="b">
        <x:v>0</x:v>
      </x:c>
      <x:c r="AA253" s="29"/>
      <x:c r="AB253" s="29" t="str">
        <x:v>YouTube 高质量创作者</x:v>
      </x:c>
      <x:c r="AC253" s="29" t="str">
        <x:v>https://www.youtube.com/@veritasium</x:v>
      </x:c>
      <x:c r="AD253" s="29" t="str">
        <x:v>2026-08-17</x:v>
      </x:c>
      <x:c r="AE253" s="29" t="n">
        <x:v>200</x:v>
      </x:c>
      <x:c r="AF253" s="29" t="str">
        <x:v>https://www.youtube.com/feeds/videos.xml?channel_id=UCHnyfMqiRRG1u-2MsSQLbXA</x:v>
      </x:c>
      <x:c r="AG253" s="29" t="str"/>
    </x:row>
    <x:row r="254" ht="44" customHeight="1">
      <x:c r="A254" s="29" t="str">
        <x:v>SRC-250</x:v>
      </x:c>
      <x:c r="B254" s="29" t="str">
        <x:f>IF(C254&gt;=93,"S",IF(C254&gt;=90,"A",IF(C254&gt;=80,"B","C")))</x:f>
        <x:v>B</x:v>
      </x:c>
      <x:c r="C254" s="72" t="n">
        <x:f>ROUND((P254*0.20+Q254*0.18+R254*0.20+S254*0.15+T254*0.12+U254*0.10+V254*0.05)*20,0)</x:f>
        <x:v>88</x:v>
      </x:c>
      <x:c r="D254" s="29" t="str">
        <x:v>艺术、设计与建筑</x:v>
      </x:c>
      <x:c r="E254" s="29" t="str">
        <x:v>字体与平面设计档案</x:v>
      </x:c>
      <x:c r="F254" s="29" t="str">
        <x:v>Letterform Archive</x:v>
      </x:c>
      <x:c r="G254" s="29" t="str"/>
      <x:c r="H254" s="29" t="str">
        <x:v>非营利设计档案 / RSS</x:v>
      </x:c>
      <x:c r="I254" s="29" t="str">
        <x:v>en</x:v>
      </x:c>
      <x:c r="J254" s="29" t="str">
        <x:v>解释源</x:v>
      </x:c>
      <x:c r="K254" s="29" t="str">
        <x:v>Open</x:v>
      </x:c>
      <x:c r="L254" s="29" t="str">
        <x:v>不定期</x:v>
      </x:c>
      <x:c r="M254" s="29" t="str">
        <x:v>https://letterformarchive.org/</x:v>
      </x:c>
      <x:c r="N254" s="29" t="str">
        <x:v>https://letterformarchive.org/news/feed/</x:v>
      </x:c>
      <x:c r="O254" s="29" t="str">
        <x:v>有效</x:v>
      </x:c>
      <x:c r="P254" s="72" t="n">
        <x:v>4</x:v>
      </x:c>
      <x:c r="Q254" s="72" t="n">
        <x:v>5</x:v>
      </x:c>
      <x:c r="R254" s="72" t="n">
        <x:v>4</x:v>
      </x:c>
      <x:c r="S254" s="72" t="n">
        <x:v>5</x:v>
      </x:c>
      <x:c r="T254" s="72" t="n">
        <x:v>4</x:v>
      </x:c>
      <x:c r="U254" s="72" t="n">
        <x:v>4</x:v>
      </x:c>
      <x:c r="V254" s="72" t="n">
        <x:v>5</x:v>
      </x:c>
      <x:c r="W254" s="29" t="str">
        <x:v>设计史、字体细节与档案故事</x:v>
      </x:c>
      <x:c r="X254" s="29" t="str">
        <x:v>高质量字体、海报、书籍与书写系统馆藏。</x:v>
      </x:c>
      <x:c r="Y254" s="29" t="str">
        <x:v>馆藏图片通常需按条目许可使用；保留设计师、年代与出处。</x:v>
      </x:c>
      <x:c r="Z254" s="75" t="b">
        <x:v>0</x:v>
      </x:c>
      <x:c r="AA254" s="29"/>
      <x:c r="AB254" s="29" t="str">
        <x:v>扩展调研：数据库、资料库与平台</x:v>
      </x:c>
      <x:c r="AC254" s="29" t="str">
        <x:v>https://letterformarchive.org/</x:v>
      </x:c>
      <x:c r="AD254" s="29" t="str">
        <x:v>2026-08-17</x:v>
      </x:c>
      <x:c r="AE254" s="29" t="n">
        <x:v>200</x:v>
      </x:c>
      <x:c r="AF254" s="29" t="str">
        <x:v>https://letterformarchive.org/news/feed/</x:v>
      </x:c>
      <x:c r="AG254" s="29" t="str"/>
    </x:row>
    <x:row r="255" ht="44" customHeight="1">
      <x:c r="A255" s="29" t="str">
        <x:v>SRC-251</x:v>
      </x:c>
      <x:c r="B255" s="29" t="str">
        <x:f>IF(C255&gt;=93,"S",IF(C255&gt;=90,"A",IF(C255&gt;=80,"B","C")))</x:f>
        <x:v>B</x:v>
      </x:c>
      <x:c r="C255" s="72" t="n">
        <x:f>ROUND((P255*0.20+Q255*0.18+R255*0.20+S255*0.15+T255*0.12+U255*0.10+V255*0.05)*20,0)</x:f>
        <x:v>88</x:v>
      </x:c>
      <x:c r="D255" s="29" t="str">
        <x:v>艺术、设计与建筑</x:v>
      </x:c>
      <x:c r="E255" s="29" t="str">
        <x:v>艺术家/建筑师/作家访谈</x:v>
      </x:c>
      <x:c r="F255" s="29" t="str">
        <x:v>Louisiana Channel</x:v>
      </x:c>
      <x:c r="G255" s="29" t="str"/>
      <x:c r="H255" s="29" t="str">
        <x:v>视频 / 频道</x:v>
      </x:c>
      <x:c r="I255" s="29" t="str">
        <x:v>en</x:v>
      </x:c>
      <x:c r="J255" s="29" t="str">
        <x:v>解释源</x:v>
      </x:c>
      <x:c r="K255" s="29" t="str">
        <x:v>Open</x:v>
      </x:c>
      <x:c r="L255" s="29" t="str">
        <x:v>以频道更新为准</x:v>
      </x:c>
      <x:c r="M255" s="29" t="str">
        <x:v>https://www.youtube.com/channel/UCY2mhw-XNZSxrUynsI5K8Zw</x:v>
      </x:c>
      <x:c r="N255" s="29" t="str">
        <x:v>https://www.youtube.com/feeds/videos.xml?channel_id=UCY2mhw-XNZSxrUynsI5K8Zw</x:v>
      </x:c>
      <x:c r="O255" s="29" t="str">
        <x:v>有效</x:v>
      </x:c>
      <x:c r="P255" s="72" t="n">
        <x:v>4</x:v>
      </x:c>
      <x:c r="Q255" s="72" t="n">
        <x:v>5</x:v>
      </x:c>
      <x:c r="R255" s="72" t="n">
        <x:v>4</x:v>
      </x:c>
      <x:c r="S255" s="72" t="n">
        <x:v>5</x:v>
      </x:c>
      <x:c r="T255" s="72" t="n">
        <x:v>4</x:v>
      </x:c>
      <x:c r="U255" s="72" t="n">
        <x:v>4</x:v>
      </x:c>
      <x:c r="V255" s="72" t="n">
        <x:v>5</x:v>
      </x:c>
      <x:c r="W255" s="29" t="str">
        <x:v>视频观点拆解、概念科普、选题与案例线索</x:v>
      </x:c>
      <x:c r="X255" s="29" t="str">
        <x:v>高质量艺术家/建筑师/作家访谈视频创作者，适合快速建立背景、观察叙事结构并发现可传播选题。</x:v>
      </x:c>
      <x:c r="Y255" s="29" t="str">
        <x:v>高质量解释源；具体数字和研究结论仍应回到论文、数据集或机构原文。</x:v>
      </x:c>
      <x:c r="Z255" s="75" t="b">
        <x:v>0</x:v>
      </x:c>
      <x:c r="AA255" s="29"/>
      <x:c r="AB255" s="29" t="str">
        <x:v>YouTube 高质量创作者</x:v>
      </x:c>
      <x:c r="AC255" s="29" t="str">
        <x:v>https://www.youtube.com/@LouisianaChannel</x:v>
      </x:c>
      <x:c r="AD255" s="29" t="str">
        <x:v>2026-08-17</x:v>
      </x:c>
      <x:c r="AE255" s="29" t="n">
        <x:v>200</x:v>
      </x:c>
      <x:c r="AF255" s="29" t="str">
        <x:v>https://www.youtube.com/feeds/videos.xml?channel_id=UCY2mhw-XNZSxrUynsI5K8Zw</x:v>
      </x:c>
      <x:c r="AG255" s="29" t="str"/>
    </x:row>
    <x:row r="256" ht="44" customHeight="1">
      <x:c r="A256" s="29" t="str">
        <x:v>SRC-252</x:v>
      </x:c>
      <x:c r="B256" s="29" t="str">
        <x:f>IF(C256&gt;=93,"S",IF(C256&gt;=90,"A",IF(C256&gt;=80,"B","C")))</x:f>
        <x:v>B</x:v>
      </x:c>
      <x:c r="C256" s="72" t="n">
        <x:f>ROUND((P256*0.20+Q256*0.18+R256*0.20+S256*0.15+T256*0.12+U256*0.10+V256*0.05)*20,0)</x:f>
        <x:v>88</x:v>
      </x:c>
      <x:c r="D256" s="29" t="str">
        <x:v>艺术、设计与建筑</x:v>
      </x:c>
      <x:c r="E256" s="29" t="str">
        <x:v>UX、前端与设计系统</x:v>
      </x:c>
      <x:c r="F256" s="29" t="str">
        <x:v>Smashing Magazine</x:v>
      </x:c>
      <x:c r="G256" s="29" t="str"/>
      <x:c r="H256" s="29" t="str">
        <x:v>深度教程、案例、可访问性与设计实践</x:v>
      </x:c>
      <x:c r="I256" s="29" t="str">
        <x:v>en</x:v>
      </x:c>
      <x:c r="J256" s="29" t="str">
        <x:v>解释源</x:v>
      </x:c>
      <x:c r="K256" s="29" t="str">
        <x:v>Open</x:v>
      </x:c>
      <x:c r="L256" s="29" t="str">
        <x:v>每周约2至4篇</x:v>
      </x:c>
      <x:c r="M256" s="29" t="str">
        <x:v>https://www.smashingmagazine.com/</x:v>
      </x:c>
      <x:c r="N256" s="29" t="str">
        <x:v>https://www.smashingmagazine.com/feed/</x:v>
      </x:c>
      <x:c r="O256" s="29" t="str">
        <x:v>有效</x:v>
      </x:c>
      <x:c r="P256" s="72" t="n">
        <x:v>4</x:v>
      </x:c>
      <x:c r="Q256" s="72" t="n">
        <x:v>5</x:v>
      </x:c>
      <x:c r="R256" s="72" t="n">
        <x:v>4</x:v>
      </x:c>
      <x:c r="S256" s="72" t="n">
        <x:v>5</x:v>
      </x:c>
      <x:c r="T256" s="72" t="n">
        <x:v>4</x:v>
      </x:c>
      <x:c r="U256" s="72" t="n">
        <x:v>4</x:v>
      </x:c>
      <x:c r="V256" s="72" t="n">
        <x:v>5</x:v>
      </x:c>
      <x:c r="W256" s="29" t="str">
        <x:v>可保存清单、界面原则和前后对比。</x:v>
      </x:c>
      <x:c r="X256" s="29" t="str">
        <x:v>教程深、案例完整，尤其适合 UX、无障碍、前端和设计系统的实用知识。</x:v>
      </x:c>
      <x:c r="Y256" s="29" t="str">
        <x:v>2026-08-17：Feed 端点返回 application/xml。</x:v>
      </x:c>
      <x:c r="Z256" s="75" t="b">
        <x:v>0</x:v>
      </x:c>
      <x:c r="AA256" s="29"/>
      <x:c r="AB256" s="29" t="str">
        <x:v>扩展调研：人文、历史、哲学与设计</x:v>
      </x:c>
      <x:c r="AC256" s="29" t="str">
        <x:v>https://www.smashingmagazine.com/</x:v>
      </x:c>
      <x:c r="AD256" s="29" t="str">
        <x:v>2026-08-17</x:v>
      </x:c>
      <x:c r="AE256" s="29" t="n">
        <x:v>200</x:v>
      </x:c>
      <x:c r="AF256" s="29" t="str">
        <x:v>https://www.smashingmagazine.com/feed/</x:v>
      </x:c>
      <x:c r="AG256" s="29" t="str"/>
    </x:row>
    <x:row r="257" ht="44" customHeight="1">
      <x:c r="A257" s="29" t="str">
        <x:v>SRC-253</x:v>
      </x:c>
      <x:c r="B257" s="29" t="str">
        <x:f>IF(C257&gt;=93,"S",IF(C257&gt;=90,"A",IF(C257&gt;=80,"B","C")))</x:f>
        <x:v>B</x:v>
      </x:c>
      <x:c r="C257" s="72" t="n">
        <x:f>ROUND((P257*0.20+Q257*0.18+R257*0.20+S257*0.15+T257*0.12+U257*0.10+V257*0.05)*20,0)</x:f>
        <x:v>87</x:v>
      </x:c>
      <x:c r="D257" s="29" t="str">
        <x:v>心理、认知与情商</x:v>
      </x:c>
      <x:c r="E257" s="29" t="str">
        <x:v>心理研究解释与批判</x:v>
      </x:c>
      <x:c r="F257" s="29" t="str">
        <x:v>BPS Research Digest</x:v>
      </x:c>
      <x:c r="G257" s="29" t="str"/>
      <x:c r="H257" s="29" t="str">
        <x:v>专业协会研究解读</x:v>
      </x:c>
      <x:c r="I257" s="29" t="str">
        <x:v>英文</x:v>
      </x:c>
      <x:c r="J257" s="29" t="str">
        <x:v>解释源</x:v>
      </x:c>
      <x:c r="K257" s="29" t="str">
        <x:v>开放；当前未发现稳定公开 RSS</x:v>
      </x:c>
      <x:c r="L257" s="29" t="str">
        <x:v>每周多篇</x:v>
      </x:c>
      <x:c r="M257" s="29" t="str">
        <x:v>https://www.bps.org.uk/research-digest</x:v>
      </x:c>
      <x:c r="N257" s="29" t="str"/>
      <x:c r="O257" s="29" t="str">
        <x:v>无RSS/API入口</x:v>
      </x:c>
      <x:c r="P257" s="72" t="n">
        <x:v>4</x:v>
      </x:c>
      <x:c r="Q257" s="72" t="n">
        <x:v>5</x:v>
      </x:c>
      <x:c r="R257" s="72" t="n">
        <x:v>4</x:v>
      </x:c>
      <x:c r="S257" s="72" t="n">
        <x:v>5</x:v>
      </x:c>
      <x:c r="T257" s="72" t="n">
        <x:v>4</x:v>
      </x:c>
      <x:c r="U257" s="72" t="n">
        <x:v>4</x:v>
      </x:c>
      <x:c r="V257" s="72" t="n">
        <x:v>4</x:v>
      </x:c>
      <x:c r="W257" s="29" t="str">
        <x:v>将复杂论文转成清晰叙事，并沿原文链接核实研究；适合纠正常见心理学误读。</x:v>
      </x:c>
      <x:c r="X257" s="29" t="str">
        <x:v>英国心理学会旗下研究解读，常主动讨论方法限制、复制问题和结论边界。</x:v>
      </x:c>
      <x:c r="Y257" s="29" t="str">
        <x:v>2026-08-17：官方主页 200；页面未发现 RSS，建议网页巡检或邮件订阅。</x:v>
      </x:c>
      <x:c r="Z257" s="75" t="b">
        <x:v>0</x:v>
      </x:c>
      <x:c r="AA257" s="29"/>
      <x:c r="AB257" s="29" t="str">
        <x:v>扩展调研：心理、认知与情商</x:v>
      </x:c>
      <x:c r="AC257" s="29" t="str">
        <x:v>https://www.bps.org.uk/research-digest</x:v>
      </x:c>
      <x:c r="AD257" s="29" t="str">
        <x:v>2026-08-17</x:v>
      </x:c>
      <x:c r="AE257" s="29"/>
      <x:c r="AF257" s="29" t="str"/>
      <x:c r="AG257" s="29" t="str"/>
    </x:row>
    <x:row r="258" ht="44" customHeight="1">
      <x:c r="A258" s="29" t="str">
        <x:v>SRC-254</x:v>
      </x:c>
      <x:c r="B258" s="29" t="str">
        <x:f>IF(C258&gt;=93,"S",IF(C258&gt;=90,"A",IF(C258&gt;=80,"B","C")))</x:f>
        <x:v>B</x:v>
      </x:c>
      <x:c r="C258" s="72" t="n">
        <x:f>ROUND((P258*0.20+Q258*0.18+R258*0.20+S258*0.15+T258*0.12+U258*0.10+V258*0.05)*20,0)</x:f>
        <x:v>87</x:v>
      </x:c>
      <x:c r="D258" s="29" t="str">
        <x:v>心理、认知与情商</x:v>
      </x:c>
      <x:c r="E258" s="29" t="str">
        <x:v>脑科学与认知科普</x:v>
      </x:c>
      <x:c r="F258" s="29" t="str">
        <x:v>BrainFacts.org</x:v>
      </x:c>
      <x:c r="G258" s="29" t="str"/>
      <x:c r="H258" s="29" t="str">
        <x:v>专业学会支持的解释平台</x:v>
      </x:c>
      <x:c r="I258" s="29" t="str">
        <x:v>英文</x:v>
      </x:c>
      <x:c r="J258" s="29" t="str">
        <x:v>解释源</x:v>
      </x:c>
      <x:c r="K258" s="29" t="str">
        <x:v>开放；当前未发现稳定公开 RSS</x:v>
      </x:c>
      <x:c r="L258" s="29" t="str">
        <x:v>每周多篇</x:v>
      </x:c>
      <x:c r="M258" s="29" t="str">
        <x:v>https://www.brainfacts.org/</x:v>
      </x:c>
      <x:c r="N258" s="29" t="str"/>
      <x:c r="O258" s="29" t="str">
        <x:v>无RSS/API入口</x:v>
      </x:c>
      <x:c r="P258" s="72" t="n">
        <x:v>4</x:v>
      </x:c>
      <x:c r="Q258" s="72" t="n">
        <x:v>5</x:v>
      </x:c>
      <x:c r="R258" s="72" t="n">
        <x:v>4</x:v>
      </x:c>
      <x:c r="S258" s="72" t="n">
        <x:v>5</x:v>
      </x:c>
      <x:c r="T258" s="72" t="n">
        <x:v>4</x:v>
      </x:c>
      <x:c r="U258" s="72" t="n">
        <x:v>4</x:v>
      </x:c>
      <x:c r="V258" s="72" t="n">
        <x:v>4</x:v>
      </x:c>
      <x:c r="W258" s="29" t="str">
        <x:v>用于解释脑区、神经机制和常见脑科学误区；前沿结论继续引用原论文。</x:v>
      </x:c>
      <x:c r="X258" s="29" t="str">
        <x:v>由 Society for Neuroscience 等支持，将神经科学基础、疾病与研究方法转成公众可读材料。</x:v>
      </x:c>
      <x:c r="Y258" s="29" t="str">
        <x:v>2026-08-17：官方主页 200；页面未暴露固定 RSS。</x:v>
      </x:c>
      <x:c r="Z258" s="75" t="b">
        <x:v>0</x:v>
      </x:c>
      <x:c r="AA258" s="29"/>
      <x:c r="AB258" s="29" t="str">
        <x:v>扩展调研：心理、认知与情商</x:v>
      </x:c>
      <x:c r="AC258" s="29" t="str">
        <x:v>https://www.brainfacts.org/about-neuroscience</x:v>
      </x:c>
      <x:c r="AD258" s="29" t="str">
        <x:v>2026-08-17</x:v>
      </x:c>
      <x:c r="AE258" s="29"/>
      <x:c r="AF258" s="29" t="str"/>
      <x:c r="AG258" s="29" t="str"/>
    </x:row>
    <x:row r="259" ht="44" customHeight="1">
      <x:c r="A259" s="29" t="str">
        <x:v>SRC-255</x:v>
      </x:c>
      <x:c r="B259" s="29" t="str">
        <x:f>IF(C259&gt;=93,"S",IF(C259&gt;=90,"A",IF(C259&gt;=80,"B","C")))</x:f>
        <x:v>B</x:v>
      </x:c>
      <x:c r="C259" s="72" t="n">
        <x:f>ROUND((P259*0.20+Q259*0.18+R259*0.20+S259*0.15+T259*0.12+U259*0.10+V259*0.05)*20,0)</x:f>
        <x:v>87</x:v>
      </x:c>
      <x:c r="D259" s="29" t="str">
        <x:v>心理、认知与情商</x:v>
      </x:c>
      <x:c r="E259" s="29" t="str">
        <x:v>社会与情绪学习（SEL）</x:v>
      </x:c>
      <x:c r="F259" s="29" t="str">
        <x:v>CASEL Constellations</x:v>
      </x:c>
      <x:c r="G259" s="29" t="str"/>
      <x:c r="H259" s="29" t="str">
        <x:v>专业组织研究与实践博客</x:v>
      </x:c>
      <x:c r="I259" s="29" t="str">
        <x:v>英文</x:v>
      </x:c>
      <x:c r="J259" s="29" t="str">
        <x:v>解释源</x:v>
      </x:c>
      <x:c r="K259" s="29" t="str">
        <x:v>开放</x:v>
      </x:c>
      <x:c r="L259" s="29" t="str">
        <x:v>月更至双周</x:v>
      </x:c>
      <x:c r="M259" s="29" t="str">
        <x:v>https://casel.org/blog/</x:v>
      </x:c>
      <x:c r="N259" s="29" t="str">
        <x:v>https://casel.org/blog/feed/</x:v>
      </x:c>
      <x:c r="O259" s="29" t="str">
        <x:v>有效</x:v>
      </x:c>
      <x:c r="P259" s="72" t="n">
        <x:v>4</x:v>
      </x:c>
      <x:c r="Q259" s="72" t="n">
        <x:v>5</x:v>
      </x:c>
      <x:c r="R259" s="72" t="n">
        <x:v>4</x:v>
      </x:c>
      <x:c r="S259" s="72" t="n">
        <x:v>5</x:v>
      </x:c>
      <x:c r="T259" s="72" t="n">
        <x:v>4</x:v>
      </x:c>
      <x:c r="U259" s="72" t="n">
        <x:v>4</x:v>
      </x:c>
      <x:c r="V259" s="72" t="n">
        <x:v>4</x:v>
      </x:c>
      <x:c r="W259" s="29" t="str">
        <x:v>讨论自我觉察、自我管理、社会觉察和关系技能时补充结构化框架与教育证据。</x:v>
      </x:c>
      <x:c r="X259" s="29" t="str">
        <x:v>CASEL 是学校社会情绪学习的重要框架机构，内容覆盖研究、评估和落地案例。</x:v>
      </x:c>
      <x:c r="Y259" s="29" t="str">
        <x:v>2026-08-17：博客主页 200；官方 RSS 200，XML 已确认。</x:v>
      </x:c>
      <x:c r="Z259" s="75" t="b">
        <x:v>0</x:v>
      </x:c>
      <x:c r="AA259" s="29"/>
      <x:c r="AB259" s="29" t="str">
        <x:v>扩展调研：心理、认知与情商</x:v>
      </x:c>
      <x:c r="AC259" s="29" t="str">
        <x:v>https://casel.org/about-us/</x:v>
      </x:c>
      <x:c r="AD259" s="29" t="str">
        <x:v>2026-08-17</x:v>
      </x:c>
      <x:c r="AE259" s="29" t="n">
        <x:v>200</x:v>
      </x:c>
      <x:c r="AF259" s="29" t="str">
        <x:v>https://casel.org/blog/feed/</x:v>
      </x:c>
      <x:c r="AG259" s="29" t="str"/>
    </x:row>
    <x:row r="260" ht="44" customHeight="1">
      <x:c r="A260" s="29" t="str">
        <x:v>SRC-256</x:v>
      </x:c>
      <x:c r="B260" s="29" t="str">
        <x:f>IF(C260&gt;=93,"S",IF(C260&gt;=90,"A",IF(C260&gt;=80,"B","C")))</x:f>
        <x:v>B</x:v>
      </x:c>
      <x:c r="C260" s="72" t="n">
        <x:f>ROUND((P260*0.20+Q260*0.18+R260*0.20+S260*0.15+T260*0.12+U260*0.10+V260*0.05)*20,0)</x:f>
        <x:v>87</x:v>
      </x:c>
      <x:c r="D260" s="29" t="str">
        <x:v>心理、认知与情商</x:v>
      </x:c>
      <x:c r="E260" s="29" t="str">
        <x:v>开放科学与可重复性</x:v>
      </x:c>
      <x:c r="F260" s="29" t="str">
        <x:v>Center for Open Science Blog</x:v>
      </x:c>
      <x:c r="G260" s="29" t="str"/>
      <x:c r="H260" s="29" t="str">
        <x:v>元科学机构博客</x:v>
      </x:c>
      <x:c r="I260" s="29" t="str">
        <x:v>英文</x:v>
      </x:c>
      <x:c r="J260" s="29" t="str">
        <x:v>解释源</x:v>
      </x:c>
      <x:c r="K260" s="29" t="str">
        <x:v>开放</x:v>
      </x:c>
      <x:c r="L260" s="29" t="str">
        <x:v>每月</x:v>
      </x:c>
      <x:c r="M260" s="29" t="str">
        <x:v>https://www.cos.io/blog</x:v>
      </x:c>
      <x:c r="N260" s="29" t="str">
        <x:v>https://www.cos.io/blog/rss.xml</x:v>
      </x:c>
      <x:c r="O260" s="29" t="str">
        <x:v>有效</x:v>
      </x:c>
      <x:c r="P260" s="72" t="n">
        <x:v>4</x:v>
      </x:c>
      <x:c r="Q260" s="72" t="n">
        <x:v>5</x:v>
      </x:c>
      <x:c r="R260" s="72" t="n">
        <x:v>4</x:v>
      </x:c>
      <x:c r="S260" s="72" t="n">
        <x:v>5</x:v>
      </x:c>
      <x:c r="T260" s="72" t="n">
        <x:v>4</x:v>
      </x:c>
      <x:c r="U260" s="72" t="n">
        <x:v>4</x:v>
      </x:c>
      <x:c r="V260" s="72" t="n">
        <x:v>4</x:v>
      </x:c>
      <x:c r="W260" s="29" t="str">
        <x:v>给热门心理研究增加“能否重复、是否预注册、数据是否开放”的质量检查层。</x:v>
      </x:c>
      <x:c r="X260" s="29" t="str">
        <x:v>跟踪预注册、开放数据、复制研究与科研激励，帮助判断心理学结果的可信度。</x:v>
      </x:c>
      <x:c r="Y260" s="29" t="str">
        <x:v>2026-08-17：主页 200；官方 RSS 200，XML 已确认。</x:v>
      </x:c>
      <x:c r="Z260" s="75" t="b">
        <x:v>0</x:v>
      </x:c>
      <x:c r="AA260" s="29"/>
      <x:c r="AB260" s="29" t="str">
        <x:v>扩展调研：心理、认知与情商</x:v>
      </x:c>
      <x:c r="AC260" s="29" t="str">
        <x:v>https://www.cos.io/about/mission</x:v>
      </x:c>
      <x:c r="AD260" s="29" t="str">
        <x:v>2026-08-17</x:v>
      </x:c>
      <x:c r="AE260" s="29" t="n">
        <x:v>200</x:v>
      </x:c>
      <x:c r="AF260" s="29" t="str">
        <x:v>https://www.cos.io/blog/rss.xml</x:v>
      </x:c>
      <x:c r="AG260" s="29" t="str"/>
    </x:row>
    <x:row r="261" ht="44" customHeight="1">
      <x:c r="A261" s="29" t="str">
        <x:v>SRC-257</x:v>
      </x:c>
      <x:c r="B261" s="29" t="str">
        <x:f>IF(C261&gt;=93,"S",IF(C261&gt;=90,"A",IF(C261&gt;=80,"B","C")))</x:f>
        <x:v>B</x:v>
      </x:c>
      <x:c r="C261" s="72" t="n">
        <x:f>ROUND((P261*0.20+Q261*0.18+R261*0.20+S261*0.15+T261*0.12+U261*0.10+V261*0.05)*20,0)</x:f>
        <x:v>87</x:v>
      </x:c>
      <x:c r="D261" s="29" t="str">
        <x:v>心理、认知与情商</x:v>
      </x:c>
      <x:c r="E261" s="29" t="str">
        <x:v>情绪研究者访谈与专题</x:v>
      </x:c>
      <x:c r="F261" s="29" t="str">
        <x:v>Emotion Researcher（ISRE）</x:v>
      </x:c>
      <x:c r="G261" s="29" t="str"/>
      <x:c r="H261" s="29" t="str">
        <x:v>专业学会解释媒体</x:v>
      </x:c>
      <x:c r="I261" s="29" t="str">
        <x:v>英文</x:v>
      </x:c>
      <x:c r="J261" s="29" t="str">
        <x:v>解释源</x:v>
      </x:c>
      <x:c r="K261" s="29" t="str">
        <x:v>开放</x:v>
      </x:c>
      <x:c r="L261" s="29" t="str">
        <x:v>不定期</x:v>
      </x:c>
      <x:c r="M261" s="29" t="str">
        <x:v>https://emotionresearcher.com/</x:v>
      </x:c>
      <x:c r="N261" s="29" t="str">
        <x:v>https://emotionresearcher.com/feed/</x:v>
      </x:c>
      <x:c r="O261" s="29" t="str">
        <x:v>有效</x:v>
      </x:c>
      <x:c r="P261" s="72" t="n">
        <x:v>4</x:v>
      </x:c>
      <x:c r="Q261" s="72" t="n">
        <x:v>5</x:v>
      </x:c>
      <x:c r="R261" s="72" t="n">
        <x:v>4</x:v>
      </x:c>
      <x:c r="S261" s="72" t="n">
        <x:v>5</x:v>
      </x:c>
      <x:c r="T261" s="72" t="n">
        <x:v>4</x:v>
      </x:c>
      <x:c r="U261" s="72" t="n">
        <x:v>4</x:v>
      </x:c>
      <x:c r="V261" s="72" t="n">
        <x:v>4</x:v>
      </x:c>
      <x:c r="W261" s="29" t="str">
        <x:v>寻找情绪概念的历史、理论分歧和专家原话；实证主张另引论文。</x:v>
      </x:c>
      <x:c r="X261" s="29" t="str">
        <x:v>International Society for Research on Emotion 的公共传播平台，汇集研究者访谈、概念解释与专题。</x:v>
      </x:c>
      <x:c r="Y261" s="29" t="str">
        <x:v>2026-08-17：自动请求主页与 Feed 均返回 406；官方站仍被搜索索引，可能限制机器人 User-Agent，建议阅读器实测。</x:v>
      </x:c>
      <x:c r="Z261" s="75" t="b">
        <x:v>0</x:v>
      </x:c>
      <x:c r="AA261" s="29"/>
      <x:c r="AB261" s="29" t="str">
        <x:v>扩展调研：心理、认知与情商</x:v>
      </x:c>
      <x:c r="AC261" s="29" t="str">
        <x:v>https://emotionresearcher.com/about/</x:v>
      </x:c>
      <x:c r="AD261" s="29" t="str">
        <x:v>2026-08-17</x:v>
      </x:c>
      <x:c r="AE261" s="29" t="n">
        <x:v>200</x:v>
      </x:c>
      <x:c r="AF261" s="29" t="str">
        <x:v>https://emotionresearcher.com/feed/</x:v>
      </x:c>
      <x:c r="AG261" s="29" t="str"/>
    </x:row>
    <x:row r="262" ht="44" customHeight="1">
      <x:c r="A262" s="29" t="str">
        <x:v>SRC-258</x:v>
      </x:c>
      <x:c r="B262" s="29" t="str">
        <x:f>IF(C262&gt;=93,"S",IF(C262&gt;=90,"A",IF(C262&gt;=80,"B","C")))</x:f>
        <x:v>B</x:v>
      </x:c>
      <x:c r="C262" s="72" t="n">
        <x:f>ROUND((P262*0.20+Q262*0.18+R262*0.20+S262*0.15+T262*0.12+U262*0.10+V262*0.05)*20,0)</x:f>
        <x:v>87</x:v>
      </x:c>
      <x:c r="D262" s="29" t="str">
        <x:v>心理、认知与情商</x:v>
      </x:c>
      <x:c r="E262" s="29" t="str">
        <x:v>幸福、同理心与关系科学</x:v>
      </x:c>
      <x:c r="F262" s="29" t="str">
        <x:v>Greater Good Magazine</x:v>
      </x:c>
      <x:c r="G262" s="29" t="str"/>
      <x:c r="H262" s="29" t="str">
        <x:v>大学研究中心解释媒体</x:v>
      </x:c>
      <x:c r="I262" s="29" t="str">
        <x:v>英文</x:v>
      </x:c>
      <x:c r="J262" s="29" t="str">
        <x:v>解释源</x:v>
      </x:c>
      <x:c r="K262" s="29" t="str">
        <x:v>开放</x:v>
      </x:c>
      <x:c r="L262" s="29" t="str">
        <x:v>每周多篇</x:v>
      </x:c>
      <x:c r="M262" s="29" t="str">
        <x:v>https://greatergood.berkeley.edu/</x:v>
      </x:c>
      <x:c r="N262" s="29" t="str">
        <x:v>https://greatergood.berkeley.edu/site/rss</x:v>
      </x:c>
      <x:c r="O262" s="29" t="str">
        <x:v>有效</x:v>
      </x:c>
      <x:c r="P262" s="72" t="n">
        <x:v>4</x:v>
      </x:c>
      <x:c r="Q262" s="72" t="n">
        <x:v>5</x:v>
      </x:c>
      <x:c r="R262" s="72" t="n">
        <x:v>4</x:v>
      </x:c>
      <x:c r="S262" s="72" t="n">
        <x:v>5</x:v>
      </x:c>
      <x:c r="T262" s="72" t="n">
        <x:v>4</x:v>
      </x:c>
      <x:c r="U262" s="72" t="n">
        <x:v>4</x:v>
      </x:c>
      <x:c r="V262" s="72" t="n">
        <x:v>4</x:v>
      </x:c>
      <x:c r="W262" s="29" t="str">
        <x:v>寻找利他、关系和情绪调节的研究型选题；对“方法有效”主张回链原研究。；研究发现加日常场景加可执行练习的利他型短帖。</x:v>
      </x:c>
      <x:c r="X262" s="29" t="str">
        <x:v>UC Berkeley Greater Good Science Center 将幸福、同理心、亲社会行为和关系研究转译成公众内容。</x:v>
      </x:c>
      <x:c r="Y262" s="29" t="str">
        <x:v>2026-08-17：主页 200；文章 RSS 200，XML 已确认。；2026-08-17：官方总Feed返回200和有效RSS；健康相关内容不替代专业诊疗。</x:v>
      </x:c>
      <x:c r="Z262" s="75" t="b">
        <x:v>0</x:v>
      </x:c>
      <x:c r="AA262" s="29"/>
      <x:c r="AB262" s="29" t="str">
        <x:v>扩展调研：心理、认知与情商；扩展调研：成长、学习、商业与管理</x:v>
      </x:c>
      <x:c r="AC262" s="29" t="str">
        <x:v>https://greatergood.berkeley.edu/about；https://greatergood.berkeley.edu/site/rss</x:v>
      </x:c>
      <x:c r="AD262" s="29" t="str">
        <x:v>2026-08-17</x:v>
      </x:c>
      <x:c r="AE262" s="29" t="n">
        <x:v>200</x:v>
      </x:c>
      <x:c r="AF262" s="29" t="str">
        <x:v>https://greatergood.berkeley.edu/site/rss</x:v>
      </x:c>
      <x:c r="AG262" s="29" t="str"/>
    </x:row>
    <x:row r="263" ht="44" customHeight="1">
      <x:c r="A263" s="29" t="str">
        <x:v>SRC-259</x:v>
      </x:c>
      <x:c r="B263" s="29" t="str">
        <x:f>IF(C263&gt;=93,"S",IF(C263&gt;=90,"A",IF(C263&gt;=80,"B","C")))</x:f>
        <x:v>B</x:v>
      </x:c>
      <x:c r="C263" s="72" t="n">
        <x:f>ROUND((P263*0.20+Q263*0.18+R263*0.20+S263*0.15+T263*0.12+U263*0.10+V263*0.05)*20,0)</x:f>
        <x:v>87</x:v>
      </x:c>
      <x:c r="D263" s="29" t="str">
        <x:v>心理、认知与情商</x:v>
      </x:c>
      <x:c r="E263" s="29" t="str">
        <x:v>儿童发展、压力与执行功能</x:v>
      </x:c>
      <x:c r="F263" s="29" t="str">
        <x:v>Harvard Center on the Developing Child</x:v>
      </x:c>
      <x:c r="G263" s="29" t="str"/>
      <x:c r="H263" s="29" t="str">
        <x:v>大学研究转化中心</x:v>
      </x:c>
      <x:c r="I263" s="29" t="str">
        <x:v>英文</x:v>
      </x:c>
      <x:c r="J263" s="29" t="str">
        <x:v>解释源</x:v>
      </x:c>
      <x:c r="K263" s="29" t="str">
        <x:v>开放；未发现固定 RSS</x:v>
      </x:c>
      <x:c r="L263" s="29" t="str">
        <x:v>每月</x:v>
      </x:c>
      <x:c r="M263" s="29" t="str">
        <x:v>https://developingchild.harvard.edu/</x:v>
      </x:c>
      <x:c r="N263" s="29" t="str"/>
      <x:c r="O263" s="29" t="str">
        <x:v>无RSS/API入口</x:v>
      </x:c>
      <x:c r="P263" s="72" t="n">
        <x:v>4</x:v>
      </x:c>
      <x:c r="Q263" s="72" t="n">
        <x:v>5</x:v>
      </x:c>
      <x:c r="R263" s="72" t="n">
        <x:v>4</x:v>
      </x:c>
      <x:c r="S263" s="72" t="n">
        <x:v>5</x:v>
      </x:c>
      <x:c r="T263" s="72" t="n">
        <x:v>4</x:v>
      </x:c>
      <x:c r="U263" s="72" t="n">
        <x:v>4</x:v>
      </x:c>
      <x:c r="V263" s="72" t="n">
        <x:v>4</x:v>
      </x:c>
      <x:c r="W263" s="29" t="str">
        <x:v>用于育儿、成长与儿童认知话题；优先引用工作论文或所列原始研究。</x:v>
      </x:c>
      <x:c r="X263" s="29" t="str">
        <x:v>将儿童发展、执行功能、早期压力与韧性研究转成图解、工作论文和实践框架。</x:v>
      </x:c>
      <x:c r="Y263" s="29" t="str">
        <x:v>2026-08-17：自动检查主页返回 403/CDN；官方内容可被搜索索引，建议网页巡检或邮件订阅。</x:v>
      </x:c>
      <x:c r="Z263" s="75" t="b">
        <x:v>0</x:v>
      </x:c>
      <x:c r="AA263" s="29"/>
      <x:c r="AB263" s="29" t="str">
        <x:v>扩展调研：心理、认知与情商</x:v>
      </x:c>
      <x:c r="AC263" s="29" t="str">
        <x:v>https://developingchild.harvard.edu/about/</x:v>
      </x:c>
      <x:c r="AD263" s="29" t="str">
        <x:v>2026-08-17</x:v>
      </x:c>
      <x:c r="AE263" s="29"/>
      <x:c r="AF263" s="29" t="str"/>
      <x:c r="AG263" s="29" t="str"/>
    </x:row>
    <x:row r="264" ht="44" customHeight="1">
      <x:c r="A264" s="29" t="str">
        <x:v>SRC-260</x:v>
      </x:c>
      <x:c r="B264" s="29" t="str">
        <x:f>IF(C264&gt;=93,"S",IF(C264&gt;=90,"A",IF(C264&gt;=80,"B","C")))</x:f>
        <x:v>B</x:v>
      </x:c>
      <x:c r="C264" s="72" t="n">
        <x:f>ROUND((P264*0.20+Q264*0.18+R264*0.20+S264*0.15+T264*0.12+U264*0.10+V264*0.05)*20,0)</x:f>
        <x:v>87</x:v>
      </x:c>
      <x:c r="D264" s="29" t="str">
        <x:v>心理、认知与情商</x:v>
      </x:c>
      <x:c r="E264" s="29" t="str">
        <x:v>社会心理与行为故事</x:v>
      </x:c>
      <x:c r="F264" s="29" t="str">
        <x:v>Hidden Brain</x:v>
      </x:c>
      <x:c r="G264" s="29" t="str"/>
      <x:c r="H264" s="29" t="str">
        <x:v>叙事型研究播客</x:v>
      </x:c>
      <x:c r="I264" s="29" t="str">
        <x:v>英文</x:v>
      </x:c>
      <x:c r="J264" s="29" t="str">
        <x:v>解释源</x:v>
      </x:c>
      <x:c r="K264" s="29" t="str">
        <x:v>开放</x:v>
      </x:c>
      <x:c r="L264" s="29" t="str">
        <x:v>周更</x:v>
      </x:c>
      <x:c r="M264" s="29" t="str">
        <x:v>https://www.hiddenbrain.org/</x:v>
      </x:c>
      <x:c r="N264" s="29" t="str">
        <x:v>https://feeds.simplecast.com/kwWc0lhf</x:v>
      </x:c>
      <x:c r="O264" s="29" t="str">
        <x:v>有效</x:v>
      </x:c>
      <x:c r="P264" s="72" t="n">
        <x:v>4</x:v>
      </x:c>
      <x:c r="Q264" s="72" t="n">
        <x:v>5</x:v>
      </x:c>
      <x:c r="R264" s="72" t="n">
        <x:v>4</x:v>
      </x:c>
      <x:c r="S264" s="72" t="n">
        <x:v>5</x:v>
      </x:c>
      <x:c r="T264" s="72" t="n">
        <x:v>4</x:v>
      </x:c>
      <x:c r="U264" s="72" t="n">
        <x:v>4</x:v>
      </x:c>
      <x:c r="V264" s="72" t="n">
        <x:v>4</x:v>
      </x:c>
      <x:c r="W264" s="29" t="str">
        <x:v>借鉴“故事—机制—反转—实践”结构；不要把节目叙事直接当作因果证据。</x:v>
      </x:c>
      <x:c r="X264" s="29" t="str">
        <x:v>用人物故事连接社会心理、认知偏差、关系与行为研究，传播结构非常适合学习。</x:v>
      </x:c>
      <x:c r="Y264" s="29" t="str">
        <x:v>2026-08-17：主页 200；Simplecast 官方节目 RSS 200，XML 已确认。</x:v>
      </x:c>
      <x:c r="Z264" s="75" t="b">
        <x:v>0</x:v>
      </x:c>
      <x:c r="AA264" s="29"/>
      <x:c r="AB264" s="29" t="str">
        <x:v>扩展调研：心理、认知与情商</x:v>
      </x:c>
      <x:c r="AC264" s="29" t="str">
        <x:v>https://www.hiddenbrain.org/about/</x:v>
      </x:c>
      <x:c r="AD264" s="29" t="str">
        <x:v>2026-08-17</x:v>
      </x:c>
      <x:c r="AE264" s="29" t="n">
        <x:v>200</x:v>
      </x:c>
      <x:c r="AF264" s="29" t="str">
        <x:v>https://feeds.simplecast.com/kwWc0lhf</x:v>
      </x:c>
      <x:c r="AG264" s="29" t="str"/>
    </x:row>
    <x:row r="265" ht="44" customHeight="1">
      <x:c r="A265" s="29" t="str">
        <x:v>SRC-261</x:v>
      </x:c>
      <x:c r="B265" s="29" t="str">
        <x:f>IF(C265&gt;=93,"S",IF(C265&gt;=90,"A",IF(C265&gt;=80,"B","C")))</x:f>
        <x:v>B</x:v>
      </x:c>
      <x:c r="C265" s="72" t="n">
        <x:f>ROUND((P265*0.20+Q265*0.18+R265*0.20+S265*0.15+T265*0.12+U265*0.10+V265*0.05)*20,0)</x:f>
        <x:v>87</x:v>
      </x:c>
      <x:c r="D265" s="29" t="str">
        <x:v>心理、认知与情商</x:v>
      </x:c>
      <x:c r="E265" s="29" t="str">
        <x:v>心理学专家访谈</x:v>
      </x:c>
      <x:c r="F265" s="29" t="str">
        <x:v>Speaking of Psychology（APA）</x:v>
      </x:c>
      <x:c r="G265" s="29" t="str"/>
      <x:c r="H265" s="29" t="str">
        <x:v>专业协会播客</x:v>
      </x:c>
      <x:c r="I265" s="29" t="str">
        <x:v>英文</x:v>
      </x:c>
      <x:c r="J265" s="29" t="str">
        <x:v>解释源</x:v>
      </x:c>
      <x:c r="K265" s="29" t="str">
        <x:v>开放</x:v>
      </x:c>
      <x:c r="L265" s="29" t="str">
        <x:v>周更</x:v>
      </x:c>
      <x:c r="M265" s="29" t="str">
        <x:v>https://www.apa.org/news/podcasts/speaking-of-psychology</x:v>
      </x:c>
      <x:c r="N265" s="29" t="str">
        <x:v>https://feeds.megaphone.fm/AMERICANPSYCHOLOGICALASSOCIATION9933181801</x:v>
      </x:c>
      <x:c r="O265" s="29" t="str">
        <x:v>有效</x:v>
      </x:c>
      <x:c r="P265" s="72" t="n">
        <x:v>4</x:v>
      </x:c>
      <x:c r="Q265" s="72" t="n">
        <x:v>5</x:v>
      </x:c>
      <x:c r="R265" s="72" t="n">
        <x:v>4</x:v>
      </x:c>
      <x:c r="S265" s="72" t="n">
        <x:v>5</x:v>
      </x:c>
      <x:c r="T265" s="72" t="n">
        <x:v>4</x:v>
      </x:c>
      <x:c r="U265" s="72" t="n">
        <x:v>4</x:v>
      </x:c>
      <x:c r="V265" s="72" t="n">
        <x:v>4</x:v>
      </x:c>
      <x:c r="W265" s="29" t="str">
        <x:v>提取专家的核心解释、反直觉发现和实践边界；重要数据仍回链论文。</x:v>
      </x:c>
      <x:c r="X265" s="29" t="str">
        <x:v>美国心理学会邀请研究者解释心理学议题，专业性和公众可读性兼具。</x:v>
      </x:c>
      <x:c r="Y265" s="29" t="str">
        <x:v>2026-08-17：APA 节目页 200；Megaphone 官方节目 RSS 200，XML 已确认。</x:v>
      </x:c>
      <x:c r="Z265" s="75" t="b">
        <x:v>0</x:v>
      </x:c>
      <x:c r="AA265" s="29"/>
      <x:c r="AB265" s="29" t="str">
        <x:v>扩展调研：心理、认知与情商</x:v>
      </x:c>
      <x:c r="AC265" s="29" t="str">
        <x:v>https://www.apa.org/news/podcasts/speaking-of-psychology</x:v>
      </x:c>
      <x:c r="AD265" s="29" t="str">
        <x:v>2026-08-17</x:v>
      </x:c>
      <x:c r="AE265" s="29" t="n">
        <x:v>200</x:v>
      </x:c>
      <x:c r="AF265" s="29" t="str">
        <x:v>https://feeds.megaphone.fm/AMERICANPSYCHOLOGICALASSOCIATION9933181801</x:v>
      </x:c>
      <x:c r="AG265" s="29" t="str"/>
    </x:row>
    <x:row r="266" ht="44" customHeight="1">
      <x:c r="A266" s="29" t="str">
        <x:v>SRC-262</x:v>
      </x:c>
      <x:c r="B266" s="29" t="str">
        <x:f>IF(C266&gt;=93,"S",IF(C266&gt;=90,"A",IF(C266&gt;=80,"B","C")))</x:f>
        <x:v>B</x:v>
      </x:c>
      <x:c r="C266" s="72" t="n">
        <x:f>ROUND((P266*0.20+Q266*0.18+R266*0.20+S266*0.15+T266*0.12+U266*0.10+V266*0.05)*20,0)</x:f>
        <x:v>87</x:v>
      </x:c>
      <x:c r="D266" s="29" t="str">
        <x:v>心理、认知与情商</x:v>
      </x:c>
      <x:c r="E266" s="29" t="str">
        <x:v>社会心理学现实应用</x:v>
      </x:c>
      <x:c r="F266" s="29" t="str">
        <x:v>Stanford SPARQ</x:v>
      </x:c>
      <x:c r="G266" s="29" t="str"/>
      <x:c r="H266" s="29" t="str">
        <x:v>大学行为科学转化中心</x:v>
      </x:c>
      <x:c r="I266" s="29" t="str">
        <x:v>英文</x:v>
      </x:c>
      <x:c r="J266" s="29" t="str">
        <x:v>解释源</x:v>
      </x:c>
      <x:c r="K266" s="29" t="str">
        <x:v>开放；无固定 RSS</x:v>
      </x:c>
      <x:c r="L266" s="29" t="str">
        <x:v>不定期</x:v>
      </x:c>
      <x:c r="M266" s="29" t="str">
        <x:v>https://sparq.stanford.edu/</x:v>
      </x:c>
      <x:c r="N266" s="29" t="str"/>
      <x:c r="O266" s="29" t="str">
        <x:v>无RSS/API入口</x:v>
      </x:c>
      <x:c r="P266" s="72" t="n">
        <x:v>4</x:v>
      </x:c>
      <x:c r="Q266" s="72" t="n">
        <x:v>5</x:v>
      </x:c>
      <x:c r="R266" s="72" t="n">
        <x:v>4</x:v>
      </x:c>
      <x:c r="S266" s="72" t="n">
        <x:v>5</x:v>
      </x:c>
      <x:c r="T266" s="72" t="n">
        <x:v>4</x:v>
      </x:c>
      <x:c r="U266" s="72" t="n">
        <x:v>4</x:v>
      </x:c>
      <x:c r="V266" s="72" t="n">
        <x:v>4</x:v>
      </x:c>
      <x:c r="W266" s="29" t="str">
        <x:v>适合写“一个行为问题有哪些经过测试的干预”类实用帖，并链接 Solutions Catalog。</x:v>
      </x:c>
      <x:c r="X266" s="29" t="str">
        <x:v>将社会心理研究转化为教育、健康、司法、关系和偏见领域的可用工具与解决方案。</x:v>
      </x:c>
      <x:c r="Y266" s="29" t="str">
        <x:v>2026-08-17：官方主页 200；未发现公开 RSS。</x:v>
      </x:c>
      <x:c r="Z266" s="75" t="b">
        <x:v>0</x:v>
      </x:c>
      <x:c r="AA266" s="29"/>
      <x:c r="AB266" s="29" t="str">
        <x:v>扩展调研：心理、认知与情商</x:v>
      </x:c>
      <x:c r="AC266" s="29" t="str">
        <x:v>https://sparq.stanford.edu/our-approach</x:v>
      </x:c>
      <x:c r="AD266" s="29" t="str">
        <x:v>2026-08-17</x:v>
      </x:c>
      <x:c r="AE266" s="29"/>
      <x:c r="AF266" s="29" t="str"/>
      <x:c r="AG266" s="29" t="str"/>
    </x:row>
    <x:row r="267" ht="44" customHeight="1">
      <x:c r="A267" s="29" t="str">
        <x:v>SRC-263</x:v>
      </x:c>
      <x:c r="B267" s="29" t="str">
        <x:f>IF(C267&gt;=93,"S",IF(C267&gt;=90,"A",IF(C267&gt;=80,"B","C")))</x:f>
        <x:v>B</x:v>
      </x:c>
      <x:c r="C267" s="72" t="n">
        <x:f>ROUND((P267*0.20+Q267*0.18+R267*0.20+S267*0.15+T267*0.12+U267*0.10+V267*0.05)*20,0)</x:f>
        <x:v>87</x:v>
      </x:c>
      <x:c r="D267" s="29" t="str">
        <x:v>心理、认知与情商</x:v>
      </x:c>
      <x:c r="E267" s="29" t="str">
        <x:v>幸福科学与行为改变</x:v>
      </x:c>
      <x:c r="F267" s="29" t="str">
        <x:v>The Happiness Lab with Dr. Laurie Santos</x:v>
      </x:c>
      <x:c r="G267" s="29" t="str"/>
      <x:c r="H267" s="29" t="str">
        <x:v>研究者播客</x:v>
      </x:c>
      <x:c r="I267" s="29" t="str">
        <x:v>英文</x:v>
      </x:c>
      <x:c r="J267" s="29" t="str">
        <x:v>解释源</x:v>
      </x:c>
      <x:c r="K267" s="29" t="str">
        <x:v>开放</x:v>
      </x:c>
      <x:c r="L267" s="29" t="str">
        <x:v>周更 / 季播</x:v>
      </x:c>
      <x:c r="M267" s="29" t="str">
        <x:v>https://www.pushkin.fm/podcasts/the-happiness-lab-with-dr-laurie-santos</x:v>
      </x:c>
      <x:c r="N267" s="29" t="str">
        <x:v>https://www.omnycontent.com/d/playlist/e73c998e-6e60-432f-8610-ae210140c5b1/96c5c41e-0bc8-4661-b184-ae32006cd726/d623ef0b-3fee-4c26-b815-ae32006cd739/podcast.rss</x:v>
      </x:c>
      <x:c r="O267" s="29" t="str">
        <x:v>有效</x:v>
      </x:c>
      <x:c r="P267" s="72" t="n">
        <x:v>4</x:v>
      </x:c>
      <x:c r="Q267" s="72" t="n">
        <x:v>5</x:v>
      </x:c>
      <x:c r="R267" s="72" t="n">
        <x:v>4</x:v>
      </x:c>
      <x:c r="S267" s="72" t="n">
        <x:v>5</x:v>
      </x:c>
      <x:c r="T267" s="72" t="n">
        <x:v>4</x:v>
      </x:c>
      <x:c r="U267" s="72" t="n">
        <x:v>4</x:v>
      </x:c>
      <x:c r="V267" s="72" t="n">
        <x:v>4</x:v>
      </x:c>
      <x:c r="W267" s="29" t="str">
        <x:v>提取故事化开头和可实践建议；将节目中的关键研究单独核验后引用。</x:v>
      </x:c>
      <x:c r="X267" s="29" t="str">
        <x:v>由 Yale 心理学者 Laurie Santos 主持，以研究、案例和反直觉机制讨论幸福与习惯。</x:v>
      </x:c>
      <x:c r="Y267" s="29" t="str">
        <x:v>2026-08-17：Pushkin 节目页 200；Omny 官方节目 RSS 200，XML 已确认。</x:v>
      </x:c>
      <x:c r="Z267" s="75" t="b">
        <x:v>0</x:v>
      </x:c>
      <x:c r="AA267" s="29"/>
      <x:c r="AB267" s="29" t="str">
        <x:v>扩展调研：心理、认知与情商</x:v>
      </x:c>
      <x:c r="AC267" s="29" t="str">
        <x:v>https://www.pushkin.fm/podcasts/the-happiness-lab-with-dr-laurie-santos</x:v>
      </x:c>
      <x:c r="AD267" s="29" t="str">
        <x:v>2026-08-17</x:v>
      </x:c>
      <x:c r="AE267" s="29" t="n">
        <x:v>200</x:v>
      </x:c>
      <x:c r="AF267" s="29" t="str">
        <x:v>https://www.omnycontent.com/d/playlist/e73c998e-6e60-432f-8610-ae210140c5b1/96c5c41e-0bc8-4661-b184-ae32006cd726/d623ef0b-3fee-4c26-b815-ae32006cd739/podcast.rss</x:v>
      </x:c>
      <x:c r="AG267" s="29" t="str"/>
    </x:row>
    <x:row r="268" ht="44" customHeight="1">
      <x:c r="A268" s="29" t="str">
        <x:v>SRC-264</x:v>
      </x:c>
      <x:c r="B268" s="29" t="str">
        <x:f>IF(C268&gt;=93,"S",IF(C268&gt;=90,"A",IF(C268&gt;=80,"B","C")))</x:f>
        <x:v>B</x:v>
      </x:c>
      <x:c r="C268" s="72" t="n">
        <x:f>ROUND((P268*0.20+Q268*0.18+R268*0.20+S268*0.15+T268*0.12+U268*0.10+V268*0.05)*20,0)</x:f>
        <x:v>87</x:v>
      </x:c>
      <x:c r="D268" s="29" t="str">
        <x:v>心理、认知与情商</x:v>
      </x:c>
      <x:c r="E268" s="29" t="str">
        <x:v>心理健康研究批判性解读</x:v>
      </x:c>
      <x:c r="F268" s="29" t="str">
        <x:v>The Mental Elf</x:v>
      </x:c>
      <x:c r="G268" s="29" t="str"/>
      <x:c r="H268" s="29" t="str">
        <x:v>循证研究解释媒体</x:v>
      </x:c>
      <x:c r="I268" s="29" t="str">
        <x:v>英文</x:v>
      </x:c>
      <x:c r="J268" s="29" t="str">
        <x:v>解释源</x:v>
      </x:c>
      <x:c r="K268" s="29" t="str">
        <x:v>开放</x:v>
      </x:c>
      <x:c r="L268" s="29" t="str">
        <x:v>每周多篇</x:v>
      </x:c>
      <x:c r="M268" s="29" t="str">
        <x:v>https://www.nationalelfservice.net/mental-health/</x:v>
      </x:c>
      <x:c r="N268" s="29" t="str">
        <x:v>https://www.nationalelfservice.net/mental-health/feed/</x:v>
      </x:c>
      <x:c r="O268" s="29" t="str">
        <x:v>有效</x:v>
      </x:c>
      <x:c r="P268" s="72" t="n">
        <x:v>4</x:v>
      </x:c>
      <x:c r="Q268" s="72" t="n">
        <x:v>5</x:v>
      </x:c>
      <x:c r="R268" s="72" t="n">
        <x:v>4</x:v>
      </x:c>
      <x:c r="S268" s="72" t="n">
        <x:v>5</x:v>
      </x:c>
      <x:c r="T268" s="72" t="n">
        <x:v>4</x:v>
      </x:c>
      <x:c r="U268" s="72" t="n">
        <x:v>4</x:v>
      </x:c>
      <x:c r="V268" s="72" t="n">
        <x:v>4</x:v>
      </x:c>
      <x:c r="W268" s="29" t="str">
        <x:v>快速抓住论文的优点和缺陷；引用时同时给出原论文与解读链接。</x:v>
      </x:c>
      <x:c r="X268" s="29" t="str">
        <x:v>由专业人士解读心理健康研究，固定关注研究质量、临床意义与局限。</x:v>
      </x:c>
      <x:c r="Y268" s="29" t="str">
        <x:v>2026-08-17：专题主页 200；RSS 200，XML 已确认。</x:v>
      </x:c>
      <x:c r="Z268" s="75" t="b">
        <x:v>0</x:v>
      </x:c>
      <x:c r="AA268" s="29"/>
      <x:c r="AB268" s="29" t="str">
        <x:v>扩展调研：心理、认知与情商</x:v>
      </x:c>
      <x:c r="AC268" s="29" t="str">
        <x:v>https://www.nationalelfservice.net/about/</x:v>
      </x:c>
      <x:c r="AD268" s="29" t="str">
        <x:v>2026-08-17</x:v>
      </x:c>
      <x:c r="AE268" s="29" t="n">
        <x:v>200</x:v>
      </x:c>
      <x:c r="AF268" s="29" t="str">
        <x:v>https://www.nationalelfservice.net/mental-health/feed/</x:v>
      </x:c>
      <x:c r="AG268" s="29" t="str"/>
    </x:row>
    <x:row r="269" ht="44" customHeight="1">
      <x:c r="A269" s="29" t="str">
        <x:v>SRC-265</x:v>
      </x:c>
      <x:c r="B269" s="29" t="str">
        <x:f>IF(C269&gt;=93,"S",IF(C269&gt;=90,"A",IF(C269&gt;=80,"B","C")))</x:f>
        <x:v>B</x:v>
      </x:c>
      <x:c r="C269" s="72" t="n">
        <x:f>ROUND((P269*0.20+Q269*0.18+R269*0.20+S269*0.15+T269*0.12+U269*0.10+V269*0.05)*20,0)</x:f>
        <x:v>87</x:v>
      </x:c>
      <x:c r="D269" s="29" t="str">
        <x:v>心理、认知与情商</x:v>
      </x:c>
      <x:c r="E269" s="29" t="str">
        <x:v>幸福与亲社会行为播客</x:v>
      </x:c>
      <x:c r="F269" s="29" t="str">
        <x:v>The Science of Happiness</x:v>
      </x:c>
      <x:c r="G269" s="29" t="str"/>
      <x:c r="H269" s="29" t="str">
        <x:v>研究型播客</x:v>
      </x:c>
      <x:c r="I269" s="29" t="str">
        <x:v>英文</x:v>
      </x:c>
      <x:c r="J269" s="29" t="str">
        <x:v>解释源</x:v>
      </x:c>
      <x:c r="K269" s="29" t="str">
        <x:v>开放</x:v>
      </x:c>
      <x:c r="L269" s="29" t="str">
        <x:v>双周至周更</x:v>
      </x:c>
      <x:c r="M269" s="29" t="str">
        <x:v>https://greatergood.berkeley.edu/podcasts</x:v>
      </x:c>
      <x:c r="N269" s="29" t="str">
        <x:v>https://feeds.feedburner.com/TheScienceOfHappiness</x:v>
      </x:c>
      <x:c r="O269" s="29" t="str">
        <x:v>有效</x:v>
      </x:c>
      <x:c r="P269" s="72" t="n">
        <x:v>4</x:v>
      </x:c>
      <x:c r="Q269" s="72" t="n">
        <x:v>5</x:v>
      </x:c>
      <x:c r="R269" s="72" t="n">
        <x:v>4</x:v>
      </x:c>
      <x:c r="S269" s="72" t="n">
        <x:v>5</x:v>
      </x:c>
      <x:c r="T269" s="72" t="n">
        <x:v>4</x:v>
      </x:c>
      <x:c r="U269" s="72" t="n">
        <x:v>4</x:v>
      </x:c>
      <x:c r="V269" s="72" t="n">
        <x:v>4</x:v>
      </x:c>
      <x:c r="W269" s="29" t="str">
        <x:v>提炼可执行练习和人物故事；把播客当解释入口，证据结论回链研究。</x:v>
      </x:c>
      <x:c r="X269" s="29" t="str">
        <x:v>Greater Good Science Center 制作，用故事、研究者访谈和实践实验连接幸福科学与日常生活。</x:v>
      </x:c>
      <x:c r="Y269" s="29" t="str">
        <x:v>2026-08-17：节目主页 200；节目 RSS 重定向后 200，XML 已确认。</x:v>
      </x:c>
      <x:c r="Z269" s="75" t="b">
        <x:v>0</x:v>
      </x:c>
      <x:c r="AA269" s="29"/>
      <x:c r="AB269" s="29" t="str">
        <x:v>扩展调研：心理、认知与情商</x:v>
      </x:c>
      <x:c r="AC269" s="29" t="str">
        <x:v>https://greatergood.berkeley.edu/podcasts</x:v>
      </x:c>
      <x:c r="AD269" s="29" t="str">
        <x:v>2026-08-17</x:v>
      </x:c>
      <x:c r="AE269" s="29" t="n">
        <x:v>200</x:v>
      </x:c>
      <x:c r="AF269" s="29" t="str">
        <x:v>https://feeds.feedburner.com/TheScienceOfHappiness</x:v>
      </x:c>
      <x:c r="AG269" s="29" t="str"/>
    </x:row>
    <x:row r="270" ht="44" customHeight="1">
      <x:c r="A270" s="29" t="str">
        <x:v>SRC-266</x:v>
      </x:c>
      <x:c r="B270" s="29" t="str">
        <x:f>IF(C270&gt;=93,"S",IF(C270&gt;=90,"A",IF(C270&gt;=80,"B","C")))</x:f>
        <x:v>B</x:v>
      </x:c>
      <x:c r="C270" s="72" t="n">
        <x:f>ROUND((P270*0.20+Q270*0.18+R270*0.20+S270*0.15+T270*0.12+U270*0.10+V270*0.05)*20,0)</x:f>
        <x:v>86</x:v>
      </x:c>
      <x:c r="D270" s="29" t="str">
        <x:v>AI、科技与工程</x:v>
      </x:c>
      <x:c r="E270" s="29" t="str">
        <x:v>软件、系统与互联网</x:v>
      </x:c>
      <x:c r="F270" s="29" t="str">
        <x:v>abortretry.fail</x:v>
      </x:c>
      <x:c r="G270" s="29" t="str">
        <x:v>Bradford Morgan White</x:v>
      </x:c>
      <x:c r="H270" s="29" t="str">
        <x:v>独立博客 / 长文</x:v>
      </x:c>
      <x:c r="I270" s="29" t="str">
        <x:v>en</x:v>
      </x:c>
      <x:c r="J270" s="29" t="str">
        <x:v>解释源</x:v>
      </x:c>
      <x:c r="K270" s="29" t="str">
        <x:v>Open</x:v>
      </x:c>
      <x:c r="L270" s="29" t="str">
        <x:v>不定期</x:v>
      </x:c>
      <x:c r="M270" s="29" t="str">
        <x:v>https://abortretry.fail</x:v>
      </x:c>
      <x:c r="N270" s="29" t="str">
        <x:v>https://www.abortretry.fail/feed</x:v>
      </x:c>
      <x:c r="O270" s="29" t="str">
        <x:v>有效</x:v>
      </x:c>
      <x:c r="P270" s="72" t="n">
        <x:v>4</x:v>
      </x:c>
      <x:c r="Q270" s="72" t="n">
        <x:v>5</x:v>
      </x:c>
      <x:c r="R270" s="72" t="n">
        <x:v>4</x:v>
      </x:c>
      <x:c r="S270" s="72" t="n">
        <x:v>5</x:v>
      </x:c>
      <x:c r="T270" s="72" t="n">
        <x:v>4</x:v>
      </x:c>
      <x:c r="U270" s="72" t="n">
        <x:v>3</x:v>
      </x:c>
      <x:c r="V270" s="72" t="n">
        <x:v>5</x:v>
      </x:c>
      <x:c r="W270" s="29" t="str">
        <x:v>工程洞见、实战复盘、技术解释</x:v>
      </x:c>
      <x:c r="X270" s="29" t="str">
        <x:v>2025 年 Hacker News 高热个人博客。</x:v>
      </x:c>
      <x:c r="Y270" s="29" t="str">
        <x:v>独立作者源；事实、数字和因果需回到论文、文档或数据。观点须明确归因。</x:v>
      </x:c>
      <x:c r="Z270" s="75" t="b">
        <x:v>1</x:v>
      </x:c>
      <x:c r="AA270" s="29" t="n">
        <x:v>56</x:v>
      </x:c>
      <x:c r="AB270" s="29" t="str">
        <x:v>Karpathy 分享的 HN 2025 RSS 冷启动集</x:v>
      </x:c>
      <x:c r="AC270" s="29" t="str">
        <x:v>https://gist.github.com/emschwartz/e6d2bf860ccc367fe37ff953ba6de66b</x:v>
      </x:c>
      <x:c r="AD270" s="29" t="str">
        <x:v>2026-08-17</x:v>
      </x:c>
      <x:c r="AE270" s="29" t="n">
        <x:v>200</x:v>
      </x:c>
      <x:c r="AF270" s="29" t="str">
        <x:v>https://www.abortretry.fail/feed</x:v>
      </x:c>
      <x:c r="AG270" s="29" t="str">
        <x:v>vintage software</x:v>
      </x:c>
    </x:row>
    <x:row r="271" ht="44" customHeight="1">
      <x:c r="A271" s="29" t="str">
        <x:v>SRC-267</x:v>
      </x:c>
      <x:c r="B271" s="29" t="str">
        <x:f>IF(C271&gt;=93,"S",IF(C271&gt;=90,"A",IF(C271&gt;=80,"B","C")))</x:f>
        <x:v>B</x:v>
      </x:c>
      <x:c r="C271" s="72" t="n">
        <x:f>ROUND((P271*0.20+Q271*0.18+R271*0.20+S271*0.15+T271*0.12+U271*0.10+V271*0.05)*20,0)</x:f>
        <x:v>86</x:v>
      </x:c>
      <x:c r="D271" s="29" t="str">
        <x:v>AI、科技与工程</x:v>
      </x:c>
      <x:c r="E271" s="29" t="str">
        <x:v>LLM研究教学</x:v>
      </x:c>
      <x:c r="F271" s="29" t="str">
        <x:v>Ahead of AI</x:v>
      </x:c>
      <x:c r="G271" s="29" t="str"/>
      <x:c r="H271" s="29" t="str">
        <x:v>论文教程、训练、推理、代码与比较</x:v>
      </x:c>
      <x:c r="I271" s="29" t="str">
        <x:v>en</x:v>
      </x:c>
      <x:c r="J271" s="29" t="str">
        <x:v>解释源</x:v>
      </x:c>
      <x:c r="K271" s="29" t="str">
        <x:v>Freemium</x:v>
      </x:c>
      <x:c r="L271" s="29" t="str">
        <x:v>每周约1至2篇</x:v>
      </x:c>
      <x:c r="M271" s="29" t="str">
        <x:v>https://magazine.sebastianraschka.com/</x:v>
      </x:c>
      <x:c r="N271" s="29" t="str">
        <x:v>https://magazine.sebastianraschka.com/feed</x:v>
      </x:c>
      <x:c r="O271" s="29" t="str">
        <x:v>有效</x:v>
      </x:c>
      <x:c r="P271" s="72" t="n">
        <x:v>4</x:v>
      </x:c>
      <x:c r="Q271" s="72" t="n">
        <x:v>5</x:v>
      </x:c>
      <x:c r="R271" s="72" t="n">
        <x:v>4</x:v>
      </x:c>
      <x:c r="S271" s="72" t="n">
        <x:v>5</x:v>
      </x:c>
      <x:c r="T271" s="72" t="n">
        <x:v>4</x:v>
      </x:c>
      <x:c r="U271" s="72" t="n">
        <x:v>4</x:v>
      </x:c>
      <x:c r="V271" s="72" t="n">
        <x:v>3</x:v>
      </x:c>
      <x:c r="W271" s="29" t="str">
        <x:v>论文复现、模型差异、技术教学</x:v>
      </x:c>
      <x:c r="X271" s="29" t="str">
        <x:v>Sebastian Raschka注重可复现和教学，技术细节扎实。</x:v>
      </x:c>
      <x:c r="Y271" s="29" t="str">
        <x:v>Substack Feed端点已核验。</x:v>
      </x:c>
      <x:c r="Z271" s="75" t="b">
        <x:v>0</x:v>
      </x:c>
      <x:c r="AA271" s="29"/>
      <x:c r="AB271" s="29" t="str">
        <x:v>扩展调研：科技、科学与数据</x:v>
      </x:c>
      <x:c r="AC271" s="29" t="str">
        <x:v>https://magazine.sebastianraschka.com/feed</x:v>
      </x:c>
      <x:c r="AD271" s="29" t="str">
        <x:v>2026-08-17</x:v>
      </x:c>
      <x:c r="AE271" s="29" t="n">
        <x:v>200</x:v>
      </x:c>
      <x:c r="AF271" s="29" t="str">
        <x:v>https://magazine.sebastianraschka.com/feed</x:v>
      </x:c>
      <x:c r="AG271" s="29" t="str"/>
    </x:row>
    <x:row r="272" ht="44" customHeight="1">
      <x:c r="A272" s="29" t="str">
        <x:v>SRC-268</x:v>
      </x:c>
      <x:c r="B272" s="29" t="str">
        <x:f>IF(C272&gt;=93,"S",IF(C272&gt;=90,"A",IF(C272&gt;=80,"B","C")))</x:f>
        <x:v>B</x:v>
      </x:c>
      <x:c r="C272" s="72" t="n">
        <x:f>ROUND((P272*0.20+Q272*0.18+R272*0.20+S272*0.15+T272*0.12+U272*0.10+V272*0.05)*20,0)</x:f>
        <x:v>86</x:v>
      </x:c>
      <x:c r="D272" s="29" t="str">
        <x:v>AI、科技与工程</x:v>
      </x:c>
      <x:c r="E272" s="29" t="str">
        <x:v>软件、系统与互联网</x:v>
      </x:c>
      <x:c r="F272" s="29" t="str">
        <x:v>antirez.com</x:v>
      </x:c>
      <x:c r="G272" s="29" t="str">
        <x:v>Salvatore Sanfilippo</x:v>
      </x:c>
      <x:c r="H272" s="29" t="str">
        <x:v>独立博客 / 长文</x:v>
      </x:c>
      <x:c r="I272" s="29" t="str">
        <x:v>en</x:v>
      </x:c>
      <x:c r="J272" s="29" t="str">
        <x:v>解释源</x:v>
      </x:c>
      <x:c r="K272" s="29" t="str">
        <x:v>Open</x:v>
      </x:c>
      <x:c r="L272" s="29" t="str">
        <x:v>不定期</x:v>
      </x:c>
      <x:c r="M272" s="29" t="str">
        <x:v>http://antirez.com</x:v>
      </x:c>
      <x:c r="N272" s="29" t="str">
        <x:v>https://antirez.com/rss</x:v>
      </x:c>
      <x:c r="O272" s="29" t="str">
        <x:v>重定向后有效</x:v>
      </x:c>
      <x:c r="P272" s="72" t="n">
        <x:v>4</x:v>
      </x:c>
      <x:c r="Q272" s="72" t="n">
        <x:v>5</x:v>
      </x:c>
      <x:c r="R272" s="72" t="n">
        <x:v>4</x:v>
      </x:c>
      <x:c r="S272" s="72" t="n">
        <x:v>5</x:v>
      </x:c>
      <x:c r="T272" s="72" t="n">
        <x:v>4</x:v>
      </x:c>
      <x:c r="U272" s="72" t="n">
        <x:v>3</x:v>
      </x:c>
      <x:c r="V272" s="72" t="n">
        <x:v>5</x:v>
      </x:c>
      <x:c r="W272" s="29" t="str">
        <x:v>工程洞见、实战复盘、技术解释</x:v>
      </x:c>
      <x:c r="X272" s="29" t="str">
        <x:v>2025 年 Hacker News 高热个人博客。作者背景：Creator of Redis。</x:v>
      </x:c>
      <x:c r="Y272" s="29" t="str">
        <x:v>独立作者源；事实、数字和因果需回到论文、文档或数据。观点须明确归因。</x:v>
      </x:c>
      <x:c r="Z272" s="75" t="b">
        <x:v>1</x:v>
      </x:c>
      <x:c r="AA272" s="29" t="n">
        <x:v>7</x:v>
      </x:c>
      <x:c r="AB272" s="29" t="str">
        <x:v>Karpathy 分享的 HN 2025 RSS 冷启动集</x:v>
      </x:c>
      <x:c r="AC272" s="29" t="str">
        <x:v>https://gist.github.com/emschwartz/e6d2bf860ccc367fe37ff953ba6de66b</x:v>
      </x:c>
      <x:c r="AD272" s="29" t="str">
        <x:v>2026-08-17</x:v>
      </x:c>
      <x:c r="AE272" s="29" t="n">
        <x:v>200</x:v>
      </x:c>
      <x:c r="AF272" s="29" t="str">
        <x:v>https://antirez.com/rss</x:v>
      </x:c>
      <x:c r="AG272" s="29" t="str">
        <x:v>databases, open-source, software development</x:v>
      </x:c>
    </x:row>
    <x:row r="273" ht="44" customHeight="1">
      <x:c r="A273" s="29" t="str">
        <x:v>SRC-269</x:v>
      </x:c>
      <x:c r="B273" s="29" t="str">
        <x:f>IF(C273&gt;=93,"S",IF(C273&gt;=90,"A",IF(C273&gt;=80,"B","C")))</x:f>
        <x:v>B</x:v>
      </x:c>
      <x:c r="C273" s="72" t="n">
        <x:f>ROUND((P273*0.20+Q273*0.18+R273*0.20+S273*0.15+T273*0.12+U273*0.10+V273*0.05)*20,0)</x:f>
        <x:v>86</x:v>
      </x:c>
      <x:c r="D273" s="29" t="str">
        <x:v>AI、科技与工程</x:v>
      </x:c>
      <x:c r="E273" s="29" t="str">
        <x:v>软件、系统与互联网</x:v>
      </x:c>
      <x:c r="F273" s="29" t="str">
        <x:v>beej.us</x:v>
      </x:c>
      <x:c r="G273" s="29" t="str">
        <x:v>Brian "Beej" Hall</x:v>
      </x:c>
      <x:c r="H273" s="29" t="str">
        <x:v>独立博客 / 长文</x:v>
      </x:c>
      <x:c r="I273" s="29" t="str">
        <x:v>en</x:v>
      </x:c>
      <x:c r="J273" s="29" t="str">
        <x:v>解释源</x:v>
      </x:c>
      <x:c r="K273" s="29" t="str">
        <x:v>Open</x:v>
      </x:c>
      <x:c r="L273" s="29" t="str">
        <x:v>不定期</x:v>
      </x:c>
      <x:c r="M273" s="29" t="str">
        <x:v>https://beej.us</x:v>
      </x:c>
      <x:c r="N273" s="29" t="str">
        <x:v>https://beej.us/blog/rss.xml</x:v>
      </x:c>
      <x:c r="O273" s="29" t="str">
        <x:v>有效</x:v>
      </x:c>
      <x:c r="P273" s="72" t="n">
        <x:v>4</x:v>
      </x:c>
      <x:c r="Q273" s="72" t="n">
        <x:v>5</x:v>
      </x:c>
      <x:c r="R273" s="72" t="n">
        <x:v>4</x:v>
      </x:c>
      <x:c r="S273" s="72" t="n">
        <x:v>5</x:v>
      </x:c>
      <x:c r="T273" s="72" t="n">
        <x:v>4</x:v>
      </x:c>
      <x:c r="U273" s="72" t="n">
        <x:v>3</x:v>
      </x:c>
      <x:c r="V273" s="72" t="n">
        <x:v>5</x:v>
      </x:c>
      <x:c r="W273" s="29" t="str">
        <x:v>工程洞见、实战复盘、技术解释</x:v>
      </x:c>
      <x:c r="X273" s="29" t="str">
        <x:v>2025 年 Hacker News 高热个人博客。作者背景：Software developer and educator。</x:v>
      </x:c>
      <x:c r="Y273" s="29" t="str">
        <x:v>独立作者源；事实、数字和因果需回到论文、文档或数据。观点须明确归因。</x:v>
      </x:c>
      <x:c r="Z273" s="75" t="b">
        <x:v>1</x:v>
      </x:c>
      <x:c r="AA273" s="29" t="n">
        <x:v>66</x:v>
      </x:c>
      <x:c r="AB273" s="29" t="str">
        <x:v>Karpathy 分享的 HN 2025 RSS 冷启动集</x:v>
      </x:c>
      <x:c r="AC273" s="29" t="str">
        <x:v>https://gist.github.com/emschwartz/e6d2bf860ccc367fe37ff953ba6de66b</x:v>
      </x:c>
      <x:c r="AD273" s="29" t="str">
        <x:v>2026-08-17</x:v>
      </x:c>
      <x:c r="AE273" s="29" t="n">
        <x:v>200</x:v>
      </x:c>
      <x:c r="AF273" s="29" t="str">
        <x:v>https://beej.us/blog/rss.xml</x:v>
      </x:c>
      <x:c r="AG273" s="29" t="str">
        <x:v>network programming, software development, education</x:v>
      </x:c>
    </x:row>
    <x:row r="274" ht="44" customHeight="1">
      <x:c r="A274" s="29" t="str">
        <x:v>SRC-270</x:v>
      </x:c>
      <x:c r="B274" s="29" t="str">
        <x:f>IF(C274&gt;=93,"S",IF(C274&gt;=90,"A",IF(C274&gt;=80,"B","C")))</x:f>
        <x:v>B</x:v>
      </x:c>
      <x:c r="C274" s="72" t="n">
        <x:f>ROUND((P274*0.20+Q274*0.18+R274*0.20+S274*0.15+T274*0.12+U274*0.10+V274*0.05)*20,0)</x:f>
        <x:v>86</x:v>
      </x:c>
      <x:c r="D274" s="29" t="str">
        <x:v>AI、科技与工程</x:v>
      </x:c>
      <x:c r="E274" s="29" t="str">
        <x:v>软件、系统与互联网</x:v>
      </x:c>
      <x:c r="F274" s="29" t="str">
        <x:v>bernsteinbear.com</x:v>
      </x:c>
      <x:c r="G274" s="29" t="str">
        <x:v>Max Bernstein</x:v>
      </x:c>
      <x:c r="H274" s="29" t="str">
        <x:v>独立博客 / 长文</x:v>
      </x:c>
      <x:c r="I274" s="29" t="str">
        <x:v>en</x:v>
      </x:c>
      <x:c r="J274" s="29" t="str">
        <x:v>解释源</x:v>
      </x:c>
      <x:c r="K274" s="29" t="str">
        <x:v>Open</x:v>
      </x:c>
      <x:c r="L274" s="29" t="str">
        <x:v>不定期</x:v>
      </x:c>
      <x:c r="M274" s="29" t="str">
        <x:v>https://bernsteinbear.com</x:v>
      </x:c>
      <x:c r="N274" s="29" t="str">
        <x:v>https://bernsteinbear.com/feed.xml</x:v>
      </x:c>
      <x:c r="O274" s="29" t="str">
        <x:v>有效</x:v>
      </x:c>
      <x:c r="P274" s="72" t="n">
        <x:v>4</x:v>
      </x:c>
      <x:c r="Q274" s="72" t="n">
        <x:v>5</x:v>
      </x:c>
      <x:c r="R274" s="72" t="n">
        <x:v>4</x:v>
      </x:c>
      <x:c r="S274" s="72" t="n">
        <x:v>5</x:v>
      </x:c>
      <x:c r="T274" s="72" t="n">
        <x:v>4</x:v>
      </x:c>
      <x:c r="U274" s="72" t="n">
        <x:v>3</x:v>
      </x:c>
      <x:c r="V274" s="72" t="n">
        <x:v>5</x:v>
      </x:c>
      <x:c r="W274" s="29" t="str">
        <x:v>工程洞见、实战复盘、技术解释</x:v>
      </x:c>
      <x:c r="X274" s="29" t="str">
        <x:v>2025 年 Hacker News 高热个人博客。作者背景：Programmer and researcher。</x:v>
      </x:c>
      <x:c r="Y274" s="29" t="str">
        <x:v>独立作者源；事实、数字和因果需回到论文、文档或数据。观点须明确归因。</x:v>
      </x:c>
      <x:c r="Z274" s="75" t="b">
        <x:v>1</x:v>
      </x:c>
      <x:c r="AA274" s="29" t="n">
        <x:v>74</x:v>
      </x:c>
      <x:c r="AB274" s="29" t="str">
        <x:v>Karpathy 分享的 HN 2025 RSS 冷启动集</x:v>
      </x:c>
      <x:c r="AC274" s="29" t="str">
        <x:v>https://gist.github.com/emschwartz/e6d2bf860ccc367fe37ff953ba6de66b</x:v>
      </x:c>
      <x:c r="AD274" s="29" t="str">
        <x:v>2026-08-17</x:v>
      </x:c>
      <x:c r="AE274" s="29" t="n">
        <x:v>200</x:v>
      </x:c>
      <x:c r="AF274" s="29" t="str">
        <x:v>https://bernsteinbear.com/feed.xml</x:v>
      </x:c>
      <x:c r="AG274" s="29" t="str">
        <x:v>compilers, programming languages, implementation</x:v>
      </x:c>
    </x:row>
    <x:row r="275" ht="44" customHeight="1">
      <x:c r="A275" s="29" t="str">
        <x:v>SRC-271</x:v>
      </x:c>
      <x:c r="B275" s="29" t="str">
        <x:f>IF(C275&gt;=93,"S",IF(C275&gt;=90,"A",IF(C275&gt;=80,"B","C")))</x:f>
        <x:v>B</x:v>
      </x:c>
      <x:c r="C275" s="72" t="n">
        <x:f>ROUND((P275*0.20+Q275*0.18+R275*0.20+S275*0.15+T275*0.12+U275*0.10+V275*0.05)*20,0)</x:f>
        <x:v>86</x:v>
      </x:c>
      <x:c r="D275" s="29" t="str">
        <x:v>AI、科技与工程</x:v>
      </x:c>
      <x:c r="E275" s="29" t="str">
        <x:v>软件、系统与互联网</x:v>
      </x:c>
      <x:c r="F275" s="29" t="str">
        <x:v>berthub.eu</x:v>
      </x:c>
      <x:c r="G275" s="29" t="str">
        <x:v>Bert Hubert</x:v>
      </x:c>
      <x:c r="H275" s="29" t="str">
        <x:v>独立博客 / 长文</x:v>
      </x:c>
      <x:c r="I275" s="29" t="str">
        <x:v>en</x:v>
      </x:c>
      <x:c r="J275" s="29" t="str">
        <x:v>解释源</x:v>
      </x:c>
      <x:c r="K275" s="29" t="str">
        <x:v>Open</x:v>
      </x:c>
      <x:c r="L275" s="29" t="str">
        <x:v>不定期</x:v>
      </x:c>
      <x:c r="M275" s="29" t="str">
        <x:v>https://berthub.eu</x:v>
      </x:c>
      <x:c r="N275" s="29" t="str">
        <x:v>https://berthub.eu/articles/index.xml</x:v>
      </x:c>
      <x:c r="O275" s="29" t="str">
        <x:v>有效</x:v>
      </x:c>
      <x:c r="P275" s="72" t="n">
        <x:v>4</x:v>
      </x:c>
      <x:c r="Q275" s="72" t="n">
        <x:v>5</x:v>
      </x:c>
      <x:c r="R275" s="72" t="n">
        <x:v>4</x:v>
      </x:c>
      <x:c r="S275" s="72" t="n">
        <x:v>5</x:v>
      </x:c>
      <x:c r="T275" s="72" t="n">
        <x:v>4</x:v>
      </x:c>
      <x:c r="U275" s="72" t="n">
        <x:v>3</x:v>
      </x:c>
      <x:c r="V275" s="72" t="n">
        <x:v>5</x:v>
      </x:c>
      <x:c r="W275" s="29" t="str">
        <x:v>工程洞见、实战复盘、技术解释</x:v>
      </x:c>
      <x:c r="X275" s="29" t="str">
        <x:v>2025 年 Hacker News 高热个人博客。作者背景：Software developer and entrepreneur。</x:v>
      </x:c>
      <x:c r="Y275" s="29" t="str">
        <x:v>独立作者源；事实、数字和因果需回到论文、文档或数据。观点须明确归因。</x:v>
      </x:c>
      <x:c r="Z275" s="75" t="b">
        <x:v>1</x:v>
      </x:c>
      <x:c r="AA275" s="29" t="n">
        <x:v>62</x:v>
      </x:c>
      <x:c r="AB275" s="29" t="str">
        <x:v>Karpathy 分享的 HN 2025 RSS 冷启动集</x:v>
      </x:c>
      <x:c r="AC275" s="29" t="str">
        <x:v>https://gist.github.com/emschwartz/e6d2bf860ccc367fe37ff953ba6de66b</x:v>
      </x:c>
      <x:c r="AD275" s="29" t="str">
        <x:v>2026-08-17</x:v>
      </x:c>
      <x:c r="AE275" s="29" t="n">
        <x:v>200</x:v>
      </x:c>
      <x:c r="AF275" s="29" t="str">
        <x:v>https://berthub.eu/articles/index.xml</x:v>
      </x:c>
      <x:c r="AG275" s="29" t="str">
        <x:v>DNS, software development, technology</x:v>
      </x:c>
    </x:row>
    <x:row r="276" ht="44" customHeight="1">
      <x:c r="A276" s="29" t="str">
        <x:v>SRC-272</x:v>
      </x:c>
      <x:c r="B276" s="29" t="str">
        <x:f>IF(C276&gt;=93,"S",IF(C276&gt;=90,"A",IF(C276&gt;=80,"B","C")))</x:f>
        <x:v>B</x:v>
      </x:c>
      <x:c r="C276" s="72" t="n">
        <x:f>ROUND((P276*0.20+Q276*0.18+R276*0.20+S276*0.15+T276*0.12+U276*0.10+V276*0.05)*20,0)</x:f>
        <x:v>86</x:v>
      </x:c>
      <x:c r="D276" s="29" t="str">
        <x:v>AI、科技与工程</x:v>
      </x:c>
      <x:c r="E276" s="29" t="str">
        <x:v>软件、系统与互联网</x:v>
      </x:c>
      <x:c r="F276" s="29" t="str">
        <x:v>blog.pixelmelt.dev</x:v>
      </x:c>
      <x:c r="G276" s="29" t="str">
        <x:v>Ciarán</x:v>
      </x:c>
      <x:c r="H276" s="29" t="str">
        <x:v>独立博客 / 长文</x:v>
      </x:c>
      <x:c r="I276" s="29" t="str">
        <x:v>en</x:v>
      </x:c>
      <x:c r="J276" s="29" t="str">
        <x:v>解释源</x:v>
      </x:c>
      <x:c r="K276" s="29" t="str">
        <x:v>Open</x:v>
      </x:c>
      <x:c r="L276" s="29" t="str">
        <x:v>不定期</x:v>
      </x:c>
      <x:c r="M276" s="29" t="str">
        <x:v>https://blog.pixelmelt.dev</x:v>
      </x:c>
      <x:c r="N276" s="29" t="str">
        <x:v>https://blog.pixelmelt.dev/rss/</x:v>
      </x:c>
      <x:c r="O276" s="29" t="str">
        <x:v>有效</x:v>
      </x:c>
      <x:c r="P276" s="72" t="n">
        <x:v>4</x:v>
      </x:c>
      <x:c r="Q276" s="72" t="n">
        <x:v>5</x:v>
      </x:c>
      <x:c r="R276" s="72" t="n">
        <x:v>4</x:v>
      </x:c>
      <x:c r="S276" s="72" t="n">
        <x:v>5</x:v>
      </x:c>
      <x:c r="T276" s="72" t="n">
        <x:v>4</x:v>
      </x:c>
      <x:c r="U276" s="72" t="n">
        <x:v>3</x:v>
      </x:c>
      <x:c r="V276" s="72" t="n">
        <x:v>5</x:v>
      </x:c>
      <x:c r="W276" s="29" t="str">
        <x:v>工程洞见、实战复盘、技术解释</x:v>
      </x:c>
      <x:c r="X276" s="29" t="str">
        <x:v>2025 年 Hacker News 高热个人博客。作者背景：Security researcher and developer。</x:v>
      </x:c>
      <x:c r="Y276" s="29" t="str">
        <x:v>独立作者源；事实、数字和因果需回到论文、文档或数据。观点须明确归因。</x:v>
      </x:c>
      <x:c r="Z276" s="75" t="b">
        <x:v>1</x:v>
      </x:c>
      <x:c r="AA276" s="29" t="n">
        <x:v>79</x:v>
      </x:c>
      <x:c r="AB276" s="29" t="str">
        <x:v>Karpathy 分享的 HN 2025 RSS 冷启动集</x:v>
      </x:c>
      <x:c r="AC276" s="29" t="str">
        <x:v>https://gist.github.com/emschwartz/e6d2bf860ccc367fe37ff953ba6de66b</x:v>
      </x:c>
      <x:c r="AD276" s="29" t="str">
        <x:v>2026-08-17</x:v>
      </x:c>
      <x:c r="AE276" s="29" t="n">
        <x:v>200</x:v>
      </x:c>
      <x:c r="AF276" s="29" t="str">
        <x:v>https://blog.pixelmelt.dev/rss/</x:v>
      </x:c>
      <x:c r="AG276" s="29" t="str">
        <x:v>reverse engineering, obfuscation, javascript</x:v>
      </x:c>
    </x:row>
    <x:row r="277" ht="44" customHeight="1">
      <x:c r="A277" s="29" t="str">
        <x:v>SRC-273</x:v>
      </x:c>
      <x:c r="B277" s="29" t="str">
        <x:f>IF(C277&gt;=93,"S",IF(C277&gt;=90,"A",IF(C277&gt;=80,"B","C")))</x:f>
        <x:v>B</x:v>
      </x:c>
      <x:c r="C277" s="72" t="n">
        <x:f>ROUND((P277*0.20+Q277*0.18+R277*0.20+S277*0.15+T277*0.12+U277*0.10+V277*0.05)*20,0)</x:f>
        <x:v>86</x:v>
      </x:c>
      <x:c r="D277" s="29" t="str">
        <x:v>AI、科技与工程</x:v>
      </x:c>
      <x:c r="E277" s="29" t="str">
        <x:v>硬件、复古计算与技术史</x:v>
      </x:c>
      <x:c r="F277" s="29" t="str">
        <x:v>bogdanthegeek.github.io</x:v>
      </x:c>
      <x:c r="G277" s="29" t="str">
        <x:v>Bogdan Ionescu</x:v>
      </x:c>
      <x:c r="H277" s="29" t="str">
        <x:v>独立博客 / 长文</x:v>
      </x:c>
      <x:c r="I277" s="29" t="str">
        <x:v>en</x:v>
      </x:c>
      <x:c r="J277" s="29" t="str">
        <x:v>解释源</x:v>
      </x:c>
      <x:c r="K277" s="29" t="str">
        <x:v>Open</x:v>
      </x:c>
      <x:c r="L277" s="29" t="str">
        <x:v>不定期</x:v>
      </x:c>
      <x:c r="M277" s="29" t="str">
        <x:v>https://bogdanthegeek.github.io</x:v>
      </x:c>
      <x:c r="N277" s="29" t="str">
        <x:v>https://bogdanthegeek.github.io/blog/index.xml</x:v>
      </x:c>
      <x:c r="O277" s="29" t="str">
        <x:v>有效</x:v>
      </x:c>
      <x:c r="P277" s="72" t="n">
        <x:v>4</x:v>
      </x:c>
      <x:c r="Q277" s="72" t="n">
        <x:v>5</x:v>
      </x:c>
      <x:c r="R277" s="72" t="n">
        <x:v>4</x:v>
      </x:c>
      <x:c r="S277" s="72" t="n">
        <x:v>5</x:v>
      </x:c>
      <x:c r="T277" s="72" t="n">
        <x:v>4</x:v>
      </x:c>
      <x:c r="U277" s="72" t="n">
        <x:v>3</x:v>
      </x:c>
      <x:c r="V277" s="72" t="n">
        <x:v>5</x:v>
      </x:c>
      <x:c r="W277" s="29" t="str">
        <x:v>工程洞见、实战复盘、技术解释</x:v>
      </x:c>
      <x:c r="X277" s="29" t="str">
        <x:v>2025 年 Hacker News 高热个人博客。作者背景：Electronics and software enthusiast。</x:v>
      </x:c>
      <x:c r="Y277" s="29" t="str">
        <x:v>独立作者源；事实、数字和因果需回到论文、文档或数据。观点须明确归因。</x:v>
      </x:c>
      <x:c r="Z277" s="75" t="b">
        <x:v>1</x:v>
      </x:c>
      <x:c r="AA277" s="29" t="n">
        <x:v>59</x:v>
      </x:c>
      <x:c r="AB277" s="29" t="str">
        <x:v>Karpathy 分享的 HN 2025 RSS 冷启动集</x:v>
      </x:c>
      <x:c r="AC277" s="29" t="str">
        <x:v>https://gist.github.com/emschwartz/e6d2bf860ccc367fe37ff953ba6de66b</x:v>
      </x:c>
      <x:c r="AD277" s="29" t="str">
        <x:v>2026-08-17</x:v>
      </x:c>
      <x:c r="AE277" s="29" t="n">
        <x:v>200</x:v>
      </x:c>
      <x:c r="AF277" s="29" t="str">
        <x:v>https://bogdanthegeek.github.io/blog/index.xml</x:v>
      </x:c>
      <x:c r="AG277" s="29" t="str">
        <x:v>electronics, chemistry, programming</x:v>
      </x:c>
    </x:row>
    <x:row r="278" ht="44" customHeight="1">
      <x:c r="A278" s="29" t="str">
        <x:v>SRC-274</x:v>
      </x:c>
      <x:c r="B278" s="29" t="str">
        <x:f>IF(C278&gt;=93,"S",IF(C278&gt;=90,"A",IF(C278&gt;=80,"B","C")))</x:f>
        <x:v>B</x:v>
      </x:c>
      <x:c r="C278" s="72" t="n">
        <x:f>ROUND((P278*0.20+Q278*0.18+R278*0.20+S278*0.15+T278*0.12+U278*0.10+V278*0.05)*20,0)</x:f>
        <x:v>86</x:v>
      </x:c>
      <x:c r="D278" s="29" t="str">
        <x:v>AI、科技与工程</x:v>
      </x:c>
      <x:c r="E278" s="29" t="str">
        <x:v>软件、系统与互联网</x:v>
      </x:c>
      <x:c r="F278" s="29" t="str">
        <x:v>borretti.me</x:v>
      </x:c>
      <x:c r="G278" s="29" t="str">
        <x:v>Fernando Borretti</x:v>
      </x:c>
      <x:c r="H278" s="29" t="str">
        <x:v>独立博客 / 长文</x:v>
      </x:c>
      <x:c r="I278" s="29" t="str">
        <x:v>en</x:v>
      </x:c>
      <x:c r="J278" s="29" t="str">
        <x:v>解释源</x:v>
      </x:c>
      <x:c r="K278" s="29" t="str">
        <x:v>Open</x:v>
      </x:c>
      <x:c r="L278" s="29" t="str">
        <x:v>不定期</x:v>
      </x:c>
      <x:c r="M278" s="29" t="str">
        <x:v>https://borretti.me</x:v>
      </x:c>
      <x:c r="N278" s="29" t="str">
        <x:v>https://borretti.me/feed.xml</x:v>
      </x:c>
      <x:c r="O278" s="29" t="str">
        <x:v>有效</x:v>
      </x:c>
      <x:c r="P278" s="72" t="n">
        <x:v>4</x:v>
      </x:c>
      <x:c r="Q278" s="72" t="n">
        <x:v>5</x:v>
      </x:c>
      <x:c r="R278" s="72" t="n">
        <x:v>4</x:v>
      </x:c>
      <x:c r="S278" s="72" t="n">
        <x:v>5</x:v>
      </x:c>
      <x:c r="T278" s="72" t="n">
        <x:v>4</x:v>
      </x:c>
      <x:c r="U278" s="72" t="n">
        <x:v>3</x:v>
      </x:c>
      <x:c r="V278" s="72" t="n">
        <x:v>5</x:v>
      </x:c>
      <x:c r="W278" s="29" t="str">
        <x:v>工程洞见、实战复盘、技术解释</x:v>
      </x:c>
      <x:c r="X278" s="29" t="str">
        <x:v>2025 年 Hacker News 高热个人博客。作者背景：Developer and programming language author。</x:v>
      </x:c>
      <x:c r="Y278" s="29" t="str">
        <x:v>独立作者源；事实、数字和因果需回到论文、文档或数据。观点须明确归因。</x:v>
      </x:c>
      <x:c r="Z278" s="75" t="b">
        <x:v>1</x:v>
      </x:c>
      <x:c r="AA278" s="29" t="n">
        <x:v>42</x:v>
      </x:c>
      <x:c r="AB278" s="29" t="str">
        <x:v>Karpathy 分享的 HN 2025 RSS 冷启动集</x:v>
      </x:c>
      <x:c r="AC278" s="29" t="str">
        <x:v>https://gist.github.com/emschwartz/e6d2bf860ccc367fe37ff953ba6de66b</x:v>
      </x:c>
      <x:c r="AD278" s="29" t="str">
        <x:v>2026-08-17</x:v>
      </x:c>
      <x:c r="AE278" s="29" t="n">
        <x:v>200</x:v>
      </x:c>
      <x:c r="AF278" s="29" t="str">
        <x:v>https://borretti.me/feed.xml</x:v>
      </x:c>
      <x:c r="AG278" s="29" t="str">
        <x:v>software development, personal projects, programming languages</x:v>
      </x:c>
    </x:row>
    <x:row r="279" ht="44" customHeight="1">
      <x:c r="A279" s="29" t="str">
        <x:v>SRC-275</x:v>
      </x:c>
      <x:c r="B279" s="29" t="str">
        <x:f>IF(C279&gt;=93,"S",IF(C279&gt;=90,"A",IF(C279&gt;=80,"B","C")))</x:f>
        <x:v>B</x:v>
      </x:c>
      <x:c r="C279" s="72" t="n">
        <x:f>ROUND((P279*0.20+Q279*0.18+R279*0.20+S279*0.15+T279*0.12+U279*0.10+V279*0.05)*20,0)</x:f>
        <x:v>86</x:v>
      </x:c>
      <x:c r="D279" s="29" t="str">
        <x:v>AI、科技与工程</x:v>
      </x:c>
      <x:c r="E279" s="29" t="str">
        <x:v>软件、系统与互联网</x:v>
      </x:c>
      <x:c r="F279" s="29" t="str">
        <x:v>brutecat.com</x:v>
      </x:c>
      <x:c r="G279" s="29" t="str">
        <x:v>skull</x:v>
      </x:c>
      <x:c r="H279" s="29" t="str">
        <x:v>独立博客 / 长文</x:v>
      </x:c>
      <x:c r="I279" s="29" t="str">
        <x:v>en</x:v>
      </x:c>
      <x:c r="J279" s="29" t="str">
        <x:v>解释源</x:v>
      </x:c>
      <x:c r="K279" s="29" t="str">
        <x:v>Open</x:v>
      </x:c>
      <x:c r="L279" s="29" t="str">
        <x:v>不定期</x:v>
      </x:c>
      <x:c r="M279" s="29" t="str">
        <x:v>https://brutecat.com</x:v>
      </x:c>
      <x:c r="N279" s="29" t="str">
        <x:v>https://brutecat.com/rss.xml</x:v>
      </x:c>
      <x:c r="O279" s="29" t="str">
        <x:v>有效</x:v>
      </x:c>
      <x:c r="P279" s="72" t="n">
        <x:v>4</x:v>
      </x:c>
      <x:c r="Q279" s="72" t="n">
        <x:v>5</x:v>
      </x:c>
      <x:c r="R279" s="72" t="n">
        <x:v>4</x:v>
      </x:c>
      <x:c r="S279" s="72" t="n">
        <x:v>5</x:v>
      </x:c>
      <x:c r="T279" s="72" t="n">
        <x:v>4</x:v>
      </x:c>
      <x:c r="U279" s="72" t="n">
        <x:v>3</x:v>
      </x:c>
      <x:c r="V279" s="72" t="n">
        <x:v>5</x:v>
      </x:c>
      <x:c r="W279" s="29" t="str">
        <x:v>工程洞见、实战复盘、技术解释</x:v>
      </x:c>
      <x:c r="X279" s="29" t="str">
        <x:v>2025 年 Hacker News 高热个人博客。作者背景：Security researcher。</x:v>
      </x:c>
      <x:c r="Y279" s="29" t="str">
        <x:v>独立作者源；事实、数字和因果需回到论文、文档或数据。观点须明确归因。</x:v>
      </x:c>
      <x:c r="Z279" s="75" t="b">
        <x:v>1</x:v>
      </x:c>
      <x:c r="AA279" s="29" t="n">
        <x:v>54</x:v>
      </x:c>
      <x:c r="AB279" s="29" t="str">
        <x:v>Karpathy 分享的 HN 2025 RSS 冷启动集</x:v>
      </x:c>
      <x:c r="AC279" s="29" t="str">
        <x:v>https://gist.github.com/emschwartz/e6d2bf860ccc367fe37ff953ba6de66b</x:v>
      </x:c>
      <x:c r="AD279" s="29" t="str">
        <x:v>2026-08-17</x:v>
      </x:c>
      <x:c r="AE279" s="29" t="n">
        <x:v>200</x:v>
      </x:c>
      <x:c r="AF279" s="29" t="str">
        <x:v>https://brutecat.com/rss.xml</x:v>
      </x:c>
      <x:c r="AG279" s="29" t="str">
        <x:v>bug bounties, Google vulnerabilities</x:v>
      </x:c>
    </x:row>
    <x:row r="280" ht="44" customHeight="1">
      <x:c r="A280" s="29" t="str">
        <x:v>SRC-276</x:v>
      </x:c>
      <x:c r="B280" s="29" t="str">
        <x:f>IF(C280&gt;=93,"S",IF(C280&gt;=90,"A",IF(C280&gt;=80,"B","C")))</x:f>
        <x:v>B</x:v>
      </x:c>
      <x:c r="C280" s="72" t="n">
        <x:f>ROUND((P280*0.20+Q280*0.18+R280*0.20+S280*0.15+T280*0.12+U280*0.10+V280*0.05)*20,0)</x:f>
        <x:v>86</x:v>
      </x:c>
      <x:c r="D280" s="29" t="str">
        <x:v>AI、科技与工程</x:v>
      </x:c>
      <x:c r="E280" s="29" t="str">
        <x:v>软件、系统与互联网</x:v>
      </x:c>
      <x:c r="F280" s="29" t="str">
        <x:v>buttondown.com/hillelwayne</x:v>
      </x:c>
      <x:c r="G280" s="29" t="str">
        <x:v>Hillel Wayne</x:v>
      </x:c>
      <x:c r="H280" s="29" t="str">
        <x:v>独立博客 / 长文</x:v>
      </x:c>
      <x:c r="I280" s="29" t="str">
        <x:v>en</x:v>
      </x:c>
      <x:c r="J280" s="29" t="str">
        <x:v>解释源</x:v>
      </x:c>
      <x:c r="K280" s="29" t="str">
        <x:v>Open</x:v>
      </x:c>
      <x:c r="L280" s="29" t="str">
        <x:v>不定期</x:v>
      </x:c>
      <x:c r="M280" s="29" t="str">
        <x:v>https://buttondown.com/hillelwayne</x:v>
      </x:c>
      <x:c r="N280" s="29" t="str">
        <x:v>https://buttondown.com/hillelwayne/rss</x:v>
      </x:c>
      <x:c r="O280" s="29" t="str">
        <x:v>有效</x:v>
      </x:c>
      <x:c r="P280" s="72" t="n">
        <x:v>4</x:v>
      </x:c>
      <x:c r="Q280" s="72" t="n">
        <x:v>5</x:v>
      </x:c>
      <x:c r="R280" s="72" t="n">
        <x:v>4</x:v>
      </x:c>
      <x:c r="S280" s="72" t="n">
        <x:v>5</x:v>
      </x:c>
      <x:c r="T280" s="72" t="n">
        <x:v>4</x:v>
      </x:c>
      <x:c r="U280" s="72" t="n">
        <x:v>3</x:v>
      </x:c>
      <x:c r="V280" s="72" t="n">
        <x:v>5</x:v>
      </x:c>
      <x:c r="W280" s="29" t="str">
        <x:v>工程洞见、实战复盘、技术解释</x:v>
      </x:c>
      <x:c r="X280" s="29" t="str">
        <x:v>2025 年 Hacker News 高热个人博客。作者背景：Consultant and author。</x:v>
      </x:c>
      <x:c r="Y280" s="29" t="str">
        <x:v>独立作者源；事实、数字和因果需回到论文、文档或数据。观点须明确归因。</x:v>
      </x:c>
      <x:c r="Z280" s="75" t="b">
        <x:v>1</x:v>
      </x:c>
      <x:c r="AA280" s="29" t="n">
        <x:v>40</x:v>
      </x:c>
      <x:c r="AB280" s="29" t="str">
        <x:v>Karpathy 分享的 HN 2025 RSS 冷启动集</x:v>
      </x:c>
      <x:c r="AC280" s="29" t="str">
        <x:v>https://gist.github.com/emschwartz/e6d2bf860ccc367fe37ff953ba6de66b</x:v>
      </x:c>
      <x:c r="AD280" s="29" t="str">
        <x:v>2026-08-17</x:v>
      </x:c>
      <x:c r="AE280" s="29" t="n">
        <x:v>200</x:v>
      </x:c>
      <x:c r="AF280" s="29" t="str">
        <x:v>https://buttondown.com/hillelwayne/rss</x:v>
      </x:c>
      <x:c r="AG280" s="29" t="str">
        <x:v>formal methods, software engineering, technology</x:v>
      </x:c>
    </x:row>
    <x:row r="281" ht="44" customHeight="1">
      <x:c r="A281" s="29" t="str">
        <x:v>SRC-277</x:v>
      </x:c>
      <x:c r="B281" s="29" t="str">
        <x:f>IF(C281&gt;=93,"S",IF(C281&gt;=90,"A",IF(C281&gt;=80,"B","C")))</x:f>
        <x:v>B</x:v>
      </x:c>
      <x:c r="C281" s="72" t="n">
        <x:f>ROUND((P281*0.20+Q281*0.18+R281*0.20+S281*0.15+T281*0.12+U281*0.10+V281*0.05)*20,0)</x:f>
        <x:v>86</x:v>
      </x:c>
      <x:c r="D281" s="29" t="str">
        <x:v>AI、科技与工程</x:v>
      </x:c>
      <x:c r="E281" s="29" t="str">
        <x:v>软件、系统与互联网</x:v>
      </x:c>
      <x:c r="F281" s="29" t="str">
        <x:v>chiark.greenend.org.uk/~sgtatham</x:v>
      </x:c>
      <x:c r="G281" s="29" t="str">
        <x:v>Simon Tatham</x:v>
      </x:c>
      <x:c r="H281" s="29" t="str">
        <x:v>独立博客 / 长文</x:v>
      </x:c>
      <x:c r="I281" s="29" t="str">
        <x:v>en</x:v>
      </x:c>
      <x:c r="J281" s="29" t="str">
        <x:v>解释源</x:v>
      </x:c>
      <x:c r="K281" s="29" t="str">
        <x:v>Open</x:v>
      </x:c>
      <x:c r="L281" s="29" t="str">
        <x:v>不定期</x:v>
      </x:c>
      <x:c r="M281" s="29" t="str">
        <x:v>https://chiark.greenend.org.uk/~sgtatham</x:v>
      </x:c>
      <x:c r="N281" s="29" t="str">
        <x:v>https://www.chiark.greenend.org.uk/~sgtatham/quasiblog/feed.xml</x:v>
      </x:c>
      <x:c r="O281" s="29" t="str">
        <x:v>有效</x:v>
      </x:c>
      <x:c r="P281" s="72" t="n">
        <x:v>4</x:v>
      </x:c>
      <x:c r="Q281" s="72" t="n">
        <x:v>5</x:v>
      </x:c>
      <x:c r="R281" s="72" t="n">
        <x:v>4</x:v>
      </x:c>
      <x:c r="S281" s="72" t="n">
        <x:v>5</x:v>
      </x:c>
      <x:c r="T281" s="72" t="n">
        <x:v>4</x:v>
      </x:c>
      <x:c r="U281" s="72" t="n">
        <x:v>3</x:v>
      </x:c>
      <x:c r="V281" s="72" t="n">
        <x:v>5</x:v>
      </x:c>
      <x:c r="W281" s="29" t="str">
        <x:v>工程洞见、实战复盘、技术解释</x:v>
      </x:c>
      <x:c r="X281" s="29" t="str">
        <x:v>2025 年 Hacker News 高热个人博客。作者背景：Software developer and mathematician。</x:v>
      </x:c>
      <x:c r="Y281" s="29" t="str">
        <x:v>独立作者源；事实、数字和因果需回到论文、文档或数据。观点须明确归因。</x:v>
      </x:c>
      <x:c r="Z281" s="75" t="b">
        <x:v>1</x:v>
      </x:c>
      <x:c r="AA281" s="29" t="n">
        <x:v>82</x:v>
      </x:c>
      <x:c r="AB281" s="29" t="str">
        <x:v>Karpathy 分享的 HN 2025 RSS 冷启动集</x:v>
      </x:c>
      <x:c r="AC281" s="29" t="str">
        <x:v>https://gist.github.com/emschwartz/e6d2bf860ccc367fe37ff953ba6de66b</x:v>
      </x:c>
      <x:c r="AD281" s="29" t="str">
        <x:v>2026-08-17</x:v>
      </x:c>
      <x:c r="AE281" s="29" t="n">
        <x:v>200</x:v>
      </x:c>
      <x:c r="AF281" s="29" t="str">
        <x:v>https://www.chiark.greenend.org.uk/~sgtatham/quasiblog/feed.xml</x:v>
      </x:c>
      <x:c r="AG281" s="29" t="str">
        <x:v>programming, puzzles, software tools</x:v>
      </x:c>
    </x:row>
    <x:row r="282" ht="44" customHeight="1">
      <x:c r="A282" s="29" t="str">
        <x:v>SRC-278</x:v>
      </x:c>
      <x:c r="B282" s="29" t="str">
        <x:f>IF(C282&gt;=93,"S",IF(C282&gt;=90,"A",IF(C282&gt;=80,"B","C")))</x:f>
        <x:v>B</x:v>
      </x:c>
      <x:c r="C282" s="72" t="n">
        <x:f>ROUND((P282*0.20+Q282*0.18+R282*0.20+S282*0.15+T282*0.12+U282*0.10+V282*0.05)*20,0)</x:f>
        <x:v>86</x:v>
      </x:c>
      <x:c r="D282" s="29" t="str">
        <x:v>AI、科技与工程</x:v>
      </x:c>
      <x:c r="E282" s="29" t="str">
        <x:v>软件、系统与互联网</x:v>
      </x:c>
      <x:c r="F282" s="29" t="str">
        <x:v>danielchasehooper.com</x:v>
      </x:c>
      <x:c r="G282" s="29" t="str">
        <x:v>Daniel Chase Hooper</x:v>
      </x:c>
      <x:c r="H282" s="29" t="str">
        <x:v>独立博客 / 长文</x:v>
      </x:c>
      <x:c r="I282" s="29" t="str">
        <x:v>en</x:v>
      </x:c>
      <x:c r="J282" s="29" t="str">
        <x:v>解释源</x:v>
      </x:c>
      <x:c r="K282" s="29" t="str">
        <x:v>Open</x:v>
      </x:c>
      <x:c r="L282" s="29" t="str">
        <x:v>不定期</x:v>
      </x:c>
      <x:c r="M282" s="29" t="str">
        <x:v>https://danielchasehooper.com</x:v>
      </x:c>
      <x:c r="N282" s="29" t="str">
        <x:v>https://danielchasehooper.com/feed.xml</x:v>
      </x:c>
      <x:c r="O282" s="29" t="str">
        <x:v>有效</x:v>
      </x:c>
      <x:c r="P282" s="72" t="n">
        <x:v>4</x:v>
      </x:c>
      <x:c r="Q282" s="72" t="n">
        <x:v>5</x:v>
      </x:c>
      <x:c r="R282" s="72" t="n">
        <x:v>4</x:v>
      </x:c>
      <x:c r="S282" s="72" t="n">
        <x:v>5</x:v>
      </x:c>
      <x:c r="T282" s="72" t="n">
        <x:v>4</x:v>
      </x:c>
      <x:c r="U282" s="72" t="n">
        <x:v>3</x:v>
      </x:c>
      <x:c r="V282" s="72" t="n">
        <x:v>5</x:v>
      </x:c>
      <x:c r="W282" s="29" t="str">
        <x:v>工程洞见、实战复盘、技术解释</x:v>
      </x:c>
      <x:c r="X282" s="29" t="str">
        <x:v>2025 年 Hacker News 高热个人博客。作者背景：Software Developer。</x:v>
      </x:c>
      <x:c r="Y282" s="29" t="str">
        <x:v>独立作者源；事实、数字和因果需回到论文、文档或数据。观点须明确归因。</x:v>
      </x:c>
      <x:c r="Z282" s="75" t="b">
        <x:v>1</x:v>
      </x:c>
      <x:c r="AA282" s="29" t="n">
        <x:v>81</x:v>
      </x:c>
      <x:c r="AB282" s="29" t="str">
        <x:v>Karpathy 分享的 HN 2025 RSS 冷启动集</x:v>
      </x:c>
      <x:c r="AC282" s="29" t="str">
        <x:v>https://gist.github.com/emschwartz/e6d2bf860ccc367fe37ff953ba6de66b</x:v>
      </x:c>
      <x:c r="AD282" s="29" t="str">
        <x:v>2026-08-17</x:v>
      </x:c>
      <x:c r="AE282" s="29" t="n">
        <x:v>200</x:v>
      </x:c>
      <x:c r="AF282" s="29" t="str">
        <x:v>https://danielchasehooper.com/feed.xml</x:v>
      </x:c>
      <x:c r="AG282" s="29" t="str">
        <x:v>graphics programming, software development</x:v>
      </x:c>
    </x:row>
    <x:row r="283" ht="44" customHeight="1">
      <x:c r="A283" s="29" t="str">
        <x:v>SRC-279</x:v>
      </x:c>
      <x:c r="B283" s="29" t="str">
        <x:f>IF(C283&gt;=93,"S",IF(C283&gt;=90,"A",IF(C283&gt;=80,"B","C")))</x:f>
        <x:v>B</x:v>
      </x:c>
      <x:c r="C283" s="72" t="n">
        <x:f>ROUND((P283*0.20+Q283*0.18+R283*0.20+S283*0.15+T283*0.12+U283*0.10+V283*0.05)*20,0)</x:f>
        <x:v>86</x:v>
      </x:c>
      <x:c r="D283" s="29" t="str">
        <x:v>AI、科技与工程</x:v>
      </x:c>
      <x:c r="E283" s="29" t="str">
        <x:v>软件、系统与互联网</x:v>
      </x:c>
      <x:c r="F283" s="29" t="str">
        <x:v>danieldelaney.net</x:v>
      </x:c>
      <x:c r="G283" s="29" t="str">
        <x:v>Daniel Delaney</x:v>
      </x:c>
      <x:c r="H283" s="29" t="str">
        <x:v>独立博客 / 长文</x:v>
      </x:c>
      <x:c r="I283" s="29" t="str">
        <x:v>en</x:v>
      </x:c>
      <x:c r="J283" s="29" t="str">
        <x:v>解释源</x:v>
      </x:c>
      <x:c r="K283" s="29" t="str">
        <x:v>Open</x:v>
      </x:c>
      <x:c r="L283" s="29" t="str">
        <x:v>不定期</x:v>
      </x:c>
      <x:c r="M283" s="29" t="str">
        <x:v>https://danieldelaney.net</x:v>
      </x:c>
      <x:c r="N283" s="29" t="str">
        <x:v>https://danieldelaney.net/feed</x:v>
      </x:c>
      <x:c r="O283" s="29" t="str">
        <x:v>有效</x:v>
      </x:c>
      <x:c r="P283" s="72" t="n">
        <x:v>4</x:v>
      </x:c>
      <x:c r="Q283" s="72" t="n">
        <x:v>5</x:v>
      </x:c>
      <x:c r="R283" s="72" t="n">
        <x:v>4</x:v>
      </x:c>
      <x:c r="S283" s="72" t="n">
        <x:v>5</x:v>
      </x:c>
      <x:c r="T283" s="72" t="n">
        <x:v>4</x:v>
      </x:c>
      <x:c r="U283" s="72" t="n">
        <x:v>3</x:v>
      </x:c>
      <x:c r="V283" s="72" t="n">
        <x:v>5</x:v>
      </x:c>
      <x:c r="W283" s="29" t="str">
        <x:v>工程洞见、实战复盘、技术解释</x:v>
      </x:c>
      <x:c r="X283" s="29" t="str">
        <x:v>2025 年 Hacker News 高热个人博客。作者背景：Developer and writer。</x:v>
      </x:c>
      <x:c r="Y283" s="29" t="str">
        <x:v>独立作者源；事实、数字和因果需回到论文、文档或数据。观点须明确归因。</x:v>
      </x:c>
      <x:c r="Z283" s="75" t="b">
        <x:v>1</x:v>
      </x:c>
      <x:c r="AA283" s="29" t="n">
        <x:v>75</x:v>
      </x:c>
      <x:c r="AB283" s="29" t="str">
        <x:v>Karpathy 分享的 HN 2025 RSS 冷启动集</x:v>
      </x:c>
      <x:c r="AC283" s="29" t="str">
        <x:v>https://gist.github.com/emschwartz/e6d2bf860ccc367fe37ff953ba6de66b</x:v>
      </x:c>
      <x:c r="AD283" s="29" t="str">
        <x:v>2026-08-17</x:v>
      </x:c>
      <x:c r="AE283" s="29" t="n">
        <x:v>200</x:v>
      </x:c>
      <x:c r="AF283" s="29" t="str">
        <x:v>https://danieldelaney.net/feed</x:v>
      </x:c>
      <x:c r="AG283" s="29" t="str">
        <x:v>programming, technology, personal projects</x:v>
      </x:c>
    </x:row>
    <x:row r="284" ht="44" customHeight="1">
      <x:c r="A284" s="29" t="str">
        <x:v>SRC-280</x:v>
      </x:c>
      <x:c r="B284" s="29" t="str">
        <x:f>IF(C284&gt;=93,"S",IF(C284&gt;=90,"A",IF(C284&gt;=80,"B","C")))</x:f>
        <x:v>B</x:v>
      </x:c>
      <x:c r="C284" s="72" t="n">
        <x:f>ROUND((P284*0.20+Q284*0.18+R284*0.20+S284*0.15+T284*0.12+U284*0.10+V284*0.05)*20,0)</x:f>
        <x:v>86</x:v>
      </x:c>
      <x:c r="D284" s="29" t="str">
        <x:v>AI、科技与工程</x:v>
      </x:c>
      <x:c r="E284" s="29" t="str">
        <x:v>安全、隐私与数字权利</x:v>
      </x:c>
      <x:c r="F284" s="29" t="str">
        <x:v>dfarq.homeip.net</x:v>
      </x:c>
      <x:c r="G284" s="29" t="str">
        <x:v>David Farquhar</x:v>
      </x:c>
      <x:c r="H284" s="29" t="str">
        <x:v>独立博客 / 长文</x:v>
      </x:c>
      <x:c r="I284" s="29" t="str">
        <x:v>en</x:v>
      </x:c>
      <x:c r="J284" s="29" t="str">
        <x:v>解释源</x:v>
      </x:c>
      <x:c r="K284" s="29" t="str">
        <x:v>Open</x:v>
      </x:c>
      <x:c r="L284" s="29" t="str">
        <x:v>不定期</x:v>
      </x:c>
      <x:c r="M284" s="29" t="str">
        <x:v>https://dfarq.homeip.net</x:v>
      </x:c>
      <x:c r="N284" s="29" t="str">
        <x:v>https://dfarq.homeip.net/feed/</x:v>
      </x:c>
      <x:c r="O284" s="29" t="str">
        <x:v>有效</x:v>
      </x:c>
      <x:c r="P284" s="72" t="n">
        <x:v>4</x:v>
      </x:c>
      <x:c r="Q284" s="72" t="n">
        <x:v>5</x:v>
      </x:c>
      <x:c r="R284" s="72" t="n">
        <x:v>4</x:v>
      </x:c>
      <x:c r="S284" s="72" t="n">
        <x:v>5</x:v>
      </x:c>
      <x:c r="T284" s="72" t="n">
        <x:v>4</x:v>
      </x:c>
      <x:c r="U284" s="72" t="n">
        <x:v>3</x:v>
      </x:c>
      <x:c r="V284" s="72" t="n">
        <x:v>5</x:v>
      </x:c>
      <x:c r="W284" s="29" t="str">
        <x:v>工程洞见、实战复盘、技术解释</x:v>
      </x:c>
      <x:c r="X284" s="29" t="str">
        <x:v>2025 年 Hacker News 高热个人博客。作者背景：Computer security professional and author。</x:v>
      </x:c>
      <x:c r="Y284" s="29" t="str">
        <x:v>独立作者源；事实、数字和因果需回到论文、文档或数据。观点须明确归因。</x:v>
      </x:c>
      <x:c r="Z284" s="75" t="b">
        <x:v>1</x:v>
      </x:c>
      <x:c r="AA284" s="29" t="n">
        <x:v>50</x:v>
      </x:c>
      <x:c r="AB284" s="29" t="str">
        <x:v>Karpathy 分享的 HN 2025 RSS 冷启动集</x:v>
      </x:c>
      <x:c r="AC284" s="29" t="str">
        <x:v>https://gist.github.com/emschwartz/e6d2bf860ccc367fe37ff953ba6de66b</x:v>
      </x:c>
      <x:c r="AD284" s="29" t="str">
        <x:v>2026-08-17</x:v>
      </x:c>
      <x:c r="AE284" s="29" t="n">
        <x:v>200</x:v>
      </x:c>
      <x:c r="AF284" s="29" t="str">
        <x:v>https://dfarq.homeip.net/feed/</x:v>
      </x:c>
      <x:c r="AG284" s="29" t="str">
        <x:v>security, vintage computers, technology</x:v>
      </x:c>
    </x:row>
    <x:row r="285" ht="44" customHeight="1">
      <x:c r="A285" s="29" t="str">
        <x:v>SRC-281</x:v>
      </x:c>
      <x:c r="B285" s="29" t="str">
        <x:f>IF(C285&gt;=93,"S",IF(C285&gt;=90,"A",IF(C285&gt;=80,"B","C")))</x:f>
        <x:v>B</x:v>
      </x:c>
      <x:c r="C285" s="72" t="n">
        <x:f>ROUND((P285*0.20+Q285*0.18+R285*0.20+S285*0.15+T285*0.12+U285*0.10+V285*0.05)*20,0)</x:f>
        <x:v>86</x:v>
      </x:c>
      <x:c r="D285" s="29" t="str">
        <x:v>AI、科技与工程</x:v>
      </x:c>
      <x:c r="E285" s="29" t="str">
        <x:v>软件、系统与互联网</x:v>
      </x:c>
      <x:c r="F285" s="29" t="str">
        <x:v>downtowndougbrown.com</x:v>
      </x:c>
      <x:c r="G285" s="29" t="str">
        <x:v>Doug Brown</x:v>
      </x:c>
      <x:c r="H285" s="29" t="str">
        <x:v>独立博客 / 长文</x:v>
      </x:c>
      <x:c r="I285" s="29" t="str">
        <x:v>en</x:v>
      </x:c>
      <x:c r="J285" s="29" t="str">
        <x:v>解释源</x:v>
      </x:c>
      <x:c r="K285" s="29" t="str">
        <x:v>Open</x:v>
      </x:c>
      <x:c r="L285" s="29" t="str">
        <x:v>不定期</x:v>
      </x:c>
      <x:c r="M285" s="29" t="str">
        <x:v>https://downtowndougbrown.com</x:v>
      </x:c>
      <x:c r="N285" s="29" t="str">
        <x:v>https://www.downtowndougbrown.com/feed/</x:v>
      </x:c>
      <x:c r="O285" s="29" t="str">
        <x:v>有效</x:v>
      </x:c>
      <x:c r="P285" s="72" t="n">
        <x:v>4</x:v>
      </x:c>
      <x:c r="Q285" s="72" t="n">
        <x:v>5</x:v>
      </x:c>
      <x:c r="R285" s="72" t="n">
        <x:v>4</x:v>
      </x:c>
      <x:c r="S285" s="72" t="n">
        <x:v>5</x:v>
      </x:c>
      <x:c r="T285" s="72" t="n">
        <x:v>4</x:v>
      </x:c>
      <x:c r="U285" s="72" t="n">
        <x:v>3</x:v>
      </x:c>
      <x:c r="V285" s="72" t="n">
        <x:v>5</x:v>
      </x:c>
      <x:c r="W285" s="29" t="str">
        <x:v>工程洞见、实战复盘、技术解释</x:v>
      </x:c>
      <x:c r="X285" s="29" t="str">
        <x:v>2025 年 Hacker News 高热个人博客。作者背景：Writer and urban planner。</x:v>
      </x:c>
      <x:c r="Y285" s="29" t="str">
        <x:v>独立作者源；事实、数字和因果需回到论文、文档或数据。观点须明确归因。</x:v>
      </x:c>
      <x:c r="Z285" s="75" t="b">
        <x:v>1</x:v>
      </x:c>
      <x:c r="AA285" s="29" t="n">
        <x:v>53</x:v>
      </x:c>
      <x:c r="AB285" s="29" t="str">
        <x:v>Karpathy 分享的 HN 2025 RSS 冷启动集</x:v>
      </x:c>
      <x:c r="AC285" s="29" t="str">
        <x:v>https://gist.github.com/emschwartz/e6d2bf860ccc367fe37ff953ba6de66b</x:v>
      </x:c>
      <x:c r="AD285" s="29" t="str">
        <x:v>2026-08-17</x:v>
      </x:c>
      <x:c r="AE285" s="29" t="n">
        <x:v>200</x:v>
      </x:c>
      <x:c r="AF285" s="29" t="str">
        <x:v>https://www.downtowndougbrown.com/feed/</x:v>
      </x:c>
      <x:c r="AG285" s="29" t="str">
        <x:v>urban planning, development</x:v>
      </x:c>
    </x:row>
    <x:row r="286" ht="44" customHeight="1">
      <x:c r="A286" s="29" t="str">
        <x:v>SRC-282</x:v>
      </x:c>
      <x:c r="B286" s="29" t="str">
        <x:f>IF(C286&gt;=93,"S",IF(C286&gt;=90,"A",IF(C286&gt;=80,"B","C")))</x:f>
        <x:v>B</x:v>
      </x:c>
      <x:c r="C286" s="72" t="n">
        <x:f>ROUND((P286*0.20+Q286*0.18+R286*0.20+S286*0.15+T286*0.12+U286*0.10+V286*0.05)*20,0)</x:f>
        <x:v>86</x:v>
      </x:c>
      <x:c r="D286" s="29" t="str">
        <x:v>AI、科技与工程</x:v>
      </x:c>
      <x:c r="E286" s="29" t="str">
        <x:v>软件、系统与互联网</x:v>
      </x:c>
      <x:c r="F286" s="29" t="str">
        <x:v>dwarkesh.com</x:v>
      </x:c>
      <x:c r="G286" s="29" t="str">
        <x:v>Dwarkesh Patel</x:v>
      </x:c>
      <x:c r="H286" s="29" t="str">
        <x:v>独立博客 / 长文</x:v>
      </x:c>
      <x:c r="I286" s="29" t="str">
        <x:v>en</x:v>
      </x:c>
      <x:c r="J286" s="29" t="str">
        <x:v>解释源</x:v>
      </x:c>
      <x:c r="K286" s="29" t="str">
        <x:v>Open</x:v>
      </x:c>
      <x:c r="L286" s="29" t="str">
        <x:v>不定期</x:v>
      </x:c>
      <x:c r="M286" s="29" t="str">
        <x:v>https://dwarkesh.com</x:v>
      </x:c>
      <x:c r="N286" s="29" t="str">
        <x:v>https://www.dwarkesh.com/feed</x:v>
      </x:c>
      <x:c r="O286" s="29" t="str">
        <x:v>重定向后有效</x:v>
      </x:c>
      <x:c r="P286" s="72" t="n">
        <x:v>4</x:v>
      </x:c>
      <x:c r="Q286" s="72" t="n">
        <x:v>5</x:v>
      </x:c>
      <x:c r="R286" s="72" t="n">
        <x:v>4</x:v>
      </x:c>
      <x:c r="S286" s="72" t="n">
        <x:v>5</x:v>
      </x:c>
      <x:c r="T286" s="72" t="n">
        <x:v>4</x:v>
      </x:c>
      <x:c r="U286" s="72" t="n">
        <x:v>3</x:v>
      </x:c>
      <x:c r="V286" s="72" t="n">
        <x:v>5</x:v>
      </x:c>
      <x:c r="W286" s="29" t="str">
        <x:v>工程洞见、实战复盘、技术解释</x:v>
      </x:c>
      <x:c r="X286" s="29" t="str">
        <x:v>2025 年 Hacker News 高热个人博客。作者背景：Host of the Dwarkesh Podcast。</x:v>
      </x:c>
      <x:c r="Y286" s="29" t="str">
        <x:v>独立作者源；事实、数字和因果需回到论文、文档或数据。观点须明确归因。</x:v>
      </x:c>
      <x:c r="Z286" s="75" t="b">
        <x:v>1</x:v>
      </x:c>
      <x:c r="AA286" s="29" t="n">
        <x:v>41</x:v>
      </x:c>
      <x:c r="AB286" s="29" t="str">
        <x:v>Karpathy 分享的 HN 2025 RSS 冷启动集</x:v>
      </x:c>
      <x:c r="AC286" s="29" t="str">
        <x:v>https://gist.github.com/emschwartz/e6d2bf860ccc367fe37ff953ba6de66b</x:v>
      </x:c>
      <x:c r="AD286" s="29" t="str">
        <x:v>2026-08-17</x:v>
      </x:c>
      <x:c r="AE286" s="29" t="n">
        <x:v>200</x:v>
      </x:c>
      <x:c r="AF286" s="29" t="str">
        <x:v>https://www.dwarkesh.com/feed</x:v>
      </x:c>
      <x:c r="AG286" s="29" t="str">
        <x:v>AI, technology, long-form interviews</x:v>
      </x:c>
    </x:row>
    <x:row r="287" ht="44" customHeight="1">
      <x:c r="A287" s="29" t="str">
        <x:v>SRC-283</x:v>
      </x:c>
      <x:c r="B287" s="29" t="str">
        <x:f>IF(C287&gt;=93,"S",IF(C287&gt;=90,"A",IF(C287&gt;=80,"B","C")))</x:f>
        <x:v>B</x:v>
      </x:c>
      <x:c r="C287" s="72" t="n">
        <x:f>ROUND((P287*0.20+Q287*0.18+R287*0.20+S287*0.15+T287*0.12+U287*0.10+V287*0.05)*20,0)</x:f>
        <x:v>86</x:v>
      </x:c>
      <x:c r="D287" s="29" t="str">
        <x:v>AI、科技与工程</x:v>
      </x:c>
      <x:c r="E287" s="29" t="str">
        <x:v>软件、系统与互联网</x:v>
      </x:c>
      <x:c r="F287" s="29" t="str">
        <x:v>eli.thegreenplace.net</x:v>
      </x:c>
      <x:c r="G287" s="29" t="str">
        <x:v>Eli Bendersky</x:v>
      </x:c>
      <x:c r="H287" s="29" t="str">
        <x:v>独立博客 / 长文</x:v>
      </x:c>
      <x:c r="I287" s="29" t="str">
        <x:v>en</x:v>
      </x:c>
      <x:c r="J287" s="29" t="str">
        <x:v>解释源</x:v>
      </x:c>
      <x:c r="K287" s="29" t="str">
        <x:v>Open</x:v>
      </x:c>
      <x:c r="L287" s="29" t="str">
        <x:v>不定期</x:v>
      </x:c>
      <x:c r="M287" s="29" t="str">
        <x:v>https://eli.thegreenplace.net</x:v>
      </x:c>
      <x:c r="N287" s="29" t="str">
        <x:v>https://eli.thegreenplace.net/feeds/all.atom.xml</x:v>
      </x:c>
      <x:c r="O287" s="29" t="str">
        <x:v>有效</x:v>
      </x:c>
      <x:c r="P287" s="72" t="n">
        <x:v>4</x:v>
      </x:c>
      <x:c r="Q287" s="72" t="n">
        <x:v>5</x:v>
      </x:c>
      <x:c r="R287" s="72" t="n">
        <x:v>4</x:v>
      </x:c>
      <x:c r="S287" s="72" t="n">
        <x:v>5</x:v>
      </x:c>
      <x:c r="T287" s="72" t="n">
        <x:v>4</x:v>
      </x:c>
      <x:c r="U287" s="72" t="n">
        <x:v>3</x:v>
      </x:c>
      <x:c r="V287" s="72" t="n">
        <x:v>5</x:v>
      </x:c>
      <x:c r="W287" s="29" t="str">
        <x:v>工程洞见、实战复盘、技术解释</x:v>
      </x:c>
      <x:c r="X287" s="29" t="str">
        <x:v>2025 年 Hacker News 高热个人博客。作者背景：Software developer。</x:v>
      </x:c>
      <x:c r="Y287" s="29" t="str">
        <x:v>独立作者源；事实、数字和因果需回到论文、文档或数据。观点须明确归因。</x:v>
      </x:c>
      <x:c r="Z287" s="75" t="b">
        <x:v>1</x:v>
      </x:c>
      <x:c r="AA287" s="29" t="n">
        <x:v>55</x:v>
      </x:c>
      <x:c r="AB287" s="29" t="str">
        <x:v>Karpathy 分享的 HN 2025 RSS 冷启动集</x:v>
      </x:c>
      <x:c r="AC287" s="29" t="str">
        <x:v>https://gist.github.com/emschwartz/e6d2bf860ccc367fe37ff953ba6de66b</x:v>
      </x:c>
      <x:c r="AD287" s="29" t="str">
        <x:v>2026-08-17</x:v>
      </x:c>
      <x:c r="AE287" s="29" t="n">
        <x:v>200</x:v>
      </x:c>
      <x:c r="AF287" s="29" t="str">
        <x:v>https://eli.thegreenplace.net/feeds/all.atom.xml</x:v>
      </x:c>
      <x:c r="AG287" s="29" t="str">
        <x:v>programming, compilers, technology</x:v>
      </x:c>
    </x:row>
    <x:row r="288" ht="44" customHeight="1">
      <x:c r="A288" s="29" t="str">
        <x:v>SRC-284</x:v>
      </x:c>
      <x:c r="B288" s="29" t="str">
        <x:f>IF(C288&gt;=93,"S",IF(C288&gt;=90,"A",IF(C288&gt;=80,"B","C")))</x:f>
        <x:v>B</x:v>
      </x:c>
      <x:c r="C288" s="72" t="n">
        <x:f>ROUND((P288*0.20+Q288*0.18+R288*0.20+S288*0.15+T288*0.12+U288*0.10+V288*0.05)*20,0)</x:f>
        <x:v>86</x:v>
      </x:c>
      <x:c r="D288" s="29" t="str">
        <x:v>AI、科技与工程</x:v>
      </x:c>
      <x:c r="E288" s="29" t="str">
        <x:v>软件、系统与互联网</x:v>
      </x:c>
      <x:c r="F288" s="29" t="str">
        <x:v>fabiensanglard.net</x:v>
      </x:c>
      <x:c r="G288" s="29" t="str">
        <x:v>Fabien Sanglard</x:v>
      </x:c>
      <x:c r="H288" s="29" t="str">
        <x:v>独立博客 / 长文</x:v>
      </x:c>
      <x:c r="I288" s="29" t="str">
        <x:v>en</x:v>
      </x:c>
      <x:c r="J288" s="29" t="str">
        <x:v>解释源</x:v>
      </x:c>
      <x:c r="K288" s="29" t="str">
        <x:v>Open</x:v>
      </x:c>
      <x:c r="L288" s="29" t="str">
        <x:v>不定期</x:v>
      </x:c>
      <x:c r="M288" s="29" t="str">
        <x:v>https://fabiensanglard.net</x:v>
      </x:c>
      <x:c r="N288" s="29" t="str">
        <x:v>https://fabiensanglard.net/rss.xml</x:v>
      </x:c>
      <x:c r="O288" s="29" t="str">
        <x:v>有效</x:v>
      </x:c>
      <x:c r="P288" s="72" t="n">
        <x:v>4</x:v>
      </x:c>
      <x:c r="Q288" s="72" t="n">
        <x:v>5</x:v>
      </x:c>
      <x:c r="R288" s="72" t="n">
        <x:v>4</x:v>
      </x:c>
      <x:c r="S288" s="72" t="n">
        <x:v>5</x:v>
      </x:c>
      <x:c r="T288" s="72" t="n">
        <x:v>4</x:v>
      </x:c>
      <x:c r="U288" s="72" t="n">
        <x:v>3</x:v>
      </x:c>
      <x:c r="V288" s="72" t="n">
        <x:v>5</x:v>
      </x:c>
      <x:c r="W288" s="29" t="str">
        <x:v>工程洞见、实战复盘、技术解释</x:v>
      </x:c>
      <x:c r="X288" s="29" t="str">
        <x:v>2025 年 Hacker News 高热个人博客。作者背景：Software developer and author。</x:v>
      </x:c>
      <x:c r="Y288" s="29" t="str">
        <x:v>独立作者源；事实、数字和因果需回到论文、文档或数据。观点须明确归因。</x:v>
      </x:c>
      <x:c r="Z288" s="75" t="b">
        <x:v>1</x:v>
      </x:c>
      <x:c r="AA288" s="29" t="n">
        <x:v>57</x:v>
      </x:c>
      <x:c r="AB288" s="29" t="str">
        <x:v>Karpathy 分享的 HN 2025 RSS 冷启动集</x:v>
      </x:c>
      <x:c r="AC288" s="29" t="str">
        <x:v>https://gist.github.com/emschwartz/e6d2bf860ccc367fe37ff953ba6de66b</x:v>
      </x:c>
      <x:c r="AD288" s="29" t="str">
        <x:v>2026-08-17</x:v>
      </x:c>
      <x:c r="AE288" s="29" t="n">
        <x:v>200</x:v>
      </x:c>
      <x:c r="AF288" s="29" t="str">
        <x:v>https://fabiensanglard.net/rss.xml</x:v>
      </x:c>
      <x:c r="AG288" s="29" t="str">
        <x:v>game development, software engineering, retro computing</x:v>
      </x:c>
    </x:row>
    <x:row r="289" ht="44" customHeight="1">
      <x:c r="A289" s="29" t="str">
        <x:v>SRC-285</x:v>
      </x:c>
      <x:c r="B289" s="29" t="str">
        <x:f>IF(C289&gt;=93,"S",IF(C289&gt;=90,"A",IF(C289&gt;=80,"B","C")))</x:f>
        <x:v>B</x:v>
      </x:c>
      <x:c r="C289" s="72" t="n">
        <x:f>ROUND((P289*0.20+Q289*0.18+R289*0.20+S289*0.15+T289*0.12+U289*0.10+V289*0.05)*20,0)</x:f>
        <x:v>86</x:v>
      </x:c>
      <x:c r="D289" s="29" t="str">
        <x:v>AI、科技与工程</x:v>
      </x:c>
      <x:c r="E289" s="29" t="str">
        <x:v>数学、科学与认知</x:v>
      </x:c>
      <x:c r="F289" s="29" t="str">
        <x:v>garymarcus.substack.com</x:v>
      </x:c>
      <x:c r="G289" s="29" t="str">
        <x:v>Gary Marcus</x:v>
      </x:c>
      <x:c r="H289" s="29" t="str">
        <x:v>独立博客 / 长文</x:v>
      </x:c>
      <x:c r="I289" s="29" t="str">
        <x:v>en</x:v>
      </x:c>
      <x:c r="J289" s="29" t="str">
        <x:v>解释源</x:v>
      </x:c>
      <x:c r="K289" s="29" t="str">
        <x:v>Open</x:v>
      </x:c>
      <x:c r="L289" s="29" t="str">
        <x:v>不定期</x:v>
      </x:c>
      <x:c r="M289" s="29" t="str">
        <x:v>https://garymarcus.substack.com</x:v>
      </x:c>
      <x:c r="N289" s="29" t="str">
        <x:v>https://garymarcus.substack.com/feed</x:v>
      </x:c>
      <x:c r="O289" s="29" t="str">
        <x:v>有效</x:v>
      </x:c>
      <x:c r="P289" s="72" t="n">
        <x:v>4</x:v>
      </x:c>
      <x:c r="Q289" s="72" t="n">
        <x:v>5</x:v>
      </x:c>
      <x:c r="R289" s="72" t="n">
        <x:v>4</x:v>
      </x:c>
      <x:c r="S289" s="72" t="n">
        <x:v>5</x:v>
      </x:c>
      <x:c r="T289" s="72" t="n">
        <x:v>4</x:v>
      </x:c>
      <x:c r="U289" s="72" t="n">
        <x:v>3</x:v>
      </x:c>
      <x:c r="V289" s="72" t="n">
        <x:v>5</x:v>
      </x:c>
      <x:c r="W289" s="29" t="str">
        <x:v>概念解释、反直觉事实、研究脉络</x:v>
      </x:c>
      <x:c r="X289" s="29" t="str">
        <x:v>2025 年 Hacker News 高热个人博客。作者背景：Cognitive scientist, author, and entrepreneur。</x:v>
      </x:c>
      <x:c r="Y289" s="29" t="str">
        <x:v>独立作者源；事实、数字和因果需回到论文、文档或数据。观点须明确归因。</x:v>
      </x:c>
      <x:c r="Z289" s="75" t="b">
        <x:v>1</x:v>
      </x:c>
      <x:c r="AA289" s="29" t="n">
        <x:v>21</x:v>
      </x:c>
      <x:c r="AB289" s="29" t="str">
        <x:v>Karpathy 分享的 HN 2025 RSS 冷启动集</x:v>
      </x:c>
      <x:c r="AC289" s="29" t="str">
        <x:v>https://gist.github.com/emschwartz/e6d2bf860ccc367fe37ff953ba6de66b</x:v>
      </x:c>
      <x:c r="AD289" s="29" t="str">
        <x:v>2026-08-17</x:v>
      </x:c>
      <x:c r="AE289" s="29" t="n">
        <x:v>200</x:v>
      </x:c>
      <x:c r="AF289" s="29" t="str">
        <x:v>https://garymarcus.substack.com/feed</x:v>
      </x:c>
      <x:c r="AG289" s="29" t="str">
        <x:v>AI, cognitive science, technology</x:v>
      </x:c>
    </x:row>
    <x:row r="290" ht="44" customHeight="1">
      <x:c r="A290" s="29" t="str">
        <x:v>SRC-286</x:v>
      </x:c>
      <x:c r="B290" s="29" t="str">
        <x:f>IF(C290&gt;=93,"S",IF(C290&gt;=90,"A",IF(C290&gt;=80,"B","C")))</x:f>
        <x:v>B</x:v>
      </x:c>
      <x:c r="C290" s="72" t="n">
        <x:f>ROUND((P290*0.20+Q290*0.18+R290*0.20+S290*0.15+T290*0.12+U290*0.10+V290*0.05)*20,0)</x:f>
        <x:v>86</x:v>
      </x:c>
      <x:c r="D290" s="29" t="str">
        <x:v>AI、科技与工程</x:v>
      </x:c>
      <x:c r="E290" s="29" t="str">
        <x:v>软件、系统与互联网</x:v>
      </x:c>
      <x:c r="F290" s="29" t="str">
        <x:v>geoffreylitt.com</x:v>
      </x:c>
      <x:c r="G290" s="29" t="str">
        <x:v>Geoffrey Litt</x:v>
      </x:c>
      <x:c r="H290" s="29" t="str">
        <x:v>独立博客 / 长文</x:v>
      </x:c>
      <x:c r="I290" s="29" t="str">
        <x:v>en</x:v>
      </x:c>
      <x:c r="J290" s="29" t="str">
        <x:v>解释源</x:v>
      </x:c>
      <x:c r="K290" s="29" t="str">
        <x:v>Open</x:v>
      </x:c>
      <x:c r="L290" s="29" t="str">
        <x:v>不定期</x:v>
      </x:c>
      <x:c r="M290" s="29" t="str">
        <x:v>https://geoffreylitt.com</x:v>
      </x:c>
      <x:c r="N290" s="29" t="str">
        <x:v>https://www.geoffreylitt.com/feed.xml</x:v>
      </x:c>
      <x:c r="O290" s="29" t="str">
        <x:v>有效</x:v>
      </x:c>
      <x:c r="P290" s="72" t="n">
        <x:v>4</x:v>
      </x:c>
      <x:c r="Q290" s="72" t="n">
        <x:v>5</x:v>
      </x:c>
      <x:c r="R290" s="72" t="n">
        <x:v>4</x:v>
      </x:c>
      <x:c r="S290" s="72" t="n">
        <x:v>5</x:v>
      </x:c>
      <x:c r="T290" s="72" t="n">
        <x:v>4</x:v>
      </x:c>
      <x:c r="U290" s="72" t="n">
        <x:v>3</x:v>
      </x:c>
      <x:c r="V290" s="72" t="n">
        <x:v>5</x:v>
      </x:c>
      <x:c r="W290" s="29" t="str">
        <x:v>工程洞见、实战复盘、技术解释</x:v>
      </x:c>
      <x:c r="X290" s="29" t="str">
        <x:v>2025 年 Hacker News 高热个人博客。作者背景：Software developer and researcher。</x:v>
      </x:c>
      <x:c r="Y290" s="29" t="str">
        <x:v>独立作者源；事实、数字和因果需回到论文、文档或数据。观点须明确归因。</x:v>
      </x:c>
      <x:c r="Z290" s="75" t="b">
        <x:v>1</x:v>
      </x:c>
      <x:c r="AA290" s="29" t="n">
        <x:v>52</x:v>
      </x:c>
      <x:c r="AB290" s="29" t="str">
        <x:v>Karpathy 分享的 HN 2025 RSS 冷启动集</x:v>
      </x:c>
      <x:c r="AC290" s="29" t="str">
        <x:v>https://gist.github.com/emschwartz/e6d2bf860ccc367fe37ff953ba6de66b</x:v>
      </x:c>
      <x:c r="AD290" s="29" t="str">
        <x:v>2026-08-17</x:v>
      </x:c>
      <x:c r="AE290" s="29" t="n">
        <x:v>200</x:v>
      </x:c>
      <x:c r="AF290" s="29" t="str">
        <x:v>https://www.geoffreylitt.com/feed.xml</x:v>
      </x:c>
      <x:c r="AG290" s="29" t="str">
        <x:v>software development, human-computer interaction</x:v>
      </x:c>
    </x:row>
    <x:row r="291" ht="44" customHeight="1">
      <x:c r="A291" s="29" t="str">
        <x:v>SRC-287</x:v>
      </x:c>
      <x:c r="B291" s="29" t="str">
        <x:f>IF(C291&gt;=93,"S",IF(C291&gt;=90,"A",IF(C291&gt;=80,"B","C")))</x:f>
        <x:v>B</x:v>
      </x:c>
      <x:c r="C291" s="72" t="n">
        <x:f>ROUND((P291*0.20+Q291*0.18+R291*0.20+S291*0.15+T291*0.12+U291*0.10+V291*0.05)*20,0)</x:f>
        <x:v>86</x:v>
      </x:c>
      <x:c r="D291" s="29" t="str">
        <x:v>AI、科技与工程</x:v>
      </x:c>
      <x:c r="E291" s="29" t="str">
        <x:v>软件、系统与互联网</x:v>
      </x:c>
      <x:c r="F291" s="29" t="str">
        <x:v>geohot.github.io</x:v>
      </x:c>
      <x:c r="G291" s="29" t="str">
        <x:v>George Hotz</x:v>
      </x:c>
      <x:c r="H291" s="29" t="str">
        <x:v>独立博客 / 长文</x:v>
      </x:c>
      <x:c r="I291" s="29" t="str">
        <x:v>en</x:v>
      </x:c>
      <x:c r="J291" s="29" t="str">
        <x:v>解释源</x:v>
      </x:c>
      <x:c r="K291" s="29" t="str">
        <x:v>Open</x:v>
      </x:c>
      <x:c r="L291" s="29" t="str">
        <x:v>不定期</x:v>
      </x:c>
      <x:c r="M291" s="29" t="str">
        <x:v>https://geohot.github.io</x:v>
      </x:c>
      <x:c r="N291" s="29" t="str">
        <x:v>https://geohot.github.io/blog/feed.xml</x:v>
      </x:c>
      <x:c r="O291" s="29" t="str">
        <x:v>有效</x:v>
      </x:c>
      <x:c r="P291" s="72" t="n">
        <x:v>4</x:v>
      </x:c>
      <x:c r="Q291" s="72" t="n">
        <x:v>5</x:v>
      </x:c>
      <x:c r="R291" s="72" t="n">
        <x:v>4</x:v>
      </x:c>
      <x:c r="S291" s="72" t="n">
        <x:v>5</x:v>
      </x:c>
      <x:c r="T291" s="72" t="n">
        <x:v>4</x:v>
      </x:c>
      <x:c r="U291" s="72" t="n">
        <x:v>3</x:v>
      </x:c>
      <x:c r="V291" s="72" t="n">
        <x:v>5</x:v>
      </x:c>
      <x:c r="W291" s="29" t="str">
        <x:v>工程洞见、实战复盘、技术解释</x:v>
      </x:c>
      <x:c r="X291" s="29" t="str">
        <x:v>2025 年 Hacker News 高热个人博客。作者背景：Hacker and entrepreneur。</x:v>
      </x:c>
      <x:c r="Y291" s="29" t="str">
        <x:v>独立作者源；事实、数字和因果需回到论文、文档或数据。观点须明确归因。</x:v>
      </x:c>
      <x:c r="Z291" s="75" t="b">
        <x:v>1</x:v>
      </x:c>
      <x:c r="AA291" s="29" t="n">
        <x:v>46</x:v>
      </x:c>
      <x:c r="AB291" s="29" t="str">
        <x:v>Karpathy 分享的 HN 2025 RSS 冷启动集</x:v>
      </x:c>
      <x:c r="AC291" s="29" t="str">
        <x:v>https://gist.github.com/emschwartz/e6d2bf860ccc367fe37ff953ba6de66b</x:v>
      </x:c>
      <x:c r="AD291" s="29" t="str">
        <x:v>2026-08-17</x:v>
      </x:c>
      <x:c r="AE291" s="29" t="n">
        <x:v>200</x:v>
      </x:c>
      <x:c r="AF291" s="29" t="str">
        <x:v>https://geohot.github.io/blog/feed.xml</x:v>
      </x:c>
      <x:c r="AG291" s="29" t="str">
        <x:v>technology, hacking, AI</x:v>
      </x:c>
    </x:row>
    <x:row r="292" ht="44" customHeight="1">
      <x:c r="A292" s="29" t="str">
        <x:v>SRC-288</x:v>
      </x:c>
      <x:c r="B292" s="29" t="str">
        <x:f>IF(C292&gt;=93,"S",IF(C292&gt;=90,"A",IF(C292&gt;=80,"B","C")))</x:f>
        <x:v>B</x:v>
      </x:c>
      <x:c r="C292" s="72" t="n">
        <x:f>ROUND((P292*0.20+Q292*0.18+R292*0.20+S292*0.15+T292*0.12+U292*0.10+V292*0.05)*20,0)</x:f>
        <x:v>86</x:v>
      </x:c>
      <x:c r="D292" s="29" t="str">
        <x:v>AI、科技与工程</x:v>
      </x:c>
      <x:c r="E292" s="29" t="str">
        <x:v>软件、系统与互联网</x:v>
      </x:c>
      <x:c r="F292" s="29" t="str">
        <x:v>grantslatton.com</x:v>
      </x:c>
      <x:c r="G292" s="29" t="str">
        <x:v>Grant Slatton</x:v>
      </x:c>
      <x:c r="H292" s="29" t="str">
        <x:v>独立博客 / 长文</x:v>
      </x:c>
      <x:c r="I292" s="29" t="str">
        <x:v>en</x:v>
      </x:c>
      <x:c r="J292" s="29" t="str">
        <x:v>解释源</x:v>
      </x:c>
      <x:c r="K292" s="29" t="str">
        <x:v>Open</x:v>
      </x:c>
      <x:c r="L292" s="29" t="str">
        <x:v>不定期</x:v>
      </x:c>
      <x:c r="M292" s="29" t="str">
        <x:v>https://grantslatton.com</x:v>
      </x:c>
      <x:c r="N292" s="29" t="str">
        <x:v>https://grantslatton.com/rss.xml</x:v>
      </x:c>
      <x:c r="O292" s="29" t="str">
        <x:v>有效</x:v>
      </x:c>
      <x:c r="P292" s="72" t="n">
        <x:v>4</x:v>
      </x:c>
      <x:c r="Q292" s="72" t="n">
        <x:v>5</x:v>
      </x:c>
      <x:c r="R292" s="72" t="n">
        <x:v>4</x:v>
      </x:c>
      <x:c r="S292" s="72" t="n">
        <x:v>5</x:v>
      </x:c>
      <x:c r="T292" s="72" t="n">
        <x:v>4</x:v>
      </x:c>
      <x:c r="U292" s="72" t="n">
        <x:v>3</x:v>
      </x:c>
      <x:c r="V292" s="72" t="n">
        <x:v>5</x:v>
      </x:c>
      <x:c r="W292" s="29" t="str">
        <x:v>工程洞见、实战复盘、技术解释</x:v>
      </x:c>
      <x:c r="X292" s="29" t="str">
        <x:v>2025 年 Hacker News 高热个人博客。作者背景：Engineer and writer。</x:v>
      </x:c>
      <x:c r="Y292" s="29" t="str">
        <x:v>独立作者源；事实、数字和因果需回到论文、文档或数据。观点须明确归因。</x:v>
      </x:c>
      <x:c r="Z292" s="75" t="b">
        <x:v>1</x:v>
      </x:c>
      <x:c r="AA292" s="29" t="n">
        <x:v>83</x:v>
      </x:c>
      <x:c r="AB292" s="29" t="str">
        <x:v>Karpathy 分享的 HN 2025 RSS 冷启动集</x:v>
      </x:c>
      <x:c r="AC292" s="29" t="str">
        <x:v>https://gist.github.com/emschwartz/e6d2bf860ccc367fe37ff953ba6de66b</x:v>
      </x:c>
      <x:c r="AD292" s="29" t="str">
        <x:v>2026-08-17</x:v>
      </x:c>
      <x:c r="AE292" s="29" t="n">
        <x:v>200</x:v>
      </x:c>
      <x:c r="AF292" s="29" t="str">
        <x:v>https://grantslatton.com/rss.xml</x:v>
      </x:c>
      <x:c r="AG292" s="29" t="str">
        <x:v>technology, programming, personal essays</x:v>
      </x:c>
    </x:row>
    <x:row r="293" ht="44" customHeight="1">
      <x:c r="A293" s="29" t="str">
        <x:v>SRC-289</x:v>
      </x:c>
      <x:c r="B293" s="29" t="str">
        <x:f>IF(C293&gt;=93,"S",IF(C293&gt;=90,"A",IF(C293&gt;=80,"B","C")))</x:f>
        <x:v>B</x:v>
      </x:c>
      <x:c r="C293" s="72" t="n">
        <x:f>ROUND((P293*0.20+Q293*0.18+R293*0.20+S293*0.15+T293*0.12+U293*0.10+V293*0.05)*20,0)</x:f>
        <x:v>86</x:v>
      </x:c>
      <x:c r="D293" s="29" t="str">
        <x:v>AI、科技与工程</x:v>
      </x:c>
      <x:c r="E293" s="29" t="str">
        <x:v>数据、统计与可视化</x:v>
      </x:c>
      <x:c r="F293" s="29" t="str">
        <x:v>gwern.net</x:v>
      </x:c>
      <x:c r="G293" s="29" t="str">
        <x:v>Gwern Branwen</x:v>
      </x:c>
      <x:c r="H293" s="29" t="str">
        <x:v>独立博客 / 长文</x:v>
      </x:c>
      <x:c r="I293" s="29" t="str">
        <x:v>en</x:v>
      </x:c>
      <x:c r="J293" s="29" t="str">
        <x:v>解释源</x:v>
      </x:c>
      <x:c r="K293" s="29" t="str">
        <x:v>Open</x:v>
      </x:c>
      <x:c r="L293" s="29" t="str">
        <x:v>不定期</x:v>
      </x:c>
      <x:c r="M293" s="29" t="str">
        <x:v>https://gwern.net</x:v>
      </x:c>
      <x:c r="N293" s="29" t="str">
        <x:v>https://gwern.substack.com/feed</x:v>
      </x:c>
      <x:c r="O293" s="29" t="str">
        <x:v>有效</x:v>
      </x:c>
      <x:c r="P293" s="72" t="n">
        <x:v>4</x:v>
      </x:c>
      <x:c r="Q293" s="72" t="n">
        <x:v>5</x:v>
      </x:c>
      <x:c r="R293" s="72" t="n">
        <x:v>4</x:v>
      </x:c>
      <x:c r="S293" s="72" t="n">
        <x:v>5</x:v>
      </x:c>
      <x:c r="T293" s="72" t="n">
        <x:v>4</x:v>
      </x:c>
      <x:c r="U293" s="72" t="n">
        <x:v>3</x:v>
      </x:c>
      <x:c r="V293" s="72" t="n">
        <x:v>5</x:v>
      </x:c>
      <x:c r="W293" s="29" t="str">
        <x:v>数据图解、统计误区、可视化方法</x:v>
      </x:c>
      <x:c r="X293" s="29" t="str">
        <x:v>2025 年 Hacker News 高热个人博客。作者背景：Researcher and writer。</x:v>
      </x:c>
      <x:c r="Y293" s="29" t="str">
        <x:v>独立作者源；事实、数字和因果需回到论文、文档或数据。观点须明确归因。</x:v>
      </x:c>
      <x:c r="Z293" s="75" t="b">
        <x:v>1</x:v>
      </x:c>
      <x:c r="AA293" s="29" t="n">
        <x:v>61</x:v>
      </x:c>
      <x:c r="AB293" s="29" t="str">
        <x:v>Karpathy 分享的 HN 2025 RSS 冷启动集</x:v>
      </x:c>
      <x:c r="AC293" s="29" t="str">
        <x:v>https://gist.github.com/emschwartz/e6d2bf860ccc367fe37ff953ba6de66b</x:v>
      </x:c>
      <x:c r="AD293" s="29" t="str">
        <x:v>2026-08-17</x:v>
      </x:c>
      <x:c r="AE293" s="29" t="n">
        <x:v>200</x:v>
      </x:c>
      <x:c r="AF293" s="29" t="str">
        <x:v>https://gwern.substack.com/feed</x:v>
      </x:c>
      <x:c r="AG293" s="29" t="str">
        <x:v>psychology, statistics, technology</x:v>
      </x:c>
    </x:row>
    <x:row r="294" ht="44" customHeight="1">
      <x:c r="A294" s="29" t="str">
        <x:v>SRC-290</x:v>
      </x:c>
      <x:c r="B294" s="29" t="str">
        <x:f>IF(C294&gt;=93,"S",IF(C294&gt;=90,"A",IF(C294&gt;=80,"B","C")))</x:f>
        <x:v>B</x:v>
      </x:c>
      <x:c r="C294" s="72" t="n">
        <x:f>ROUND((P294*0.20+Q294*0.18+R294*0.20+S294*0.15+T294*0.12+U294*0.10+V294*0.05)*20,0)</x:f>
        <x:v>86</x:v>
      </x:c>
      <x:c r="D294" s="29" t="str">
        <x:v>AI、科技与工程</x:v>
      </x:c>
      <x:c r="E294" s="29" t="str">
        <x:v>软件、系统与互联网</x:v>
      </x:c>
      <x:c r="F294" s="29" t="str">
        <x:v>herman.bearblog.dev</x:v>
      </x:c>
      <x:c r="G294" s="29" t="str">
        <x:v>Herman Martinus</x:v>
      </x:c>
      <x:c r="H294" s="29" t="str">
        <x:v>独立博客 / 长文</x:v>
      </x:c>
      <x:c r="I294" s="29" t="str">
        <x:v>en</x:v>
      </x:c>
      <x:c r="J294" s="29" t="str">
        <x:v>解释源</x:v>
      </x:c>
      <x:c r="K294" s="29" t="str">
        <x:v>Open</x:v>
      </x:c>
      <x:c r="L294" s="29" t="str">
        <x:v>不定期</x:v>
      </x:c>
      <x:c r="M294" s="29" t="str">
        <x:v>https://herman.bearblog.dev</x:v>
      </x:c>
      <x:c r="N294" s="29" t="str">
        <x:v>https://herman.bearblog.dev/feed/</x:v>
      </x:c>
      <x:c r="O294" s="29" t="str">
        <x:v>有效</x:v>
      </x:c>
      <x:c r="P294" s="72" t="n">
        <x:v>4</x:v>
      </x:c>
      <x:c r="Q294" s="72" t="n">
        <x:v>5</x:v>
      </x:c>
      <x:c r="R294" s="72" t="n">
        <x:v>4</x:v>
      </x:c>
      <x:c r="S294" s="72" t="n">
        <x:v>5</x:v>
      </x:c>
      <x:c r="T294" s="72" t="n">
        <x:v>4</x:v>
      </x:c>
      <x:c r="U294" s="72" t="n">
        <x:v>3</x:v>
      </x:c>
      <x:c r="V294" s="72" t="n">
        <x:v>5</x:v>
      </x:c>
      <x:c r="W294" s="29" t="str">
        <x:v>工程洞见、实战复盘、技术解释</x:v>
      </x:c>
      <x:c r="X294" s="29" t="str">
        <x:v>2025 年 Hacker News 高热个人博客。作者背景：Developer and writer。</x:v>
      </x:c>
      <x:c r="Y294" s="29" t="str">
        <x:v>独立作者源；事实、数字和因果需回到论文、文档或数据。观点须明确归因。</x:v>
      </x:c>
      <x:c r="Z294" s="75" t="b">
        <x:v>1</x:v>
      </x:c>
      <x:c r="AA294" s="29" t="n">
        <x:v>77</x:v>
      </x:c>
      <x:c r="AB294" s="29" t="str">
        <x:v>Karpathy 分享的 HN 2025 RSS 冷启动集</x:v>
      </x:c>
      <x:c r="AC294" s="29" t="str">
        <x:v>https://gist.github.com/emschwartz/e6d2bf860ccc367fe37ff953ba6de66b</x:v>
      </x:c>
      <x:c r="AD294" s="29" t="str">
        <x:v>2026-08-17</x:v>
      </x:c>
      <x:c r="AE294" s="29" t="n">
        <x:v>200</x:v>
      </x:c>
      <x:c r="AF294" s="29" t="str">
        <x:v>https://herman.bearblog.dev/feed/</x:v>
      </x:c>
      <x:c r="AG294" s="29" t="str">
        <x:v>software development, technology</x:v>
      </x:c>
    </x:row>
    <x:row r="295" ht="44" customHeight="1">
      <x:c r="A295" s="29" t="str">
        <x:v>SRC-291</x:v>
      </x:c>
      <x:c r="B295" s="29" t="str">
        <x:f>IF(C295&gt;=93,"S",IF(C295&gt;=90,"A",IF(C295&gt;=80,"B","C")))</x:f>
        <x:v>B</x:v>
      </x:c>
      <x:c r="C295" s="72" t="n">
        <x:f>ROUND((P295*0.20+Q295*0.18+R295*0.20+S295*0.15+T295*0.12+U295*0.10+V295*0.05)*20,0)</x:f>
        <x:v>86</x:v>
      </x:c>
      <x:c r="D295" s="29" t="str">
        <x:v>AI、科技与工程</x:v>
      </x:c>
      <x:c r="E295" s="29" t="str">
        <x:v>软件、系统与互联网</x:v>
      </x:c>
      <x:c r="F295" s="29" t="str">
        <x:v>hey.paris</x:v>
      </x:c>
      <x:c r="G295" s="29" t="str">
        <x:v>Paris Buttfield-Addison</x:v>
      </x:c>
      <x:c r="H295" s="29" t="str">
        <x:v>独立博客 / 长文</x:v>
      </x:c>
      <x:c r="I295" s="29" t="str">
        <x:v>en</x:v>
      </x:c>
      <x:c r="J295" s="29" t="str">
        <x:v>解释源</x:v>
      </x:c>
      <x:c r="K295" s="29" t="str">
        <x:v>Open</x:v>
      </x:c>
      <x:c r="L295" s="29" t="str">
        <x:v>不定期</x:v>
      </x:c>
      <x:c r="M295" s="29" t="str">
        <x:v>https://hey.paris</x:v>
      </x:c>
      <x:c r="N295" s="29" t="str">
        <x:v>https://hey.paris/index.xml</x:v>
      </x:c>
      <x:c r="O295" s="29" t="str">
        <x:v>有效</x:v>
      </x:c>
      <x:c r="P295" s="72" t="n">
        <x:v>4</x:v>
      </x:c>
      <x:c r="Q295" s="72" t="n">
        <x:v>5</x:v>
      </x:c>
      <x:c r="R295" s="72" t="n">
        <x:v>4</x:v>
      </x:c>
      <x:c r="S295" s="72" t="n">
        <x:v>5</x:v>
      </x:c>
      <x:c r="T295" s="72" t="n">
        <x:v>4</x:v>
      </x:c>
      <x:c r="U295" s="72" t="n">
        <x:v>3</x:v>
      </x:c>
      <x:c r="V295" s="72" t="n">
        <x:v>5</x:v>
      </x:c>
      <x:c r="W295" s="29" t="str">
        <x:v>工程洞见、实战复盘、技术解释</x:v>
      </x:c>
      <x:c r="X295" s="29" t="str">
        <x:v>2025 年 Hacker News 高热个人博客。作者背景：Computer scientist and author。</x:v>
      </x:c>
      <x:c r="Y295" s="29" t="str">
        <x:v>独立作者源；事实、数字和因果需回到论文、文档或数据。观点须明确归因。</x:v>
      </x:c>
      <x:c r="Z295" s="75" t="b">
        <x:v>1</x:v>
      </x:c>
      <x:c r="AA295" s="29" t="n">
        <x:v>67</x:v>
      </x:c>
      <x:c r="AB295" s="29" t="str">
        <x:v>Karpathy 分享的 HN 2025 RSS 冷启动集</x:v>
      </x:c>
      <x:c r="AC295" s="29" t="str">
        <x:v>https://gist.github.com/emschwartz/e6d2bf860ccc367fe37ff953ba6de66b</x:v>
      </x:c>
      <x:c r="AD295" s="29" t="str">
        <x:v>2026-08-17</x:v>
      </x:c>
      <x:c r="AE295" s="29" t="n">
        <x:v>200</x:v>
      </x:c>
      <x:c r="AF295" s="29" t="str">
        <x:v>https://hey.paris/index.xml</x:v>
      </x:c>
      <x:c r="AG295" s="29" t="str">
        <x:v>game development, AI, technology</x:v>
      </x:c>
    </x:row>
    <x:row r="296" ht="44" customHeight="1">
      <x:c r="A296" s="29" t="str">
        <x:v>SRC-292</x:v>
      </x:c>
      <x:c r="B296" s="29" t="str">
        <x:f>IF(C296&gt;=93,"S",IF(C296&gt;=90,"A",IF(C296&gt;=80,"B","C")))</x:f>
        <x:v>B</x:v>
      </x:c>
      <x:c r="C296" s="72" t="n">
        <x:f>ROUND((P296*0.20+Q296*0.18+R296*0.20+S296*0.15+T296*0.12+U296*0.10+V296*0.05)*20,0)</x:f>
        <x:v>86</x:v>
      </x:c>
      <x:c r="D296" s="29" t="str">
        <x:v>AI、科技与工程</x:v>
      </x:c>
      <x:c r="E296" s="29" t="str">
        <x:v>软件、系统与互联网</x:v>
      </x:c>
      <x:c r="F296" s="29" t="str">
        <x:v>hugotunius.se</x:v>
      </x:c>
      <x:c r="G296" s="29" t="str">
        <x:v>Hugo Tunius</x:v>
      </x:c>
      <x:c r="H296" s="29" t="str">
        <x:v>独立博客 / 长文</x:v>
      </x:c>
      <x:c r="I296" s="29" t="str">
        <x:v>en</x:v>
      </x:c>
      <x:c r="J296" s="29" t="str">
        <x:v>解释源</x:v>
      </x:c>
      <x:c r="K296" s="29" t="str">
        <x:v>Open</x:v>
      </x:c>
      <x:c r="L296" s="29" t="str">
        <x:v>不定期</x:v>
      </x:c>
      <x:c r="M296" s="29" t="str">
        <x:v>https://hugotunius.se</x:v>
      </x:c>
      <x:c r="N296" s="29" t="str">
        <x:v>https://hugotunius.se/feed.xml</x:v>
      </x:c>
      <x:c r="O296" s="29" t="str">
        <x:v>有效</x:v>
      </x:c>
      <x:c r="P296" s="72" t="n">
        <x:v>4</x:v>
      </x:c>
      <x:c r="Q296" s="72" t="n">
        <x:v>5</x:v>
      </x:c>
      <x:c r="R296" s="72" t="n">
        <x:v>4</x:v>
      </x:c>
      <x:c r="S296" s="72" t="n">
        <x:v>5</x:v>
      </x:c>
      <x:c r="T296" s="72" t="n">
        <x:v>4</x:v>
      </x:c>
      <x:c r="U296" s="72" t="n">
        <x:v>3</x:v>
      </x:c>
      <x:c r="V296" s="72" t="n">
        <x:v>5</x:v>
      </x:c>
      <x:c r="W296" s="29" t="str">
        <x:v>工程洞见、实战复盘、技术解释</x:v>
      </x:c>
      <x:c r="X296" s="29" t="str">
        <x:v>2025 年 Hacker News 高热个人博客。作者背景：Software developer。</x:v>
      </x:c>
      <x:c r="Y296" s="29" t="str">
        <x:v>独立作者源；事实、数字和因果需回到论文、文档或数据。观点须明确归因。</x:v>
      </x:c>
      <x:c r="Z296" s="75" t="b">
        <x:v>1</x:v>
      </x:c>
      <x:c r="AA296" s="29" t="n">
        <x:v>60</x:v>
      </x:c>
      <x:c r="AB296" s="29" t="str">
        <x:v>Karpathy 分享的 HN 2025 RSS 冷启动集</x:v>
      </x:c>
      <x:c r="AC296" s="29" t="str">
        <x:v>https://gist.github.com/emschwartz/e6d2bf860ccc367fe37ff953ba6de66b</x:v>
      </x:c>
      <x:c r="AD296" s="29" t="str">
        <x:v>2026-08-17</x:v>
      </x:c>
      <x:c r="AE296" s="29" t="n">
        <x:v>200</x:v>
      </x:c>
      <x:c r="AF296" s="29" t="str">
        <x:v>https://hugotunius.se/feed.xml</x:v>
      </x:c>
      <x:c r="AG296" s="29" t="str">
        <x:v>iOS, mobile development, technology</x:v>
      </x:c>
    </x:row>
    <x:row r="297" ht="44" customHeight="1">
      <x:c r="A297" s="29" t="str">
        <x:v>SRC-293</x:v>
      </x:c>
      <x:c r="B297" s="29" t="str">
        <x:f>IF(C297&gt;=93,"S",IF(C297&gt;=90,"A",IF(C297&gt;=80,"B","C")))</x:f>
        <x:v>B</x:v>
      </x:c>
      <x:c r="C297" s="72" t="n">
        <x:f>ROUND((P297*0.20+Q297*0.18+R297*0.20+S297*0.15+T297*0.12+U297*0.10+V297*0.05)*20,0)</x:f>
        <x:v>86</x:v>
      </x:c>
      <x:c r="D297" s="29" t="str">
        <x:v>AI、科技与工程</x:v>
      </x:c>
      <x:c r="E297" s="29" t="str">
        <x:v>软件、系统与互联网</x:v>
      </x:c>
      <x:c r="F297" s="29" t="str">
        <x:v>idiallo.com</x:v>
      </x:c>
      <x:c r="G297" s="29" t="str">
        <x:v>Ibrahim Diallo</x:v>
      </x:c>
      <x:c r="H297" s="29" t="str">
        <x:v>独立博客 / 长文</x:v>
      </x:c>
      <x:c r="I297" s="29" t="str">
        <x:v>en</x:v>
      </x:c>
      <x:c r="J297" s="29" t="str">
        <x:v>解释源</x:v>
      </x:c>
      <x:c r="K297" s="29" t="str">
        <x:v>Open</x:v>
      </x:c>
      <x:c r="L297" s="29" t="str">
        <x:v>不定期</x:v>
      </x:c>
      <x:c r="M297" s="29" t="str">
        <x:v>https://idiallo.com</x:v>
      </x:c>
      <x:c r="N297" s="29" t="str">
        <x:v>https://idiallo.com/feed.rss</x:v>
      </x:c>
      <x:c r="O297" s="29" t="str">
        <x:v>有效</x:v>
      </x:c>
      <x:c r="P297" s="72" t="n">
        <x:v>4</x:v>
      </x:c>
      <x:c r="Q297" s="72" t="n">
        <x:v>5</x:v>
      </x:c>
      <x:c r="R297" s="72" t="n">
        <x:v>4</x:v>
      </x:c>
      <x:c r="S297" s="72" t="n">
        <x:v>5</x:v>
      </x:c>
      <x:c r="T297" s="72" t="n">
        <x:v>4</x:v>
      </x:c>
      <x:c r="U297" s="72" t="n">
        <x:v>3</x:v>
      </x:c>
      <x:c r="V297" s="72" t="n">
        <x:v>5</x:v>
      </x:c>
      <x:c r="W297" s="29" t="str">
        <x:v>工程洞见、实战复盘、技术解释</x:v>
      </x:c>
      <x:c r="X297" s="29" t="str">
        <x:v>2025 年 Hacker News 高热个人博客。作者背景：Software developer and blogger。</x:v>
      </x:c>
      <x:c r="Y297" s="29" t="str">
        <x:v>独立作者源；事实、数字和因果需回到论文、文档或数据。观点须明确归因。</x:v>
      </x:c>
      <x:c r="Z297" s="75" t="b">
        <x:v>1</x:v>
      </x:c>
      <x:c r="AA297" s="29" t="n">
        <x:v>8</x:v>
      </x:c>
      <x:c r="AB297" s="29" t="str">
        <x:v>Karpathy 分享的 HN 2025 RSS 冷启动集</x:v>
      </x:c>
      <x:c r="AC297" s="29" t="str">
        <x:v>https://gist.github.com/emschwartz/e6d2bf860ccc367fe37ff953ba6de66b</x:v>
      </x:c>
      <x:c r="AD297" s="29" t="str">
        <x:v>2026-08-17</x:v>
      </x:c>
      <x:c r="AE297" s="29" t="n">
        <x:v>200</x:v>
      </x:c>
      <x:c r="AF297" s="29" t="str">
        <x:v>https://idiallo.com/feed.rss</x:v>
      </x:c>
      <x:c r="AG297" s="29" t="str">
        <x:v>programming, software development, technology</x:v>
      </x:c>
    </x:row>
    <x:row r="298" ht="44" customHeight="1">
      <x:c r="A298" s="29" t="str">
        <x:v>SRC-294</x:v>
      </x:c>
      <x:c r="B298" s="29" t="str">
        <x:f>IF(C298&gt;=93,"S",IF(C298&gt;=90,"A",IF(C298&gt;=80,"B","C")))</x:f>
        <x:v>B</x:v>
      </x:c>
      <x:c r="C298" s="72" t="n">
        <x:f>ROUND((P298*0.20+Q298*0.18+R298*0.20+S298*0.15+T298*0.12+U298*0.10+V298*0.05)*20,0)</x:f>
        <x:v>86</x:v>
      </x:c>
      <x:c r="D298" s="29" t="str">
        <x:v>AI、科技与工程</x:v>
      </x:c>
      <x:c r="E298" s="29" t="str">
        <x:v>工程硬件与产业</x:v>
      </x:c>
      <x:c r="F298" s="29" t="str">
        <x:v>IEEE Spectrum</x:v>
      </x:c>
      <x:c r="G298" s="29" t="str"/>
      <x:c r="H298" s="29" t="str">
        <x:v>工程、机器人、芯片、能源和航天报道</x:v>
      </x:c>
      <x:c r="I298" s="29" t="str">
        <x:v>en</x:v>
      </x:c>
      <x:c r="J298" s="29" t="str">
        <x:v>解释源</x:v>
      </x:c>
      <x:c r="K298" s="29" t="str">
        <x:v>Freemium</x:v>
      </x:c>
      <x:c r="L298" s="29" t="str">
        <x:v>每日数篇</x:v>
      </x:c>
      <x:c r="M298" s="29" t="str">
        <x:v>https://spectrum.ieee.org/</x:v>
      </x:c>
      <x:c r="N298" s="29" t="str">
        <x:v>https://spectrum.ieee.org/feeds/feed.rss</x:v>
      </x:c>
      <x:c r="O298" s="29" t="str">
        <x:v>有效</x:v>
      </x:c>
      <x:c r="P298" s="72" t="n">
        <x:v>4</x:v>
      </x:c>
      <x:c r="Q298" s="72" t="n">
        <x:v>5</x:v>
      </x:c>
      <x:c r="R298" s="72" t="n">
        <x:v>4</x:v>
      </x:c>
      <x:c r="S298" s="72" t="n">
        <x:v>5</x:v>
      </x:c>
      <x:c r="T298" s="72" t="n">
        <x:v>4</x:v>
      </x:c>
      <x:c r="U298" s="72" t="n">
        <x:v>4</x:v>
      </x:c>
      <x:c r="V298" s="72" t="n">
        <x:v>3</x:v>
      </x:c>
      <x:c r="W298" s="29" t="str">
        <x:v>机器人、芯片、工程突破、技术史</x:v>
      </x:c>
      <x:c r="X298" s="29" t="str">
        <x:v>工程师视角突出，硬件和产业链信息密度高。</x:v>
      </x:c>
      <x:c r="Y298" s="29" t="str">
        <x:v>Feed端点已核验为RSS。</x:v>
      </x:c>
      <x:c r="Z298" s="75" t="b">
        <x:v>0</x:v>
      </x:c>
      <x:c r="AA298" s="29"/>
      <x:c r="AB298" s="29" t="str">
        <x:v>扩展调研：科技、科学与数据</x:v>
      </x:c>
      <x:c r="AC298" s="29" t="str">
        <x:v>https://spectrum.ieee.org/feeds/feed.rss</x:v>
      </x:c>
      <x:c r="AD298" s="29" t="str">
        <x:v>2026-08-17</x:v>
      </x:c>
      <x:c r="AE298" s="29" t="n">
        <x:v>200</x:v>
      </x:c>
      <x:c r="AF298" s="29" t="str">
        <x:v>https://spectrum.ieee.org/feeds/feed.rss</x:v>
      </x:c>
      <x:c r="AG298" s="29" t="str"/>
    </x:row>
    <x:row r="299" ht="44" customHeight="1">
      <x:c r="A299" s="29" t="str">
        <x:v>SRC-295</x:v>
      </x:c>
      <x:c r="B299" s="29" t="str">
        <x:f>IF(C299&gt;=93,"S",IF(C299&gt;=90,"A",IF(C299&gt;=80,"B","C")))</x:f>
        <x:v>B</x:v>
      </x:c>
      <x:c r="C299" s="72" t="n">
        <x:f>ROUND((P299*0.20+Q299*0.18+R299*0.20+S299*0.15+T299*0.12+U299*0.10+V299*0.05)*20,0)</x:f>
        <x:v>86</x:v>
      </x:c>
      <x:c r="D299" s="29" t="str">
        <x:v>AI、科技与工程</x:v>
      </x:c>
      <x:c r="E299" s="29" t="str">
        <x:v>开放模型与AI政策</x:v>
      </x:c>
      <x:c r="F299" s="29" t="str">
        <x:v>Interconnects</x:v>
      </x:c>
      <x:c r="G299" s="29" t="str"/>
      <x:c r="H299" s="29" t="str">
        <x:v>开源模型、RLHF、产业与政策分析</x:v>
      </x:c>
      <x:c r="I299" s="29" t="str">
        <x:v>en</x:v>
      </x:c>
      <x:c r="J299" s="29" t="str">
        <x:v>解释源</x:v>
      </x:c>
      <x:c r="K299" s="29" t="str">
        <x:v>Freemium</x:v>
      </x:c>
      <x:c r="L299" s="29" t="str">
        <x:v>每周2至4篇</x:v>
      </x:c>
      <x:c r="M299" s="29" t="str">
        <x:v>https://www.interconnects.ai/</x:v>
      </x:c>
      <x:c r="N299" s="29" t="str">
        <x:v>https://www.interconnects.ai/feed</x:v>
      </x:c>
      <x:c r="O299" s="29" t="str">
        <x:v>有效</x:v>
      </x:c>
      <x:c r="P299" s="72" t="n">
        <x:v>4</x:v>
      </x:c>
      <x:c r="Q299" s="72" t="n">
        <x:v>5</x:v>
      </x:c>
      <x:c r="R299" s="72" t="n">
        <x:v>4</x:v>
      </x:c>
      <x:c r="S299" s="72" t="n">
        <x:v>5</x:v>
      </x:c>
      <x:c r="T299" s="72" t="n">
        <x:v>4</x:v>
      </x:c>
      <x:c r="U299" s="72" t="n">
        <x:v>4</x:v>
      </x:c>
      <x:c r="V299" s="72" t="n">
        <x:v>3</x:v>
      </x:c>
      <x:c r="W299" s="29" t="str">
        <x:v>开源格局、产业判断、观点型长帖</x:v>
      </x:c>
      <x:c r="X299" s="29" t="str">
        <x:v>对开放权重、训练方法和产业权力结构的判断清晰。</x:v>
      </x:c>
      <x:c r="Y299" s="29" t="str">
        <x:v>Feed端点已核验为XML。</x:v>
      </x:c>
      <x:c r="Z299" s="75" t="b">
        <x:v>0</x:v>
      </x:c>
      <x:c r="AA299" s="29"/>
      <x:c r="AB299" s="29" t="str">
        <x:v>扩展调研：科技、科学与数据</x:v>
      </x:c>
      <x:c r="AC299" s="29" t="str">
        <x:v>https://www.interconnects.ai/feed</x:v>
      </x:c>
      <x:c r="AD299" s="29" t="str">
        <x:v>2026-08-17</x:v>
      </x:c>
      <x:c r="AE299" s="29" t="n">
        <x:v>200</x:v>
      </x:c>
      <x:c r="AF299" s="29" t="str">
        <x:v>https://www.interconnects.ai/feed</x:v>
      </x:c>
      <x:c r="AG299" s="29" t="str"/>
    </x:row>
    <x:row r="300" ht="44" customHeight="1">
      <x:c r="A300" s="29" t="str">
        <x:v>SRC-296</x:v>
      </x:c>
      <x:c r="B300" s="29" t="str">
        <x:f>IF(C300&gt;=93,"S",IF(C300&gt;=90,"A",IF(C300&gt;=80,"B","C")))</x:f>
        <x:v>B</x:v>
      </x:c>
      <x:c r="C300" s="72" t="n">
        <x:f>ROUND((P300*0.20+Q300*0.18+R300*0.20+S300*0.15+T300*0.12+U300*0.10+V300*0.05)*20,0)</x:f>
        <x:v>86</x:v>
      </x:c>
      <x:c r="D300" s="29" t="str">
        <x:v>AI、科技与工程</x:v>
      </x:c>
      <x:c r="E300" s="29" t="str">
        <x:v>软件、系统与互联网</x:v>
      </x:c>
      <x:c r="F300" s="29" t="str">
        <x:v>it-notes.dragas.net</x:v>
      </x:c>
      <x:c r="G300" s="29" t="str">
        <x:v>Stefano Marinelli</x:v>
      </x:c>
      <x:c r="H300" s="29" t="str">
        <x:v>独立博客 / 长文</x:v>
      </x:c>
      <x:c r="I300" s="29" t="str">
        <x:v>en</x:v>
      </x:c>
      <x:c r="J300" s="29" t="str">
        <x:v>解释源</x:v>
      </x:c>
      <x:c r="K300" s="29" t="str">
        <x:v>Open</x:v>
      </x:c>
      <x:c r="L300" s="29" t="str">
        <x:v>不定期</x:v>
      </x:c>
      <x:c r="M300" s="29" t="str">
        <x:v>https://it-notes.dragas.net</x:v>
      </x:c>
      <x:c r="N300" s="29" t="str">
        <x:v>https://it-notes.dragas.net/feed/</x:v>
      </x:c>
      <x:c r="O300" s="29" t="str">
        <x:v>有效</x:v>
      </x:c>
      <x:c r="P300" s="72" t="n">
        <x:v>4</x:v>
      </x:c>
      <x:c r="Q300" s="72" t="n">
        <x:v>5</x:v>
      </x:c>
      <x:c r="R300" s="72" t="n">
        <x:v>4</x:v>
      </x:c>
      <x:c r="S300" s="72" t="n">
        <x:v>5</x:v>
      </x:c>
      <x:c r="T300" s="72" t="n">
        <x:v>4</x:v>
      </x:c>
      <x:c r="U300" s="72" t="n">
        <x:v>3</x:v>
      </x:c>
      <x:c r="V300" s="72" t="n">
        <x:v>5</x:v>
      </x:c>
      <x:c r="W300" s="29" t="str">
        <x:v>工程洞见、实战复盘、技术解释</x:v>
      </x:c>
      <x:c r="X300" s="29" t="str">
        <x:v>2025 年 Hacker News 高热个人博客。作者背景：System administrator and writer。</x:v>
      </x:c>
      <x:c r="Y300" s="29" t="str">
        <x:v>独立作者源；事实、数字和因果需回到论文、文档或数据。观点须明确归因。</x:v>
      </x:c>
      <x:c r="Z300" s="75" t="b">
        <x:v>1</x:v>
      </x:c>
      <x:c r="AA300" s="29" t="n">
        <x:v>65</x:v>
      </x:c>
      <x:c r="AB300" s="29" t="str">
        <x:v>Karpathy 分享的 HN 2025 RSS 冷启动集</x:v>
      </x:c>
      <x:c r="AC300" s="29" t="str">
        <x:v>https://gist.github.com/emschwartz/e6d2bf860ccc367fe37ff953ba6de66b</x:v>
      </x:c>
      <x:c r="AD300" s="29" t="str">
        <x:v>2026-08-17</x:v>
      </x:c>
      <x:c r="AE300" s="29" t="n">
        <x:v>200</x:v>
      </x:c>
      <x:c r="AF300" s="29" t="str">
        <x:v>https://it-notes.dragas.net/feed/</x:v>
      </x:c>
      <x:c r="AG300" s="29" t="str">
        <x:v>FreeBSD, Linux, system administration</x:v>
      </x:c>
    </x:row>
    <x:row r="301" ht="44" customHeight="1">
      <x:c r="A301" s="29" t="str">
        <x:v>SRC-297</x:v>
      </x:c>
      <x:c r="B301" s="29" t="str">
        <x:f>IF(C301&gt;=93,"S",IF(C301&gt;=90,"A",IF(C301&gt;=80,"B","C")))</x:f>
        <x:v>B</x:v>
      </x:c>
      <x:c r="C301" s="72" t="n">
        <x:f>ROUND((P301*0.20+Q301*0.18+R301*0.20+S301*0.15+T301*0.12+U301*0.10+V301*0.05)*20,0)</x:f>
        <x:v>86</x:v>
      </x:c>
      <x:c r="D301" s="29" t="str">
        <x:v>AI、科技与工程</x:v>
      </x:c>
      <x:c r="E301" s="29" t="str">
        <x:v>软件、系统与互联网</x:v>
      </x:c>
      <x:c r="F301" s="29" t="str">
        <x:v>jayd.ml</x:v>
      </x:c>
      <x:c r="G301" s="29" t="str">
        <x:v>Jayden Milne</x:v>
      </x:c>
      <x:c r="H301" s="29" t="str">
        <x:v>独立博客 / 长文</x:v>
      </x:c>
      <x:c r="I301" s="29" t="str">
        <x:v>en</x:v>
      </x:c>
      <x:c r="J301" s="29" t="str">
        <x:v>解释源</x:v>
      </x:c>
      <x:c r="K301" s="29" t="str">
        <x:v>Open</x:v>
      </x:c>
      <x:c r="L301" s="29" t="str">
        <x:v>不定期</x:v>
      </x:c>
      <x:c r="M301" s="29" t="str">
        <x:v>https://jayd.ml</x:v>
      </x:c>
      <x:c r="N301" s="29" t="str">
        <x:v>https://jayd.ml/feed.xml</x:v>
      </x:c>
      <x:c r="O301" s="29" t="str">
        <x:v>有效</x:v>
      </x:c>
      <x:c r="P301" s="72" t="n">
        <x:v>4</x:v>
      </x:c>
      <x:c r="Q301" s="72" t="n">
        <x:v>5</x:v>
      </x:c>
      <x:c r="R301" s="72" t="n">
        <x:v>4</x:v>
      </x:c>
      <x:c r="S301" s="72" t="n">
        <x:v>5</x:v>
      </x:c>
      <x:c r="T301" s="72" t="n">
        <x:v>4</x:v>
      </x:c>
      <x:c r="U301" s="72" t="n">
        <x:v>3</x:v>
      </x:c>
      <x:c r="V301" s="72" t="n">
        <x:v>5</x:v>
      </x:c>
      <x:c r="W301" s="29" t="str">
        <x:v>工程洞见、实战复盘、技术解释</x:v>
      </x:c>
      <x:c r="X301" s="29" t="str">
        <x:v>2025 年 Hacker News 高热个人博客。作者背景：Software developer and blogger。</x:v>
      </x:c>
      <x:c r="Y301" s="29" t="str">
        <x:v>独立作者源；事实、数字和因果需回到论文、文档或数据。观点须明确归因。</x:v>
      </x:c>
      <x:c r="Z301" s="75" t="b">
        <x:v>1</x:v>
      </x:c>
      <x:c r="AA301" s="29" t="n">
        <x:v>44</x:v>
      </x:c>
      <x:c r="AB301" s="29" t="str">
        <x:v>Karpathy 分享的 HN 2025 RSS 冷启动集</x:v>
      </x:c>
      <x:c r="AC301" s="29" t="str">
        <x:v>https://gist.github.com/emschwartz/e6d2bf860ccc367fe37ff953ba6de66b</x:v>
      </x:c>
      <x:c r="AD301" s="29" t="str">
        <x:v>2026-08-17</x:v>
      </x:c>
      <x:c r="AE301" s="29" t="n">
        <x:v>200</x:v>
      </x:c>
      <x:c r="AF301" s="29" t="str">
        <x:v>https://jayd.ml/feed.xml</x:v>
      </x:c>
      <x:c r="AG301" s="29" t="str">
        <x:v>programming, personal projects, web development</x:v>
      </x:c>
    </x:row>
    <x:row r="302" ht="44" customHeight="1">
      <x:c r="A302" s="29" t="str">
        <x:v>SRC-298</x:v>
      </x:c>
      <x:c r="B302" s="29" t="str">
        <x:f>IF(C302&gt;=93,"S",IF(C302&gt;=90,"A",IF(C302&gt;=80,"B","C")))</x:f>
        <x:v>B</x:v>
      </x:c>
      <x:c r="C302" s="72" t="n">
        <x:f>ROUND((P302*0.20+Q302*0.18+R302*0.20+S302*0.15+T302*0.12+U302*0.10+V302*0.05)*20,0)</x:f>
        <x:v>86</x:v>
      </x:c>
      <x:c r="D302" s="29" t="str">
        <x:v>AI、科技与工程</x:v>
      </x:c>
      <x:c r="E302" s="29" t="str">
        <x:v>软件、系统与互联网</x:v>
      </x:c>
      <x:c r="F302" s="29" t="str">
        <x:v>jeffgeerling.com</x:v>
      </x:c>
      <x:c r="G302" s="29" t="str">
        <x:v>Jeff Geerling</x:v>
      </x:c>
      <x:c r="H302" s="29" t="str">
        <x:v>独立博客 / 长文</x:v>
      </x:c>
      <x:c r="I302" s="29" t="str">
        <x:v>en</x:v>
      </x:c>
      <x:c r="J302" s="29" t="str">
        <x:v>解释源</x:v>
      </x:c>
      <x:c r="K302" s="29" t="str">
        <x:v>Open</x:v>
      </x:c>
      <x:c r="L302" s="29" t="str">
        <x:v>不定期</x:v>
      </x:c>
      <x:c r="M302" s="29" t="str">
        <x:v>https://jeffgeerling.com</x:v>
      </x:c>
      <x:c r="N302" s="29" t="str">
        <x:v>https://www.jeffgeerling.com/blog.xml</x:v>
      </x:c>
      <x:c r="O302" s="29" t="str">
        <x:v>有效</x:v>
      </x:c>
      <x:c r="P302" s="72" t="n">
        <x:v>4</x:v>
      </x:c>
      <x:c r="Q302" s="72" t="n">
        <x:v>5</x:v>
      </x:c>
      <x:c r="R302" s="72" t="n">
        <x:v>4</x:v>
      </x:c>
      <x:c r="S302" s="72" t="n">
        <x:v>5</x:v>
      </x:c>
      <x:c r="T302" s="72" t="n">
        <x:v>4</x:v>
      </x:c>
      <x:c r="U302" s="72" t="n">
        <x:v>3</x:v>
      </x:c>
      <x:c r="V302" s="72" t="n">
        <x:v>5</x:v>
      </x:c>
      <x:c r="W302" s="29" t="str">
        <x:v>工程洞见、实战复盘、技术解释</x:v>
      </x:c>
      <x:c r="X302" s="29" t="str">
        <x:v>2025 年 Hacker News 高热个人博客。作者背景：Developer and YouTube creator。</x:v>
      </x:c>
      <x:c r="Y302" s="29" t="str">
        <x:v>独立作者源；事实、数字和因果需回到论文、文档或数据。观点须明确归因。</x:v>
      </x:c>
      <x:c r="Z302" s="75" t="b">
        <x:v>1</x:v>
      </x:c>
      <x:c r="AA302" s="29" t="n">
        <x:v>2</x:v>
      </x:c>
      <x:c r="AB302" s="29" t="str">
        <x:v>Karpathy 分享的 HN 2025 RSS 冷启动集</x:v>
      </x:c>
      <x:c r="AC302" s="29" t="str">
        <x:v>https://gist.github.com/emschwartz/e6d2bf860ccc367fe37ff953ba6de66b</x:v>
      </x:c>
      <x:c r="AD302" s="29" t="str">
        <x:v>2026-08-17</x:v>
      </x:c>
      <x:c r="AE302" s="29" t="n">
        <x:v>200</x:v>
      </x:c>
      <x:c r="AF302" s="29" t="str">
        <x:v>https://www.jeffgeerling.com/blog.xml</x:v>
      </x:c>
      <x:c r="AG302" s="29" t="str">
        <x:v>Raspberry Pi, Ansible, open-source</x:v>
      </x:c>
    </x:row>
    <x:row r="303" ht="44" customHeight="1">
      <x:c r="A303" s="29" t="str">
        <x:v>SRC-299</x:v>
      </x:c>
      <x:c r="B303" s="29" t="str">
        <x:f>IF(C303&gt;=93,"S",IF(C303&gt;=90,"A",IF(C303&gt;=80,"B","C")))</x:f>
        <x:v>B</x:v>
      </x:c>
      <x:c r="C303" s="72" t="n">
        <x:f>ROUND((P303*0.20+Q303*0.18+R303*0.20+S303*0.15+T303*0.12+U303*0.10+V303*0.05)*20,0)</x:f>
        <x:v>86</x:v>
      </x:c>
      <x:c r="D303" s="29" t="str">
        <x:v>AI、科技与工程</x:v>
      </x:c>
      <x:c r="E303" s="29" t="str">
        <x:v>软件、系统与互联网</x:v>
      </x:c>
      <x:c r="F303" s="29" t="str">
        <x:v>jyn.dev</x:v>
      </x:c>
      <x:c r="G303" s="29" t="str">
        <x:v>Jyn Nelson</x:v>
      </x:c>
      <x:c r="H303" s="29" t="str">
        <x:v>独立博客 / 长文</x:v>
      </x:c>
      <x:c r="I303" s="29" t="str">
        <x:v>en</x:v>
      </x:c>
      <x:c r="J303" s="29" t="str">
        <x:v>解释源</x:v>
      </x:c>
      <x:c r="K303" s="29" t="str">
        <x:v>Open</x:v>
      </x:c>
      <x:c r="L303" s="29" t="str">
        <x:v>不定期</x:v>
      </x:c>
      <x:c r="M303" s="29" t="str">
        <x:v>https://jyn.dev</x:v>
      </x:c>
      <x:c r="N303" s="29" t="str">
        <x:v>https://jyn.dev/atom.xml</x:v>
      </x:c>
      <x:c r="O303" s="29" t="str">
        <x:v>有效</x:v>
      </x:c>
      <x:c r="P303" s="72" t="n">
        <x:v>4</x:v>
      </x:c>
      <x:c r="Q303" s="72" t="n">
        <x:v>5</x:v>
      </x:c>
      <x:c r="R303" s="72" t="n">
        <x:v>4</x:v>
      </x:c>
      <x:c r="S303" s="72" t="n">
        <x:v>5</x:v>
      </x:c>
      <x:c r="T303" s="72" t="n">
        <x:v>4</x:v>
      </x:c>
      <x:c r="U303" s="72" t="n">
        <x:v>3</x:v>
      </x:c>
      <x:c r="V303" s="72" t="n">
        <x:v>5</x:v>
      </x:c>
      <x:c r="W303" s="29" t="str">
        <x:v>工程洞见、实战复盘、技术解释</x:v>
      </x:c>
      <x:c r="X303" s="29" t="str">
        <x:v>2025 年 Hacker News 高热个人博客。作者背景：Rust compiler engineer。</x:v>
      </x:c>
      <x:c r="Y303" s="29" t="str">
        <x:v>独立作者源；事实、数字和因果需回到论文、文档或数据。观点须明确归因。</x:v>
      </x:c>
      <x:c r="Z303" s="75" t="b">
        <x:v>1</x:v>
      </x:c>
      <x:c r="AA303" s="29" t="n">
        <x:v>51</x:v>
      </x:c>
      <x:c r="AB303" s="29" t="str">
        <x:v>Karpathy 分享的 HN 2025 RSS 冷启动集</x:v>
      </x:c>
      <x:c r="AC303" s="29" t="str">
        <x:v>https://gist.github.com/emschwartz/e6d2bf860ccc367fe37ff953ba6de66b</x:v>
      </x:c>
      <x:c r="AD303" s="29" t="str">
        <x:v>2026-08-17</x:v>
      </x:c>
      <x:c r="AE303" s="29" t="n">
        <x:v>200</x:v>
      </x:c>
      <x:c r="AF303" s="29" t="str">
        <x:v>https://jyn.dev/atom.xml</x:v>
      </x:c>
      <x:c r="AG303" s="29" t="str">
        <x:v>Rust, compilers, programming</x:v>
      </x:c>
    </x:row>
    <x:row r="304" ht="44" customHeight="1">
      <x:c r="A304" s="29" t="str">
        <x:v>SRC-300</x:v>
      </x:c>
      <x:c r="B304" s="29" t="str">
        <x:f>IF(C304&gt;=93,"S",IF(C304&gt;=90,"A",IF(C304&gt;=80,"B","C")))</x:f>
        <x:v>B</x:v>
      </x:c>
      <x:c r="C304" s="72" t="n">
        <x:f>ROUND((P304*0.20+Q304*0.18+R304*0.20+S304*0.15+T304*0.12+U304*0.10+V304*0.05)*20,0)</x:f>
        <x:v>86</x:v>
      </x:c>
      <x:c r="D304" s="29" t="str">
        <x:v>AI、科技与工程</x:v>
      </x:c>
      <x:c r="E304" s="29" t="str">
        <x:v>安全、隐私与数字权利</x:v>
      </x:c>
      <x:c r="F304" s="29" t="str">
        <x:v>krebsonsecurity.com</x:v>
      </x:c>
      <x:c r="G304" s="29" t="str">
        <x:v>Brian Krebs</x:v>
      </x:c>
      <x:c r="H304" s="29" t="str">
        <x:v>独立博客 / 长文</x:v>
      </x:c>
      <x:c r="I304" s="29" t="str">
        <x:v>en</x:v>
      </x:c>
      <x:c r="J304" s="29" t="str">
        <x:v>解释源</x:v>
      </x:c>
      <x:c r="K304" s="29" t="str">
        <x:v>Open</x:v>
      </x:c>
      <x:c r="L304" s="29" t="str">
        <x:v>不定期</x:v>
      </x:c>
      <x:c r="M304" s="29" t="str">
        <x:v>https://krebsonsecurity.com</x:v>
      </x:c>
      <x:c r="N304" s="29" t="str">
        <x:v>https://krebsonsecurity.com/feed/</x:v>
      </x:c>
      <x:c r="O304" s="29" t="str">
        <x:v>有效</x:v>
      </x:c>
      <x:c r="P304" s="72" t="n">
        <x:v>4</x:v>
      </x:c>
      <x:c r="Q304" s="72" t="n">
        <x:v>5</x:v>
      </x:c>
      <x:c r="R304" s="72" t="n">
        <x:v>4</x:v>
      </x:c>
      <x:c r="S304" s="72" t="n">
        <x:v>5</x:v>
      </x:c>
      <x:c r="T304" s="72" t="n">
        <x:v>4</x:v>
      </x:c>
      <x:c r="U304" s="72" t="n">
        <x:v>3</x:v>
      </x:c>
      <x:c r="V304" s="72" t="n">
        <x:v>5</x:v>
      </x:c>
      <x:c r="W304" s="29" t="str">
        <x:v>工程洞见、实战复盘、技术解释</x:v>
      </x:c>
      <x:c r="X304" s="29" t="str">
        <x:v>2025 年 Hacker News 高热个人博客。作者背景：Independent journalist。</x:v>
      </x:c>
      <x:c r="Y304" s="29" t="str">
        <x:v>独立作者源；事实、数字和因果需回到论文、文档或数据。观点须明确归因。</x:v>
      </x:c>
      <x:c r="Z304" s="75" t="b">
        <x:v>1</x:v>
      </x:c>
      <x:c r="AA304" s="29" t="n">
        <x:v>4</x:v>
      </x:c>
      <x:c r="AB304" s="29" t="str">
        <x:v>Karpathy 分享的 HN 2025 RSS 冷启动集</x:v>
      </x:c>
      <x:c r="AC304" s="29" t="str">
        <x:v>https://gist.github.com/emschwartz/e6d2bf860ccc367fe37ff953ba6de66b</x:v>
      </x:c>
      <x:c r="AD304" s="29" t="str">
        <x:v>2026-08-17</x:v>
      </x:c>
      <x:c r="AE304" s="29" t="n">
        <x:v>200</x:v>
      </x:c>
      <x:c r="AF304" s="29" t="str">
        <x:v>https://krebsonsecurity.com/feed/</x:v>
      </x:c>
      <x:c r="AG304" s="29" t="str">
        <x:v>security, malware, fraud</x:v>
      </x:c>
    </x:row>
    <x:row r="305" ht="44" customHeight="1">
      <x:c r="A305" s="29" t="str">
        <x:v>SRC-301</x:v>
      </x:c>
      <x:c r="B305" s="29" t="str">
        <x:f>IF(C305&gt;=93,"S",IF(C305&gt;=90,"A",IF(C305&gt;=80,"B","C")))</x:f>
        <x:v>B</x:v>
      </x:c>
      <x:c r="C305" s="72" t="n">
        <x:f>ROUND((P305*0.20+Q305*0.18+R305*0.20+S305*0.15+T305*0.12+U305*0.10+V305*0.05)*20,0)</x:f>
        <x:v>86</x:v>
      </x:c>
      <x:c r="D305" s="29" t="str">
        <x:v>AI、科技与工程</x:v>
      </x:c>
      <x:c r="E305" s="29" t="str">
        <x:v>AI工程与开发者工具</x:v>
      </x:c>
      <x:c r="F305" s="29" t="str">
        <x:v>Latent Space</x:v>
      </x:c>
      <x:c r="G305" s="29" t="str"/>
      <x:c r="H305" s="29" t="str">
        <x:v>AI工程、访谈、开发者工具、播客</x:v>
      </x:c>
      <x:c r="I305" s="29" t="str">
        <x:v>en</x:v>
      </x:c>
      <x:c r="J305" s="29" t="str">
        <x:v>解释源</x:v>
      </x:c>
      <x:c r="K305" s="29" t="str">
        <x:v>Freemium</x:v>
      </x:c>
      <x:c r="L305" s="29" t="str">
        <x:v>每周2至5篇</x:v>
      </x:c>
      <x:c r="M305" s="29" t="str">
        <x:v>https://www.latent.space/</x:v>
      </x:c>
      <x:c r="N305" s="29" t="str">
        <x:v>https://www.latent.space/feed</x:v>
      </x:c>
      <x:c r="O305" s="29" t="str">
        <x:v>有效</x:v>
      </x:c>
      <x:c r="P305" s="72" t="n">
        <x:v>4</x:v>
      </x:c>
      <x:c r="Q305" s="72" t="n">
        <x:v>5</x:v>
      </x:c>
      <x:c r="R305" s="72" t="n">
        <x:v>4</x:v>
      </x:c>
      <x:c r="S305" s="72" t="n">
        <x:v>5</x:v>
      </x:c>
      <x:c r="T305" s="72" t="n">
        <x:v>4</x:v>
      </x:c>
      <x:c r="U305" s="72" t="n">
        <x:v>4</x:v>
      </x:c>
      <x:c r="V305" s="72" t="n">
        <x:v>3</x:v>
      </x:c>
      <x:c r="W305" s="29" t="str">
        <x:v>创作者观点、工具趋势、访谈金句</x:v>
      </x:c>
      <x:c r="X305" s="29" t="str">
        <x:v>紧跟Agent和AI工程圈，访谈信息密度高。</x:v>
      </x:c>
      <x:c r="Y305" s="29" t="str">
        <x:v>Feed端点已核验。</x:v>
      </x:c>
      <x:c r="Z305" s="75" t="b">
        <x:v>0</x:v>
      </x:c>
      <x:c r="AA305" s="29"/>
      <x:c r="AB305" s="29" t="str">
        <x:v>扩展调研：科技、科学与数据</x:v>
      </x:c>
      <x:c r="AC305" s="29" t="str">
        <x:v>https://www.latent.space/feed</x:v>
      </x:c>
      <x:c r="AD305" s="29" t="str">
        <x:v>2026-08-17</x:v>
      </x:c>
      <x:c r="AE305" s="29" t="n">
        <x:v>200</x:v>
      </x:c>
      <x:c r="AF305" s="29" t="str">
        <x:v>https://www.latent.space/feed</x:v>
      </x:c>
      <x:c r="AG305" s="29" t="str"/>
    </x:row>
    <x:row r="306" ht="44" customHeight="1">
      <x:c r="A306" s="29" t="str">
        <x:v>SRC-302</x:v>
      </x:c>
      <x:c r="B306" s="29" t="str">
        <x:f>IF(C306&gt;=93,"S",IF(C306&gt;=90,"A",IF(C306&gt;=80,"B","C")))</x:f>
        <x:v>B</x:v>
      </x:c>
      <x:c r="C306" s="72" t="n">
        <x:f>ROUND((P306*0.20+Q306*0.18+R306*0.20+S306*0.15+T306*0.12+U306*0.10+V306*0.05)*20,0)</x:f>
        <x:v>86</x:v>
      </x:c>
      <x:c r="D306" s="29" t="str">
        <x:v>AI、科技与工程</x:v>
      </x:c>
      <x:c r="E306" s="29" t="str">
        <x:v>安全、隐私与数字权利</x:v>
      </x:c>
      <x:c r="F306" s="29" t="str">
        <x:v>lcamtuf.substack.com</x:v>
      </x:c>
      <x:c r="G306" s="29" t="str">
        <x:v>Michał Zalewski</x:v>
      </x:c>
      <x:c r="H306" s="29" t="str">
        <x:v>独立博客 / 长文</x:v>
      </x:c>
      <x:c r="I306" s="29" t="str">
        <x:v>en</x:v>
      </x:c>
      <x:c r="J306" s="29" t="str">
        <x:v>解释源</x:v>
      </x:c>
      <x:c r="K306" s="29" t="str">
        <x:v>Open</x:v>
      </x:c>
      <x:c r="L306" s="29" t="str">
        <x:v>不定期</x:v>
      </x:c>
      <x:c r="M306" s="29" t="str">
        <x:v>https://lcamtuf.substack.com</x:v>
      </x:c>
      <x:c r="N306" s="29" t="str">
        <x:v>https://lcamtuf.substack.com/feed</x:v>
      </x:c>
      <x:c r="O306" s="29" t="str">
        <x:v>有效</x:v>
      </x:c>
      <x:c r="P306" s="72" t="n">
        <x:v>4</x:v>
      </x:c>
      <x:c r="Q306" s="72" t="n">
        <x:v>5</x:v>
      </x:c>
      <x:c r="R306" s="72" t="n">
        <x:v>4</x:v>
      </x:c>
      <x:c r="S306" s="72" t="n">
        <x:v>5</x:v>
      </x:c>
      <x:c r="T306" s="72" t="n">
        <x:v>4</x:v>
      </x:c>
      <x:c r="U306" s="72" t="n">
        <x:v>3</x:v>
      </x:c>
      <x:c r="V306" s="72" t="n">
        <x:v>5</x:v>
      </x:c>
      <x:c r="W306" s="29" t="str">
        <x:v>工程洞见、实战复盘、技术解释</x:v>
      </x:c>
      <x:c r="X306" s="29" t="str">
        <x:v>2025 年 Hacker News 高热个人博客。作者背景：Security researcher and author。</x:v>
      </x:c>
      <x:c r="Y306" s="29" t="str">
        <x:v>独立作者源；事实、数字和因果需回到论文、文档或数据。观点须明确归因。</x:v>
      </x:c>
      <x:c r="Z306" s="75" t="b">
        <x:v>1</x:v>
      </x:c>
      <x:c r="AA306" s="29" t="n">
        <x:v>12</x:v>
      </x:c>
      <x:c r="AB306" s="29" t="str">
        <x:v>Karpathy 分享的 HN 2025 RSS 冷启动集</x:v>
      </x:c>
      <x:c r="AC306" s="29" t="str">
        <x:v>https://gist.github.com/emschwartz/e6d2bf860ccc367fe37ff953ba6de66b</x:v>
      </x:c>
      <x:c r="AD306" s="29" t="str">
        <x:v>2026-08-17</x:v>
      </x:c>
      <x:c r="AE306" s="29" t="n">
        <x:v>200</x:v>
      </x:c>
      <x:c r="AF306" s="29" t="str">
        <x:v>https://lcamtuf.substack.com/feed</x:v>
      </x:c>
      <x:c r="AG306" s="29" t="str">
        <x:v>security, software development, hacking</x:v>
      </x:c>
    </x:row>
    <x:row r="307" ht="44" customHeight="1">
      <x:c r="A307" s="29" t="str">
        <x:v>SRC-303</x:v>
      </x:c>
      <x:c r="B307" s="29" t="str">
        <x:f>IF(C307&gt;=93,"S",IF(C307&gt;=90,"A",IF(C307&gt;=80,"B","C")))</x:f>
        <x:v>B</x:v>
      </x:c>
      <x:c r="C307" s="72" t="n">
        <x:f>ROUND((P307*0.20+Q307*0.18+R307*0.20+S307*0.15+T307*0.12+U307*0.10+V307*0.05)*20,0)</x:f>
        <x:v>86</x:v>
      </x:c>
      <x:c r="D307" s="29" t="str">
        <x:v>AI、科技与工程</x:v>
      </x:c>
      <x:c r="E307" s="29" t="str">
        <x:v>软件、系统与互联网</x:v>
      </x:c>
      <x:c r="F307" s="29" t="str">
        <x:v>lucumr.pocoo.org</x:v>
      </x:c>
      <x:c r="G307" s="29" t="str">
        <x:v>Armin Ronacher</x:v>
      </x:c>
      <x:c r="H307" s="29" t="str">
        <x:v>独立博客 / 长文</x:v>
      </x:c>
      <x:c r="I307" s="29" t="str">
        <x:v>en</x:v>
      </x:c>
      <x:c r="J307" s="29" t="str">
        <x:v>解释源</x:v>
      </x:c>
      <x:c r="K307" s="29" t="str">
        <x:v>Open</x:v>
      </x:c>
      <x:c r="L307" s="29" t="str">
        <x:v>不定期</x:v>
      </x:c>
      <x:c r="M307" s="29" t="str">
        <x:v>https://lucumr.pocoo.org</x:v>
      </x:c>
      <x:c r="N307" s="29" t="str">
        <x:v>https://lucumr.pocoo.org/feed.atom</x:v>
      </x:c>
      <x:c r="O307" s="29" t="str">
        <x:v>有效</x:v>
      </x:c>
      <x:c r="P307" s="72" t="n">
        <x:v>4</x:v>
      </x:c>
      <x:c r="Q307" s="72" t="n">
        <x:v>5</x:v>
      </x:c>
      <x:c r="R307" s="72" t="n">
        <x:v>4</x:v>
      </x:c>
      <x:c r="S307" s="72" t="n">
        <x:v>5</x:v>
      </x:c>
      <x:c r="T307" s="72" t="n">
        <x:v>4</x:v>
      </x:c>
      <x:c r="U307" s="72" t="n">
        <x:v>3</x:v>
      </x:c>
      <x:c r="V307" s="72" t="n">
        <x:v>5</x:v>
      </x:c>
      <x:c r="W307" s="29" t="str">
        <x:v>工程洞见、实战复盘、技术解释</x:v>
      </x:c>
      <x:c r="X307" s="29" t="str">
        <x:v>2025 年 Hacker News 高热个人博客。作者背景：Software developer and creator of Flask。</x:v>
      </x:c>
      <x:c r="Y307" s="29" t="str">
        <x:v>独立作者源；事实、数字和因果需回到论文、文档或数据。观点须明确归因。</x:v>
      </x:c>
      <x:c r="Z307" s="75" t="b">
        <x:v>1</x:v>
      </x:c>
      <x:c r="AA307" s="29" t="n">
        <x:v>19</x:v>
      </x:c>
      <x:c r="AB307" s="29" t="str">
        <x:v>Karpathy 分享的 HN 2025 RSS 冷启动集</x:v>
      </x:c>
      <x:c r="AC307" s="29" t="str">
        <x:v>https://gist.github.com/emschwartz/e6d2bf860ccc367fe37ff953ba6de66b</x:v>
      </x:c>
      <x:c r="AD307" s="29" t="str">
        <x:v>2026-08-17</x:v>
      </x:c>
      <x:c r="AE307" s="29" t="n">
        <x:v>200</x:v>
      </x:c>
      <x:c r="AF307" s="29" t="str">
        <x:v>https://lucumr.pocoo.org/feed.atom</x:v>
      </x:c>
      <x:c r="AG307" s="29" t="str">
        <x:v>Python, open-source, software development</x:v>
      </x:c>
    </x:row>
    <x:row r="308" ht="44" customHeight="1">
      <x:c r="A308" s="29" t="str">
        <x:v>SRC-304</x:v>
      </x:c>
      <x:c r="B308" s="29" t="str">
        <x:f>IF(C308&gt;=93,"S",IF(C308&gt;=90,"A",IF(C308&gt;=80,"B","C")))</x:f>
        <x:v>B</x:v>
      </x:c>
      <x:c r="C308" s="72" t="n">
        <x:f>ROUND((P308*0.20+Q308*0.18+R308*0.20+S308*0.15+T308*0.12+U308*0.10+V308*0.05)*20,0)</x:f>
        <x:v>86</x:v>
      </x:c>
      <x:c r="D308" s="29" t="str">
        <x:v>AI、科技与工程</x:v>
      </x:c>
      <x:c r="E308" s="29" t="str">
        <x:v>软件、系统与互联网</x:v>
      </x:c>
      <x:c r="F308" s="29" t="str">
        <x:v>martinalderson.com</x:v>
      </x:c>
      <x:c r="G308" s="29" t="str">
        <x:v>Martin Alderson</x:v>
      </x:c>
      <x:c r="H308" s="29" t="str">
        <x:v>独立博客 / 长文</x:v>
      </x:c>
      <x:c r="I308" s="29" t="str">
        <x:v>en</x:v>
      </x:c>
      <x:c r="J308" s="29" t="str">
        <x:v>解释源</x:v>
      </x:c>
      <x:c r="K308" s="29" t="str">
        <x:v>Open</x:v>
      </x:c>
      <x:c r="L308" s="29" t="str">
        <x:v>不定期</x:v>
      </x:c>
      <x:c r="M308" s="29" t="str">
        <x:v>https://martinalderson.com</x:v>
      </x:c>
      <x:c r="N308" s="29" t="str">
        <x:v>https://martinalderson.com/feed.xml</x:v>
      </x:c>
      <x:c r="O308" s="29" t="str">
        <x:v>有效</x:v>
      </x:c>
      <x:c r="P308" s="72" t="n">
        <x:v>4</x:v>
      </x:c>
      <x:c r="Q308" s="72" t="n">
        <x:v>5</x:v>
      </x:c>
      <x:c r="R308" s="72" t="n">
        <x:v>4</x:v>
      </x:c>
      <x:c r="S308" s="72" t="n">
        <x:v>5</x:v>
      </x:c>
      <x:c r="T308" s="72" t="n">
        <x:v>4</x:v>
      </x:c>
      <x:c r="U308" s="72" t="n">
        <x:v>3</x:v>
      </x:c>
      <x:c r="V308" s="72" t="n">
        <x:v>5</x:v>
      </x:c>
      <x:c r="W308" s="29" t="str">
        <x:v>工程洞见、实战复盘、技术解释</x:v>
      </x:c>
      <x:c r="X308" s="29" t="str">
        <x:v>2025 年 Hacker News 高热个人博客。作者背景：Writer and software engineer。</x:v>
      </x:c>
      <x:c r="Y308" s="29" t="str">
        <x:v>独立作者源；事实、数字和因果需回到论文、文档或数据。观点须明确归因。</x:v>
      </x:c>
      <x:c r="Z308" s="75" t="b">
        <x:v>1</x:v>
      </x:c>
      <x:c r="AA308" s="29" t="n">
        <x:v>80</x:v>
      </x:c>
      <x:c r="AB308" s="29" t="str">
        <x:v>Karpathy 分享的 HN 2025 RSS 冷启动集</x:v>
      </x:c>
      <x:c r="AC308" s="29" t="str">
        <x:v>https://gist.github.com/emschwartz/e6d2bf860ccc367fe37ff953ba6de66b</x:v>
      </x:c>
      <x:c r="AD308" s="29" t="str">
        <x:v>2026-08-17</x:v>
      </x:c>
      <x:c r="AE308" s="29" t="n">
        <x:v>200</x:v>
      </x:c>
      <x:c r="AF308" s="29" t="str">
        <x:v>https://martinalderson.com/feed.xml</x:v>
      </x:c>
      <x:c r="AG308" s="29" t="str">
        <x:v>web development, AI, performance</x:v>
      </x:c>
    </x:row>
    <x:row r="309" ht="44" customHeight="1">
      <x:c r="A309" s="29" t="str">
        <x:v>SRC-305</x:v>
      </x:c>
      <x:c r="B309" s="29" t="str">
        <x:f>IF(C309&gt;=93,"S",IF(C309&gt;=90,"A",IF(C309&gt;=80,"B","C")))</x:f>
        <x:v>B</x:v>
      </x:c>
      <x:c r="C309" s="72" t="n">
        <x:f>ROUND((P309*0.20+Q309*0.18+R309*0.20+S309*0.15+T309*0.12+U309*0.10+V309*0.05)*20,0)</x:f>
        <x:v>86</x:v>
      </x:c>
      <x:c r="D309" s="29" t="str">
        <x:v>AI、科技与工程</x:v>
      </x:c>
      <x:c r="E309" s="29" t="str">
        <x:v>软件、系统与互联网</x:v>
      </x:c>
      <x:c r="F309" s="29" t="str">
        <x:v>matklad.github.io</x:v>
      </x:c>
      <x:c r="G309" s="29" t="str">
        <x:v>Alex Kladov</x:v>
      </x:c>
      <x:c r="H309" s="29" t="str">
        <x:v>独立博客 / 长文</x:v>
      </x:c>
      <x:c r="I309" s="29" t="str">
        <x:v>en</x:v>
      </x:c>
      <x:c r="J309" s="29" t="str">
        <x:v>解释源</x:v>
      </x:c>
      <x:c r="K309" s="29" t="str">
        <x:v>Open</x:v>
      </x:c>
      <x:c r="L309" s="29" t="str">
        <x:v>不定期</x:v>
      </x:c>
      <x:c r="M309" s="29" t="str">
        <x:v>https://matklad.github.io</x:v>
      </x:c>
      <x:c r="N309" s="29" t="str">
        <x:v>https://matklad.github.io/feed.xml</x:v>
      </x:c>
      <x:c r="O309" s="29" t="str">
        <x:v>有效</x:v>
      </x:c>
      <x:c r="P309" s="72" t="n">
        <x:v>4</x:v>
      </x:c>
      <x:c r="Q309" s="72" t="n">
        <x:v>5</x:v>
      </x:c>
      <x:c r="R309" s="72" t="n">
        <x:v>4</x:v>
      </x:c>
      <x:c r="S309" s="72" t="n">
        <x:v>5</x:v>
      </x:c>
      <x:c r="T309" s="72" t="n">
        <x:v>4</x:v>
      </x:c>
      <x:c r="U309" s="72" t="n">
        <x:v>3</x:v>
      </x:c>
      <x:c r="V309" s="72" t="n">
        <x:v>5</x:v>
      </x:c>
      <x:c r="W309" s="29" t="str">
        <x:v>工程洞见、实战复盘、技术解释</x:v>
      </x:c>
      <x:c r="X309" s="29" t="str">
        <x:v>2025 年 Hacker News 高热个人博客。作者背景：Software developer and Rust contributor。</x:v>
      </x:c>
      <x:c r="Y309" s="29" t="str">
        <x:v>独立作者源；事实、数字和因果需回到论文、文档或数据。观点须明确归因。</x:v>
      </x:c>
      <x:c r="Z309" s="75" t="b">
        <x:v>1</x:v>
      </x:c>
      <x:c r="AA309" s="29" t="n">
        <x:v>27</x:v>
      </x:c>
      <x:c r="AB309" s="29" t="str">
        <x:v>Karpathy 分享的 HN 2025 RSS 冷启动集</x:v>
      </x:c>
      <x:c r="AC309" s="29" t="str">
        <x:v>https://gist.github.com/emschwartz/e6d2bf860ccc367fe37ff953ba6de66b</x:v>
      </x:c>
      <x:c r="AD309" s="29" t="str">
        <x:v>2026-08-17</x:v>
      </x:c>
      <x:c r="AE309" s="29" t="n">
        <x:v>200</x:v>
      </x:c>
      <x:c r="AF309" s="29" t="str">
        <x:v>https://matklad.github.io/feed.xml</x:v>
      </x:c>
      <x:c r="AG309" s="29" t="str">
        <x:v>Rust, software development, programming languages</x:v>
      </x:c>
    </x:row>
    <x:row r="310" ht="44" customHeight="1">
      <x:c r="A310" s="29" t="str">
        <x:v>SRC-306</x:v>
      </x:c>
      <x:c r="B310" s="29" t="str">
        <x:f>IF(C310&gt;=93,"S",IF(C310&gt;=90,"A",IF(C310&gt;=80,"B","C")))</x:f>
        <x:v>B</x:v>
      </x:c>
      <x:c r="C310" s="72" t="n">
        <x:f>ROUND((P310*0.20+Q310*0.18+R310*0.20+S310*0.15+T310*0.12+U310*0.10+V310*0.05)*20,0)</x:f>
        <x:v>86</x:v>
      </x:c>
      <x:c r="D310" s="29" t="str">
        <x:v>AI、科技与工程</x:v>
      </x:c>
      <x:c r="E310" s="29" t="str">
        <x:v>硬件、复古计算与技术史</x:v>
      </x:c>
      <x:c r="F310" s="29" t="str">
        <x:v>maurycyz.com</x:v>
      </x:c>
      <x:c r="G310" s="29" t="str">
        <x:v>Maurycy Z.</x:v>
      </x:c>
      <x:c r="H310" s="29" t="str">
        <x:v>独立博客 / 长文</x:v>
      </x:c>
      <x:c r="I310" s="29" t="str">
        <x:v>en</x:v>
      </x:c>
      <x:c r="J310" s="29" t="str">
        <x:v>解释源</x:v>
      </x:c>
      <x:c r="K310" s="29" t="str">
        <x:v>Open</x:v>
      </x:c>
      <x:c r="L310" s="29" t="str">
        <x:v>不定期</x:v>
      </x:c>
      <x:c r="M310" s="29" t="str">
        <x:v>https://maurycyz.com</x:v>
      </x:c>
      <x:c r="N310" s="29" t="str">
        <x:v>https://maurycyz.com/index.xml</x:v>
      </x:c>
      <x:c r="O310" s="29" t="str">
        <x:v>有效</x:v>
      </x:c>
      <x:c r="P310" s="72" t="n">
        <x:v>4</x:v>
      </x:c>
      <x:c r="Q310" s="72" t="n">
        <x:v>5</x:v>
      </x:c>
      <x:c r="R310" s="72" t="n">
        <x:v>4</x:v>
      </x:c>
      <x:c r="S310" s="72" t="n">
        <x:v>5</x:v>
      </x:c>
      <x:c r="T310" s="72" t="n">
        <x:v>4</x:v>
      </x:c>
      <x:c r="U310" s="72" t="n">
        <x:v>3</x:v>
      </x:c>
      <x:c r="V310" s="72" t="n">
        <x:v>5</x:v>
      </x:c>
      <x:c r="W310" s="29" t="str">
        <x:v>工程洞见、实战复盘、技术解释</x:v>
      </x:c>
      <x:c r="X310" s="29" t="str">
        <x:v>2025 年 Hacker News 高热个人博客。作者背景：Electronics and software enthusiast。</x:v>
      </x:c>
      <x:c r="Y310" s="29" t="str">
        <x:v>独立作者源；事实、数字和因果需回到论文、文档或数据。观点须明确归因。</x:v>
      </x:c>
      <x:c r="Z310" s="75" t="b">
        <x:v>1</x:v>
      </x:c>
      <x:c r="AA310" s="29" t="n">
        <x:v>9</x:v>
      </x:c>
      <x:c r="AB310" s="29" t="str">
        <x:v>Karpathy 分享的 HN 2025 RSS 冷启动集</x:v>
      </x:c>
      <x:c r="AC310" s="29" t="str">
        <x:v>https://gist.github.com/emschwartz/e6d2bf860ccc367fe37ff953ba6de66b</x:v>
      </x:c>
      <x:c r="AD310" s="29" t="str">
        <x:v>2026-08-17</x:v>
      </x:c>
      <x:c r="AE310" s="29" t="n">
        <x:v>200</x:v>
      </x:c>
      <x:c r="AF310" s="29" t="str">
        <x:v>https://maurycyz.com/index.xml</x:v>
      </x:c>
      <x:c r="AG310" s="29" t="str">
        <x:v>electronics, programming, photography</x:v>
      </x:c>
    </x:row>
    <x:row r="311" ht="44" customHeight="1">
      <x:c r="A311" s="29" t="str">
        <x:v>SRC-307</x:v>
      </x:c>
      <x:c r="B311" s="29" t="str">
        <x:f>IF(C311&gt;=93,"S",IF(C311&gt;=90,"A",IF(C311&gt;=80,"B","C")))</x:f>
        <x:v>B</x:v>
      </x:c>
      <x:c r="C311" s="72" t="n">
        <x:f>ROUND((P311*0.20+Q311*0.18+R311*0.20+S311*0.15+T311*0.12+U311*0.10+V311*0.05)*20,0)</x:f>
        <x:v>86</x:v>
      </x:c>
      <x:c r="D311" s="29" t="str">
        <x:v>AI、科技与工程</x:v>
      </x:c>
      <x:c r="E311" s="29" t="str">
        <x:v>安全、隐私与数字权利</x:v>
      </x:c>
      <x:c r="F311" s="29" t="str">
        <x:v>micahflee.com</x:v>
      </x:c>
      <x:c r="G311" s="29" t="str">
        <x:v>Micah Lee</x:v>
      </x:c>
      <x:c r="H311" s="29" t="str">
        <x:v>独立博客 / 长文</x:v>
      </x:c>
      <x:c r="I311" s="29" t="str">
        <x:v>en</x:v>
      </x:c>
      <x:c r="J311" s="29" t="str">
        <x:v>解释源</x:v>
      </x:c>
      <x:c r="K311" s="29" t="str">
        <x:v>Open</x:v>
      </x:c>
      <x:c r="L311" s="29" t="str">
        <x:v>不定期</x:v>
      </x:c>
      <x:c r="M311" s="29" t="str">
        <x:v>https://micahflee.com</x:v>
      </x:c>
      <x:c r="N311" s="29" t="str">
        <x:v>https://micahflee.com/rss/</x:v>
      </x:c>
      <x:c r="O311" s="29" t="str">
        <x:v>重定向后有效</x:v>
      </x:c>
      <x:c r="P311" s="72" t="n">
        <x:v>4</x:v>
      </x:c>
      <x:c r="Q311" s="72" t="n">
        <x:v>5</x:v>
      </x:c>
      <x:c r="R311" s="72" t="n">
        <x:v>4</x:v>
      </x:c>
      <x:c r="S311" s="72" t="n">
        <x:v>5</x:v>
      </x:c>
      <x:c r="T311" s="72" t="n">
        <x:v>4</x:v>
      </x:c>
      <x:c r="U311" s="72" t="n">
        <x:v>3</x:v>
      </x:c>
      <x:c r="V311" s="72" t="n">
        <x:v>5</x:v>
      </x:c>
      <x:c r="W311" s="29" t="str">
        <x:v>工程洞见、实战复盘、技术解释</x:v>
      </x:c>
      <x:c r="X311" s="29" t="str">
        <x:v>2025 年 Hacker News 高热个人博客。作者背景：InfoSec engineer and journalist。</x:v>
      </x:c>
      <x:c r="Y311" s="29" t="str">
        <x:v>独立作者源；事实、数字和因果需回到论文、文档或数据。观点须明确归因。</x:v>
      </x:c>
      <x:c r="Z311" s="75" t="b">
        <x:v>1</x:v>
      </x:c>
      <x:c r="AA311" s="29" t="n">
        <x:v>34</x:v>
      </x:c>
      <x:c r="AB311" s="29" t="str">
        <x:v>Karpathy 分享的 HN 2025 RSS 冷启动集</x:v>
      </x:c>
      <x:c r="AC311" s="29" t="str">
        <x:v>https://gist.github.com/emschwartz/e6d2bf860ccc367fe37ff953ba6de66b</x:v>
      </x:c>
      <x:c r="AD311" s="29" t="str">
        <x:v>2026-08-17</x:v>
      </x:c>
      <x:c r="AE311" s="29" t="n">
        <x:v>200</x:v>
      </x:c>
      <x:c r="AF311" s="29" t="str">
        <x:v>https://micahflee.com/rss/</x:v>
      </x:c>
      <x:c r="AG311" s="29" t="str">
        <x:v>security, privacy, hacking</x:v>
      </x:c>
    </x:row>
    <x:row r="312" ht="44" customHeight="1">
      <x:c r="A312" s="29" t="str">
        <x:v>SRC-308</x:v>
      </x:c>
      <x:c r="B312" s="29" t="str">
        <x:f>IF(C312&gt;=93,"S",IF(C312&gt;=90,"A",IF(C312&gt;=80,"B","C")))</x:f>
        <x:v>B</x:v>
      </x:c>
      <x:c r="C312" s="72" t="n">
        <x:f>ROUND((P312*0.20+Q312*0.18+R312*0.20+S312*0.15+T312*0.12+U312*0.10+V312*0.05)*20,0)</x:f>
        <x:v>86</x:v>
      </x:c>
      <x:c r="D312" s="29" t="str">
        <x:v>AI、科技与工程</x:v>
      </x:c>
      <x:c r="E312" s="29" t="str">
        <x:v>软件、系统与互联网</x:v>
      </x:c>
      <x:c r="F312" s="29" t="str">
        <x:v>michael.stapelberg.ch</x:v>
      </x:c>
      <x:c r="G312" s="29" t="str">
        <x:v>Michael Stapelberg</x:v>
      </x:c>
      <x:c r="H312" s="29" t="str">
        <x:v>独立博客 / 长文</x:v>
      </x:c>
      <x:c r="I312" s="29" t="str">
        <x:v>en</x:v>
      </x:c>
      <x:c r="J312" s="29" t="str">
        <x:v>解释源</x:v>
      </x:c>
      <x:c r="K312" s="29" t="str">
        <x:v>Open</x:v>
      </x:c>
      <x:c r="L312" s="29" t="str">
        <x:v>不定期</x:v>
      </x:c>
      <x:c r="M312" s="29" t="str">
        <x:v>https://michael.stapelberg.ch</x:v>
      </x:c>
      <x:c r="N312" s="29" t="str">
        <x:v>https://michael.stapelberg.ch/feed.xml</x:v>
      </x:c>
      <x:c r="O312" s="29" t="str">
        <x:v>有效</x:v>
      </x:c>
      <x:c r="P312" s="72" t="n">
        <x:v>4</x:v>
      </x:c>
      <x:c r="Q312" s="72" t="n">
        <x:v>5</x:v>
      </x:c>
      <x:c r="R312" s="72" t="n">
        <x:v>4</x:v>
      </x:c>
      <x:c r="S312" s="72" t="n">
        <x:v>5</x:v>
      </x:c>
      <x:c r="T312" s="72" t="n">
        <x:v>4</x:v>
      </x:c>
      <x:c r="U312" s="72" t="n">
        <x:v>3</x:v>
      </x:c>
      <x:c r="V312" s="72" t="n">
        <x:v>5</x:v>
      </x:c>
      <x:c r="W312" s="29" t="str">
        <x:v>工程洞见、实战复盘、技术解释</x:v>
      </x:c>
      <x:c r="X312" s="29" t="str">
        <x:v>2025 年 Hacker News 高热个人博客。作者背景：Software developer。</x:v>
      </x:c>
      <x:c r="Y312" s="29" t="str">
        <x:v>独立作者源；事实、数字和因果需回到论文、文档或数据。观点须明确归因。</x:v>
      </x:c>
      <x:c r="Z312" s="75" t="b">
        <x:v>1</x:v>
      </x:c>
      <x:c r="AA312" s="29" t="n">
        <x:v>87</x:v>
      </x:c>
      <x:c r="AB312" s="29" t="str">
        <x:v>Karpathy 分享的 HN 2025 RSS 冷启动集</x:v>
      </x:c>
      <x:c r="AC312" s="29" t="str">
        <x:v>https://gist.github.com/emschwartz/e6d2bf860ccc367fe37ff953ba6de66b</x:v>
      </x:c>
      <x:c r="AD312" s="29" t="str">
        <x:v>2026-08-17</x:v>
      </x:c>
      <x:c r="AE312" s="29" t="n">
        <x:v>200</x:v>
      </x:c>
      <x:c r="AF312" s="29" t="str">
        <x:v>https://michael.stapelberg.ch/feed.xml</x:v>
      </x:c>
      <x:c r="AG312" s="29" t="str">
        <x:v>software development, Linux, open source</x:v>
      </x:c>
    </x:row>
    <x:row r="313" ht="44" customHeight="1">
      <x:c r="A313" s="29" t="str">
        <x:v>SRC-309</x:v>
      </x:c>
      <x:c r="B313" s="29" t="str">
        <x:f>IF(C313&gt;=93,"S",IF(C313&gt;=90,"A",IF(C313&gt;=80,"B","C")))</x:f>
        <x:v>B</x:v>
      </x:c>
      <x:c r="C313" s="72" t="n">
        <x:f>ROUND((P313*0.20+Q313*0.18+R313*0.20+S313*0.15+T313*0.12+U313*0.10+V313*0.05)*20,0)</x:f>
        <x:v>86</x:v>
      </x:c>
      <x:c r="D313" s="29" t="str">
        <x:v>AI、科技与工程</x:v>
      </x:c>
      <x:c r="E313" s="29" t="str">
        <x:v>软件、系统与互联网</x:v>
      </x:c>
      <x:c r="F313" s="29" t="str">
        <x:v>miguelgrinberg.com</x:v>
      </x:c>
      <x:c r="G313" s="29" t="str">
        <x:v>Miguel Grinberg</x:v>
      </x:c>
      <x:c r="H313" s="29" t="str">
        <x:v>独立博客 / 长文</x:v>
      </x:c>
      <x:c r="I313" s="29" t="str">
        <x:v>en</x:v>
      </x:c>
      <x:c r="J313" s="29" t="str">
        <x:v>解释源</x:v>
      </x:c>
      <x:c r="K313" s="29" t="str">
        <x:v>Open</x:v>
      </x:c>
      <x:c r="L313" s="29" t="str">
        <x:v>不定期</x:v>
      </x:c>
      <x:c r="M313" s="29" t="str">
        <x:v>https://miguelgrinberg.com</x:v>
      </x:c>
      <x:c r="N313" s="29" t="str">
        <x:v>https://blog.miguelgrinberg.com/feed</x:v>
      </x:c>
      <x:c r="O313" s="29" t="str">
        <x:v>有效</x:v>
      </x:c>
      <x:c r="P313" s="72" t="n">
        <x:v>4</x:v>
      </x:c>
      <x:c r="Q313" s="72" t="n">
        <x:v>5</x:v>
      </x:c>
      <x:c r="R313" s="72" t="n">
        <x:v>4</x:v>
      </x:c>
      <x:c r="S313" s="72" t="n">
        <x:v>5</x:v>
      </x:c>
      <x:c r="T313" s="72" t="n">
        <x:v>4</x:v>
      </x:c>
      <x:c r="U313" s="72" t="n">
        <x:v>3</x:v>
      </x:c>
      <x:c r="V313" s="72" t="n">
        <x:v>5</x:v>
      </x:c>
      <x:c r="W313" s="29" t="str">
        <x:v>工程洞见、实战复盘、技术解释</x:v>
      </x:c>
      <x:c r="X313" s="29" t="str">
        <x:v>2025 年 Hacker News 高热个人博客。作者背景：Software engineer and author。</x:v>
      </x:c>
      <x:c r="Y313" s="29" t="str">
        <x:v>独立作者源；事实、数字和因果需回到论文、文档或数据。观点须明确归因。</x:v>
      </x:c>
      <x:c r="Z313" s="75" t="b">
        <x:v>1</x:v>
      </x:c>
      <x:c r="AA313" s="29" t="n">
        <x:v>88</x:v>
      </x:c>
      <x:c r="AB313" s="29" t="str">
        <x:v>Karpathy 分享的 HN 2025 RSS 冷启动集</x:v>
      </x:c>
      <x:c r="AC313" s="29" t="str">
        <x:v>https://gist.github.com/emschwartz/e6d2bf860ccc367fe37ff953ba6de66b</x:v>
      </x:c>
      <x:c r="AD313" s="29" t="str">
        <x:v>2026-08-17</x:v>
      </x:c>
      <x:c r="AE313" s="29" t="n">
        <x:v>200</x:v>
      </x:c>
      <x:c r="AF313" s="29" t="str">
        <x:v>https://blog.miguelgrinberg.com/feed</x:v>
      </x:c>
      <x:c r="AG313" s="29" t="str">
        <x:v>Python, Flask, web development</x:v>
      </x:c>
    </x:row>
    <x:row r="314" ht="44" customHeight="1">
      <x:c r="A314" s="29" t="str">
        <x:v>SRC-310</x:v>
      </x:c>
      <x:c r="B314" s="29" t="str">
        <x:f>IF(C314&gt;=93,"S",IF(C314&gt;=90,"A",IF(C314&gt;=80,"B","C")))</x:f>
        <x:v>B</x:v>
      </x:c>
      <x:c r="C314" s="72" t="n">
        <x:f>ROUND((P314*0.20+Q314*0.18+R314*0.20+S314*0.15+T314*0.12+U314*0.10+V314*0.05)*20,0)</x:f>
        <x:v>86</x:v>
      </x:c>
      <x:c r="D314" s="29" t="str">
        <x:v>AI、科技与工程</x:v>
      </x:c>
      <x:c r="E314" s="29" t="str">
        <x:v>软件、系统与互联网</x:v>
      </x:c>
      <x:c r="F314" s="29" t="str">
        <x:v>mitchellh.com</x:v>
      </x:c>
      <x:c r="G314" s="29" t="str">
        <x:v>Mitchell Hashimoto</x:v>
      </x:c>
      <x:c r="H314" s="29" t="str">
        <x:v>独立博客 / 长文</x:v>
      </x:c>
      <x:c r="I314" s="29" t="str">
        <x:v>en</x:v>
      </x:c>
      <x:c r="J314" s="29" t="str">
        <x:v>解释源</x:v>
      </x:c>
      <x:c r="K314" s="29" t="str">
        <x:v>Open</x:v>
      </x:c>
      <x:c r="L314" s="29" t="str">
        <x:v>不定期</x:v>
      </x:c>
      <x:c r="M314" s="29" t="str">
        <x:v>https://mitchellh.com</x:v>
      </x:c>
      <x:c r="N314" s="29" t="str">
        <x:v>https://mitchellh.com/feed.xml</x:v>
      </x:c>
      <x:c r="O314" s="29" t="str">
        <x:v>有效</x:v>
      </x:c>
      <x:c r="P314" s="72" t="n">
        <x:v>4</x:v>
      </x:c>
      <x:c r="Q314" s="72" t="n">
        <x:v>5</x:v>
      </x:c>
      <x:c r="R314" s="72" t="n">
        <x:v>4</x:v>
      </x:c>
      <x:c r="S314" s="72" t="n">
        <x:v>5</x:v>
      </x:c>
      <x:c r="T314" s="72" t="n">
        <x:v>4</x:v>
      </x:c>
      <x:c r="U314" s="72" t="n">
        <x:v>3</x:v>
      </x:c>
      <x:c r="V314" s="72" t="n">
        <x:v>5</x:v>
      </x:c>
      <x:c r="W314" s="29" t="str">
        <x:v>工程洞见、实战复盘、技术解释</x:v>
      </x:c>
      <x:c r="X314" s="29" t="str">
        <x:v>2025 年 Hacker News 高热个人博客。作者背景：Co-founder of HashiCorp。</x:v>
      </x:c>
      <x:c r="Y314" s="29" t="str">
        <x:v>独立作者源；事实、数字和因果需回到论文、文档或数据。观点须明确归因。</x:v>
      </x:c>
      <x:c r="Z314" s="75" t="b">
        <x:v>1</x:v>
      </x:c>
      <x:c r="AA314" s="29" t="n">
        <x:v>13</x:v>
      </x:c>
      <x:c r="AB314" s="29" t="str">
        <x:v>Karpathy 分享的 HN 2025 RSS 冷启动集</x:v>
      </x:c>
      <x:c r="AC314" s="29" t="str">
        <x:v>https://gist.github.com/emschwartz/e6d2bf860ccc367fe37ff953ba6de66b</x:v>
      </x:c>
      <x:c r="AD314" s="29" t="str">
        <x:v>2026-08-17</x:v>
      </x:c>
      <x:c r="AE314" s="29" t="n">
        <x:v>200</x:v>
      </x:c>
      <x:c r="AF314" s="29" t="str">
        <x:v>https://mitchellh.com/feed.xml</x:v>
      </x:c>
      <x:c r="AG314" s="29" t="str">
        <x:v>infrastructure, automation, open source</x:v>
      </x:c>
    </x:row>
    <x:row r="315" ht="44" customHeight="1">
      <x:c r="A315" s="29" t="str">
        <x:v>SRC-311</x:v>
      </x:c>
      <x:c r="B315" s="29" t="str">
        <x:f>IF(C315&gt;=93,"S",IF(C315&gt;=90,"A",IF(C315&gt;=80,"B","C")))</x:f>
        <x:v>B</x:v>
      </x:c>
      <x:c r="C315" s="72" t="n">
        <x:f>ROUND((P315*0.20+Q315*0.18+R315*0.20+S315*0.15+T315*0.12+U315*0.10+V315*0.05)*20,0)</x:f>
        <x:v>86</x:v>
      </x:c>
      <x:c r="D315" s="29" t="str">
        <x:v>AI、科技与工程</x:v>
      </x:c>
      <x:c r="E315" s="29" t="str">
        <x:v>安全、隐私与数字权利</x:v>
      </x:c>
      <x:c r="F315" s="29" t="str">
        <x:v>mjg59.dreamwidth.org</x:v>
      </x:c>
      <x:c r="G315" s="29" t="str">
        <x:v>Matthew Garrett</x:v>
      </x:c>
      <x:c r="H315" s="29" t="str">
        <x:v>独立博客 / 长文</x:v>
      </x:c>
      <x:c r="I315" s="29" t="str">
        <x:v>en</x:v>
      </x:c>
      <x:c r="J315" s="29" t="str">
        <x:v>解释源</x:v>
      </x:c>
      <x:c r="K315" s="29" t="str">
        <x:v>Open</x:v>
      </x:c>
      <x:c r="L315" s="29" t="str">
        <x:v>不定期</x:v>
      </x:c>
      <x:c r="M315" s="29" t="str">
        <x:v>https://mjg59.dreamwidth.org</x:v>
      </x:c>
      <x:c r="N315" s="29" t="str">
        <x:v>https://mjg59.dreamwidth.org/data/rss</x:v>
      </x:c>
      <x:c r="O315" s="29" t="str">
        <x:v>有效</x:v>
      </x:c>
      <x:c r="P315" s="72" t="n">
        <x:v>4</x:v>
      </x:c>
      <x:c r="Q315" s="72" t="n">
        <x:v>5</x:v>
      </x:c>
      <x:c r="R315" s="72" t="n">
        <x:v>4</x:v>
      </x:c>
      <x:c r="S315" s="72" t="n">
        <x:v>5</x:v>
      </x:c>
      <x:c r="T315" s="72" t="n">
        <x:v>4</x:v>
      </x:c>
      <x:c r="U315" s="72" t="n">
        <x:v>3</x:v>
      </x:c>
      <x:c r="V315" s="72" t="n">
        <x:v>5</x:v>
      </x:c>
      <x:c r="W315" s="29" t="str">
        <x:v>工程洞见、实战复盘、技术解释</x:v>
      </x:c>
      <x:c r="X315" s="29" t="str">
        <x:v>2025 年 Hacker News 高热个人博客。作者背景：Security developer。</x:v>
      </x:c>
      <x:c r="Y315" s="29" t="str">
        <x:v>独立作者源；事实、数字和因果需回到论文、文档或数据。观点须明确归因。</x:v>
      </x:c>
      <x:c r="Z315" s="75" t="b">
        <x:v>1</x:v>
      </x:c>
      <x:c r="AA315" s="29" t="n">
        <x:v>90</x:v>
      </x:c>
      <x:c r="AB315" s="29" t="str">
        <x:v>Karpathy 分享的 HN 2025 RSS 冷启动集</x:v>
      </x:c>
      <x:c r="AC315" s="29" t="str">
        <x:v>https://gist.github.com/emschwartz/e6d2bf860ccc367fe37ff953ba6de66b</x:v>
      </x:c>
      <x:c r="AD315" s="29" t="str">
        <x:v>2026-08-17</x:v>
      </x:c>
      <x:c r="AE315" s="29" t="n">
        <x:v>200</x:v>
      </x:c>
      <x:c r="AF315" s="29" t="str">
        <x:v>https://mjg59.dreamwidth.org/data/rss</x:v>
      </x:c>
      <x:c r="AG315" s="29" t="str">
        <x:v>security, Linux, open-source</x:v>
      </x:c>
    </x:row>
    <x:row r="316" ht="44" customHeight="1">
      <x:c r="A316" s="29" t="str">
        <x:v>SRC-312</x:v>
      </x:c>
      <x:c r="B316" s="29" t="str">
        <x:f>IF(C316&gt;=93,"S",IF(C316&gt;=90,"A",IF(C316&gt;=80,"B","C")))</x:f>
        <x:v>B</x:v>
      </x:c>
      <x:c r="C316" s="72" t="n">
        <x:f>ROUND((P316*0.20+Q316*0.18+R316*0.20+S316*0.15+T316*0.12+U316*0.10+V316*0.05)*20,0)</x:f>
        <x:v>86</x:v>
      </x:c>
      <x:c r="D316" s="29" t="str">
        <x:v>AI、科技与工程</x:v>
      </x:c>
      <x:c r="E316" s="29" t="str">
        <x:v>软件、系统与互联网</x:v>
      </x:c>
      <x:c r="F316" s="29" t="str">
        <x:v>oldvcr.blogspot.com</x:v>
      </x:c>
      <x:c r="G316" s="29" t="str">
        <x:v>Cameron Kaiser</x:v>
      </x:c>
      <x:c r="H316" s="29" t="str">
        <x:v>独立博客 / 长文</x:v>
      </x:c>
      <x:c r="I316" s="29" t="str">
        <x:v>en</x:v>
      </x:c>
      <x:c r="J316" s="29" t="str">
        <x:v>解释源</x:v>
      </x:c>
      <x:c r="K316" s="29" t="str">
        <x:v>Open</x:v>
      </x:c>
      <x:c r="L316" s="29" t="str">
        <x:v>不定期</x:v>
      </x:c>
      <x:c r="M316" s="29" t="str">
        <x:v>https://oldvcr.blogspot.com</x:v>
      </x:c>
      <x:c r="N316" s="29" t="str">
        <x:v>https://oldvcr.blogspot.com/feeds/posts/default</x:v>
      </x:c>
      <x:c r="O316" s="29" t="str">
        <x:v>有效</x:v>
      </x:c>
      <x:c r="P316" s="72" t="n">
        <x:v>4</x:v>
      </x:c>
      <x:c r="Q316" s="72" t="n">
        <x:v>5</x:v>
      </x:c>
      <x:c r="R316" s="72" t="n">
        <x:v>4</x:v>
      </x:c>
      <x:c r="S316" s="72" t="n">
        <x:v>5</x:v>
      </x:c>
      <x:c r="T316" s="72" t="n">
        <x:v>4</x:v>
      </x:c>
      <x:c r="U316" s="72" t="n">
        <x:v>3</x:v>
      </x:c>
      <x:c r="V316" s="72" t="n">
        <x:v>5</x:v>
      </x:c>
      <x:c r="W316" s="29" t="str">
        <x:v>工程洞见、实战复盘、技术解释</x:v>
      </x:c>
      <x:c r="X316" s="29" t="str">
        <x:v>2025 年 Hacker News 高热个人博客。作者背景：Vintage computer enthusiast。</x:v>
      </x:c>
      <x:c r="Y316" s="29" t="str">
        <x:v>独立作者源；事实、数字和因果需回到论文、文档或数据。观点须明确归因。</x:v>
      </x:c>
      <x:c r="Z316" s="75" t="b">
        <x:v>1</x:v>
      </x:c>
      <x:c r="AA316" s="29" t="n">
        <x:v>58</x:v>
      </x:c>
      <x:c r="AB316" s="29" t="str">
        <x:v>Karpathy 分享的 HN 2025 RSS 冷启动集</x:v>
      </x:c>
      <x:c r="AC316" s="29" t="str">
        <x:v>https://gist.github.com/emschwartz/e6d2bf860ccc367fe37ff953ba6de66b</x:v>
      </x:c>
      <x:c r="AD316" s="29" t="str">
        <x:v>2026-08-17</x:v>
      </x:c>
      <x:c r="AE316" s="29" t="n">
        <x:v>200</x:v>
      </x:c>
      <x:c r="AF316" s="29" t="str">
        <x:v>https://oldvcr.blogspot.com/feeds/posts/default</x:v>
      </x:c>
      <x:c r="AG316" s="29" t="str">
        <x:v>vintage computers, linux</x:v>
      </x:c>
    </x:row>
    <x:row r="317" ht="44" customHeight="1">
      <x:c r="A317" s="29" t="str">
        <x:v>SRC-313</x:v>
      </x:c>
      <x:c r="B317" s="29" t="str">
        <x:f>IF(C317&gt;=93,"S",IF(C317&gt;=90,"A",IF(C317&gt;=80,"B","C")))</x:f>
        <x:v>B</x:v>
      </x:c>
      <x:c r="C317" s="72" t="n">
        <x:f>ROUND((P317*0.20+Q317*0.18+R317*0.20+S317*0.15+T317*0.12+U317*0.10+V317*0.05)*20,0)</x:f>
        <x:v>86</x:v>
      </x:c>
      <x:c r="D317" s="29" t="str">
        <x:v>AI、科技与工程</x:v>
      </x:c>
      <x:c r="E317" s="29" t="str">
        <x:v>软件、系统与互联网</x:v>
      </x:c>
      <x:c r="F317" s="29" t="str">
        <x:v>overreacted.io</x:v>
      </x:c>
      <x:c r="G317" s="29" t="str">
        <x:v>Dan Abramov</x:v>
      </x:c>
      <x:c r="H317" s="29" t="str">
        <x:v>独立博客 / 长文</x:v>
      </x:c>
      <x:c r="I317" s="29" t="str">
        <x:v>en</x:v>
      </x:c>
      <x:c r="J317" s="29" t="str">
        <x:v>解释源</x:v>
      </x:c>
      <x:c r="K317" s="29" t="str">
        <x:v>Open</x:v>
      </x:c>
      <x:c r="L317" s="29" t="str">
        <x:v>不定期</x:v>
      </x:c>
      <x:c r="M317" s="29" t="str">
        <x:v>https://overreacted.io</x:v>
      </x:c>
      <x:c r="N317" s="29" t="str">
        <x:v>https://overreacted.io/rss.xml</x:v>
      </x:c>
      <x:c r="O317" s="29" t="str">
        <x:v>有效</x:v>
      </x:c>
      <x:c r="P317" s="72" t="n">
        <x:v>4</x:v>
      </x:c>
      <x:c r="Q317" s="72" t="n">
        <x:v>5</x:v>
      </x:c>
      <x:c r="R317" s="72" t="n">
        <x:v>4</x:v>
      </x:c>
      <x:c r="S317" s="72" t="n">
        <x:v>5</x:v>
      </x:c>
      <x:c r="T317" s="72" t="n">
        <x:v>4</x:v>
      </x:c>
      <x:c r="U317" s="72" t="n">
        <x:v>3</x:v>
      </x:c>
      <x:c r="V317" s="72" t="n">
        <x:v>5</x:v>
      </x:c>
      <x:c r="W317" s="29" t="str">
        <x:v>工程洞见、实战复盘、技术解释</x:v>
      </x:c>
      <x:c r="X317" s="29" t="str">
        <x:v>2025 年 Hacker News 高热个人博客。作者背景：Software developer and React core team member。</x:v>
      </x:c>
      <x:c r="Y317" s="29" t="str">
        <x:v>独立作者源；事实、数字和因果需回到论文、文档或数据。观点须明确归因。</x:v>
      </x:c>
      <x:c r="Z317" s="75" t="b">
        <x:v>1</x:v>
      </x:c>
      <x:c r="AA317" s="29" t="n">
        <x:v>23</x:v>
      </x:c>
      <x:c r="AB317" s="29" t="str">
        <x:v>Karpathy 分享的 HN 2025 RSS 冷启动集</x:v>
      </x:c>
      <x:c r="AC317" s="29" t="str">
        <x:v>https://gist.github.com/emschwartz/e6d2bf860ccc367fe37ff953ba6de66b</x:v>
      </x:c>
      <x:c r="AD317" s="29" t="str">
        <x:v>2026-08-17</x:v>
      </x:c>
      <x:c r="AE317" s="29" t="n">
        <x:v>200</x:v>
      </x:c>
      <x:c r="AF317" s="29" t="str">
        <x:v>https://overreacted.io/rss.xml</x:v>
      </x:c>
      <x:c r="AG317" s="29" t="str">
        <x:v>React, JavaScript, web development</x:v>
      </x:c>
    </x:row>
    <x:row r="318" ht="44" customHeight="1">
      <x:c r="A318" s="29" t="str">
        <x:v>SRC-314</x:v>
      </x:c>
      <x:c r="B318" s="29" t="str">
        <x:f>IF(C318&gt;=93,"S",IF(C318&gt;=90,"A",IF(C318&gt;=80,"B","C")))</x:f>
        <x:v>B</x:v>
      </x:c>
      <x:c r="C318" s="72" t="n">
        <x:f>ROUND((P318*0.20+Q318*0.18+R318*0.20+S318*0.15+T318*0.12+U318*0.10+V318*0.05)*20,0)</x:f>
        <x:v>86</x:v>
      </x:c>
      <x:c r="D318" s="29" t="str">
        <x:v>AI、科技与工程</x:v>
      </x:c>
      <x:c r="E318" s="29" t="str">
        <x:v>软件、系统与互联网</x:v>
      </x:c>
      <x:c r="F318" s="29" t="str">
        <x:v>philiplaine.com</x:v>
      </x:c>
      <x:c r="G318" s="29" t="str">
        <x:v>Philip Laine</x:v>
      </x:c>
      <x:c r="H318" s="29" t="str">
        <x:v>独立博客 / 长文</x:v>
      </x:c>
      <x:c r="I318" s="29" t="str">
        <x:v>en</x:v>
      </x:c>
      <x:c r="J318" s="29" t="str">
        <x:v>解释源</x:v>
      </x:c>
      <x:c r="K318" s="29" t="str">
        <x:v>Open</x:v>
      </x:c>
      <x:c r="L318" s="29" t="str">
        <x:v>不定期</x:v>
      </x:c>
      <x:c r="M318" s="29" t="str">
        <x:v>https://philiplaine.com</x:v>
      </x:c>
      <x:c r="N318" s="29" t="str">
        <x:v>https://philiplaine.com/index.xml</x:v>
      </x:c>
      <x:c r="O318" s="29" t="str">
        <x:v>有效</x:v>
      </x:c>
      <x:c r="P318" s="72" t="n">
        <x:v>4</x:v>
      </x:c>
      <x:c r="Q318" s="72" t="n">
        <x:v>5</x:v>
      </x:c>
      <x:c r="R318" s="72" t="n">
        <x:v>4</x:v>
      </x:c>
      <x:c r="S318" s="72" t="n">
        <x:v>5</x:v>
      </x:c>
      <x:c r="T318" s="72" t="n">
        <x:v>4</x:v>
      </x:c>
      <x:c r="U318" s="72" t="n">
        <x:v>3</x:v>
      </x:c>
      <x:c r="V318" s="72" t="n">
        <x:v>5</x:v>
      </x:c>
      <x:c r="W318" s="29" t="str">
        <x:v>工程洞见、实战复盘、技术解释</x:v>
      </x:c>
      <x:c r="X318" s="29" t="str">
        <x:v>2025 年 Hacker News 高热个人博客。作者背景：Software developer。</x:v>
      </x:c>
      <x:c r="Y318" s="29" t="str">
        <x:v>独立作者源；事实、数字和因果需回到论文、文档或数据。观点须明确归因。</x:v>
      </x:c>
      <x:c r="Z318" s="75" t="b">
        <x:v>1</x:v>
      </x:c>
      <x:c r="AA318" s="29" t="n">
        <x:v>72</x:v>
      </x:c>
      <x:c r="AB318" s="29" t="str">
        <x:v>Karpathy 分享的 HN 2025 RSS 冷启动集</x:v>
      </x:c>
      <x:c r="AC318" s="29" t="str">
        <x:v>https://gist.github.com/emschwartz/e6d2bf860ccc367fe37ff953ba6de66b</x:v>
      </x:c>
      <x:c r="AD318" s="29" t="str">
        <x:v>2026-08-17</x:v>
      </x:c>
      <x:c r="AE318" s="29" t="n">
        <x:v>200</x:v>
      </x:c>
      <x:c r="AF318" s="29" t="str">
        <x:v>https://philiplaine.com/index.xml</x:v>
      </x:c>
      <x:c r="AG318" s="29" t="str">
        <x:v>software development, cloud infrastructure</x:v>
      </x:c>
    </x:row>
    <x:row r="319" ht="44" customHeight="1">
      <x:c r="A319" s="29" t="str">
        <x:v>SRC-315</x:v>
      </x:c>
      <x:c r="B319" s="29" t="str">
        <x:f>IF(C319&gt;=93,"S",IF(C319&gt;=90,"A",IF(C319&gt;=80,"B","C")))</x:f>
        <x:v>B</x:v>
      </x:c>
      <x:c r="C319" s="72" t="n">
        <x:f>ROUND((P319*0.20+Q319*0.18+R319*0.20+S319*0.15+T319*0.12+U319*0.10+V319*0.05)*20,0)</x:f>
        <x:v>86</x:v>
      </x:c>
      <x:c r="D319" s="29" t="str">
        <x:v>AI、科技与工程</x:v>
      </x:c>
      <x:c r="E319" s="29" t="str">
        <x:v>软件、系统与互联网</x:v>
      </x:c>
      <x:c r="F319" s="29" t="str">
        <x:v>pluralistic.net</x:v>
      </x:c>
      <x:c r="G319" s="29" t="str">
        <x:v>Cory Doctorow</x:v>
      </x:c>
      <x:c r="H319" s="29" t="str">
        <x:v>独立博客 / 长文</x:v>
      </x:c>
      <x:c r="I319" s="29" t="str">
        <x:v>en</x:v>
      </x:c>
      <x:c r="J319" s="29" t="str">
        <x:v>解释源</x:v>
      </x:c>
      <x:c r="K319" s="29" t="str">
        <x:v>Open</x:v>
      </x:c>
      <x:c r="L319" s="29" t="str">
        <x:v>不定期</x:v>
      </x:c>
      <x:c r="M319" s="29" t="str">
        <x:v>https://pluralistic.net</x:v>
      </x:c>
      <x:c r="N319" s="29" t="str">
        <x:v>https://pluralistic.net/feed/</x:v>
      </x:c>
      <x:c r="O319" s="29" t="str">
        <x:v>有效</x:v>
      </x:c>
      <x:c r="P319" s="72" t="n">
        <x:v>4</x:v>
      </x:c>
      <x:c r="Q319" s="72" t="n">
        <x:v>5</x:v>
      </x:c>
      <x:c r="R319" s="72" t="n">
        <x:v>4</x:v>
      </x:c>
      <x:c r="S319" s="72" t="n">
        <x:v>5</x:v>
      </x:c>
      <x:c r="T319" s="72" t="n">
        <x:v>4</x:v>
      </x:c>
      <x:c r="U319" s="72" t="n">
        <x:v>3</x:v>
      </x:c>
      <x:c r="V319" s="72" t="n">
        <x:v>5</x:v>
      </x:c>
      <x:c r="W319" s="29" t="str">
        <x:v>工程洞见、实战复盘、技术解释</x:v>
      </x:c>
      <x:c r="X319" s="29" t="str">
        <x:v>2025 年 Hacker News 高热个人博客。作者背景：Author and activist。</x:v>
      </x:c>
      <x:c r="Y319" s="29" t="str">
        <x:v>独立作者源；事实、数字和因果需回到论文、文档或数据。观点须明确归因。</x:v>
      </x:c>
      <x:c r="Z319" s="75" t="b">
        <x:v>1</x:v>
      </x:c>
      <x:c r="AA319" s="29" t="n">
        <x:v>10</x:v>
      </x:c>
      <x:c r="AB319" s="29" t="str">
        <x:v>Karpathy 分享的 HN 2025 RSS 冷启动集</x:v>
      </x:c>
      <x:c r="AC319" s="29" t="str">
        <x:v>https://gist.github.com/emschwartz/e6d2bf860ccc367fe37ff953ba6de66b</x:v>
      </x:c>
      <x:c r="AD319" s="29" t="str">
        <x:v>2026-08-17</x:v>
      </x:c>
      <x:c r="AE319" s="29" t="n">
        <x:v>200</x:v>
      </x:c>
      <x:c r="AF319" s="29" t="str">
        <x:v>https://pluralistic.net/feed/</x:v>
      </x:c>
      <x:c r="AG319" s="29" t="str">
        <x:v>activism, technology, copyright</x:v>
      </x:c>
    </x:row>
    <x:row r="320" ht="44" customHeight="1">
      <x:c r="A320" s="29" t="str">
        <x:v>SRC-316</x:v>
      </x:c>
      <x:c r="B320" s="29" t="str">
        <x:f>IF(C320&gt;=93,"S",IF(C320&gt;=90,"A",IF(C320&gt;=80,"B","C")))</x:f>
        <x:v>B</x:v>
      </x:c>
      <x:c r="C320" s="72" t="n">
        <x:f>ROUND((P320*0.20+Q320*0.18+R320*0.20+S320*0.15+T320*0.12+U320*0.10+V320*0.05)*20,0)</x:f>
        <x:v>86</x:v>
      </x:c>
      <x:c r="D320" s="29" t="str">
        <x:v>AI、科技与工程</x:v>
      </x:c>
      <x:c r="E320" s="29" t="str">
        <x:v>软件、系统与互联网</x:v>
      </x:c>
      <x:c r="F320" s="29" t="str">
        <x:v>rachelbythebay.com</x:v>
      </x:c>
      <x:c r="G320" s="29" t="str">
        <x:v>Rachel Kroll</x:v>
      </x:c>
      <x:c r="H320" s="29" t="str">
        <x:v>独立博客 / 长文</x:v>
      </x:c>
      <x:c r="I320" s="29" t="str">
        <x:v>en</x:v>
      </x:c>
      <x:c r="J320" s="29" t="str">
        <x:v>解释源</x:v>
      </x:c>
      <x:c r="K320" s="29" t="str">
        <x:v>Open</x:v>
      </x:c>
      <x:c r="L320" s="29" t="str">
        <x:v>不定期</x:v>
      </x:c>
      <x:c r="M320" s="29" t="str">
        <x:v>https://rachelbythebay.com</x:v>
      </x:c>
      <x:c r="N320" s="29" t="str">
        <x:v>https://rachelbythebay.com/w/atom.xml</x:v>
      </x:c>
      <x:c r="O320" s="29" t="str">
        <x:v>有效</x:v>
      </x:c>
      <x:c r="P320" s="72" t="n">
        <x:v>4</x:v>
      </x:c>
      <x:c r="Q320" s="72" t="n">
        <x:v>5</x:v>
      </x:c>
      <x:c r="R320" s="72" t="n">
        <x:v>4</x:v>
      </x:c>
      <x:c r="S320" s="72" t="n">
        <x:v>5</x:v>
      </x:c>
      <x:c r="T320" s="72" t="n">
        <x:v>4</x:v>
      </x:c>
      <x:c r="U320" s="72" t="n">
        <x:v>3</x:v>
      </x:c>
      <x:c r="V320" s="72" t="n">
        <x:v>5</x:v>
      </x:c>
      <x:c r="W320" s="29" t="str">
        <x:v>工程洞见、实战复盘、技术解释</x:v>
      </x:c>
      <x:c r="X320" s="29" t="str">
        <x:v>2025 年 Hacker News 高热个人博客。作者背景：Infrastructure engineer。</x:v>
      </x:c>
      <x:c r="Y320" s="29" t="str">
        <x:v>独立作者源；事实、数字和因果需回到论文、文档或数据。观点须明确归因。</x:v>
      </x:c>
      <x:c r="Z320" s="75" t="b">
        <x:v>1</x:v>
      </x:c>
      <x:c r="AA320" s="29" t="n">
        <x:v>22</x:v>
      </x:c>
      <x:c r="AB320" s="29" t="str">
        <x:v>Karpathy 分享的 HN 2025 RSS 冷启动集</x:v>
      </x:c>
      <x:c r="AC320" s="29" t="str">
        <x:v>https://gist.github.com/emschwartz/e6d2bf860ccc367fe37ff953ba6de66b</x:v>
      </x:c>
      <x:c r="AD320" s="29" t="str">
        <x:v>2026-08-17</x:v>
      </x:c>
      <x:c r="AE320" s="29" t="n">
        <x:v>200</x:v>
      </x:c>
      <x:c r="AF320" s="29" t="str">
        <x:v>https://rachelbythebay.com/w/atom.xml</x:v>
      </x:c>
      <x:c r="AG320" s="29" t="str">
        <x:v>software engineering, personal experiences, technology</x:v>
      </x:c>
    </x:row>
    <x:row r="321" ht="44" customHeight="1">
      <x:c r="A321" s="29" t="str">
        <x:v>SRC-317</x:v>
      </x:c>
      <x:c r="B321" s="29" t="str">
        <x:f>IF(C321&gt;=93,"S",IF(C321&gt;=90,"A",IF(C321&gt;=80,"B","C")))</x:f>
        <x:v>B</x:v>
      </x:c>
      <x:c r="C321" s="72" t="n">
        <x:f>ROUND((P321*0.20+Q321*0.18+R321*0.20+S321*0.15+T321*0.12+U321*0.10+V321*0.05)*20,0)</x:f>
        <x:v>86</x:v>
      </x:c>
      <x:c r="D321" s="29" t="str">
        <x:v>AI、科技与工程</x:v>
      </x:c>
      <x:c r="E321" s="29" t="str">
        <x:v>软件、系统与互联网</x:v>
      </x:c>
      <x:c r="F321" s="29" t="str">
        <x:v>rakhim.exotext.com</x:v>
      </x:c>
      <x:c r="G321" s="29" t="str">
        <x:v>Rakhim Davletkaliyev</x:v>
      </x:c>
      <x:c r="H321" s="29" t="str">
        <x:v>独立博客 / 长文</x:v>
      </x:c>
      <x:c r="I321" s="29" t="str">
        <x:v>en</x:v>
      </x:c>
      <x:c r="J321" s="29" t="str">
        <x:v>解释源</x:v>
      </x:c>
      <x:c r="K321" s="29" t="str">
        <x:v>Open</x:v>
      </x:c>
      <x:c r="L321" s="29" t="str">
        <x:v>不定期</x:v>
      </x:c>
      <x:c r="M321" s="29" t="str">
        <x:v>https://rakhim.exotext.com</x:v>
      </x:c>
      <x:c r="N321" s="29" t="str">
        <x:v>https://rakhim.exotext.com/rss.xml</x:v>
      </x:c>
      <x:c r="O321" s="29" t="str">
        <x:v>有效</x:v>
      </x:c>
      <x:c r="P321" s="72" t="n">
        <x:v>4</x:v>
      </x:c>
      <x:c r="Q321" s="72" t="n">
        <x:v>5</x:v>
      </x:c>
      <x:c r="R321" s="72" t="n">
        <x:v>4</x:v>
      </x:c>
      <x:c r="S321" s="72" t="n">
        <x:v>5</x:v>
      </x:c>
      <x:c r="T321" s="72" t="n">
        <x:v>4</x:v>
      </x:c>
      <x:c r="U321" s="72" t="n">
        <x:v>3</x:v>
      </x:c>
      <x:c r="V321" s="72" t="n">
        <x:v>5</x:v>
      </x:c>
      <x:c r="W321" s="29" t="str">
        <x:v>工程洞见、实战复盘、技术解释</x:v>
      </x:c>
      <x:c r="X321" s="29" t="str">
        <x:v>2025 年 Hacker News 高热个人博客。作者背景：Staff engineer and founder of Exotext。</x:v>
      </x:c>
      <x:c r="Y321" s="29" t="str">
        <x:v>独立作者源；事实、数字和因果需回到论文、文档或数据。观点须明确归因。</x:v>
      </x:c>
      <x:c r="Z321" s="75" t="b">
        <x:v>1</x:v>
      </x:c>
      <x:c r="AA321" s="29" t="n">
        <x:v>31</x:v>
      </x:c>
      <x:c r="AB321" s="29" t="str">
        <x:v>Karpathy 分享的 HN 2025 RSS 冷启动集</x:v>
      </x:c>
      <x:c r="AC321" s="29" t="str">
        <x:v>https://gist.github.com/emschwartz/e6d2bf860ccc367fe37ff953ba6de66b</x:v>
      </x:c>
      <x:c r="AD321" s="29" t="str">
        <x:v>2026-08-17</x:v>
      </x:c>
      <x:c r="AE321" s="29" t="n">
        <x:v>200</x:v>
      </x:c>
      <x:c r="AF321" s="29" t="str">
        <x:v>https://rakhim.exotext.com/rss.xml</x:v>
      </x:c>
      <x:c r="AG321" s="29" t="str">
        <x:v>programming, semantic web, technology</x:v>
      </x:c>
    </x:row>
    <x:row r="322" ht="44" customHeight="1">
      <x:c r="A322" s="29" t="str">
        <x:v>SRC-318</x:v>
      </x:c>
      <x:c r="B322" s="29" t="str">
        <x:f>IF(C322&gt;=93,"S",IF(C322&gt;=90,"A",IF(C322&gt;=80,"B","C")))</x:f>
        <x:v>B</x:v>
      </x:c>
      <x:c r="C322" s="72" t="n">
        <x:f>ROUND((P322*0.20+Q322*0.18+R322*0.20+S322*0.15+T322*0.12+U322*0.10+V322*0.05)*20,0)</x:f>
        <x:v>86</x:v>
      </x:c>
      <x:c r="D322" s="29" t="str">
        <x:v>AI、科技与工程</x:v>
      </x:c>
      <x:c r="E322" s="29" t="str">
        <x:v>软件、系统与互联网</x:v>
      </x:c>
      <x:c r="F322" s="29" t="str">
        <x:v>shkspr.mobi</x:v>
      </x:c>
      <x:c r="G322" s="29" t="str">
        <x:v>Terence Eden</x:v>
      </x:c>
      <x:c r="H322" s="29" t="str">
        <x:v>独立博客 / 长文</x:v>
      </x:c>
      <x:c r="I322" s="29" t="str">
        <x:v>en</x:v>
      </x:c>
      <x:c r="J322" s="29" t="str">
        <x:v>解释源</x:v>
      </x:c>
      <x:c r="K322" s="29" t="str">
        <x:v>Open</x:v>
      </x:c>
      <x:c r="L322" s="29" t="str">
        <x:v>不定期</x:v>
      </x:c>
      <x:c r="M322" s="29" t="str">
        <x:v>https://shkspr.mobi</x:v>
      </x:c>
      <x:c r="N322" s="29" t="str">
        <x:v>https://shkspr.mobi/blog/feed/</x:v>
      </x:c>
      <x:c r="O322" s="29" t="str">
        <x:v>有效</x:v>
      </x:c>
      <x:c r="P322" s="72" t="n">
        <x:v>4</x:v>
      </x:c>
      <x:c r="Q322" s="72" t="n">
        <x:v>5</x:v>
      </x:c>
      <x:c r="R322" s="72" t="n">
        <x:v>4</x:v>
      </x:c>
      <x:c r="S322" s="72" t="n">
        <x:v>5</x:v>
      </x:c>
      <x:c r="T322" s="72" t="n">
        <x:v>4</x:v>
      </x:c>
      <x:c r="U322" s="72" t="n">
        <x:v>3</x:v>
      </x:c>
      <x:c r="V322" s="72" t="n">
        <x:v>5</x:v>
      </x:c>
      <x:c r="W322" s="29" t="str">
        <x:v>工程洞见、实战复盘、技术解释</x:v>
      </x:c>
      <x:c r="X322" s="29" t="str">
        <x:v>2025 年 Hacker News 高热个人博客。作者背景：Technology consultant and writer。</x:v>
      </x:c>
      <x:c r="Y322" s="29" t="str">
        <x:v>独立作者源；事实、数字和因果需回到论文、文档或数据。观点须明确归因。</x:v>
      </x:c>
      <x:c r="Z322" s="75" t="b">
        <x:v>1</x:v>
      </x:c>
      <x:c r="AA322" s="29" t="n">
        <x:v>11</x:v>
      </x:c>
      <x:c r="AB322" s="29" t="str">
        <x:v>Karpathy 分享的 HN 2025 RSS 冷启动集</x:v>
      </x:c>
      <x:c r="AC322" s="29" t="str">
        <x:v>https://gist.github.com/emschwartz/e6d2bf860ccc367fe37ff953ba6de66b</x:v>
      </x:c>
      <x:c r="AD322" s="29" t="str">
        <x:v>2026-08-17</x:v>
      </x:c>
      <x:c r="AE322" s="29" t="n">
        <x:v>200</x:v>
      </x:c>
      <x:c r="AF322" s="29" t="str">
        <x:v>https://shkspr.mobi/blog/feed/</x:v>
      </x:c>
      <x:c r="AG322" s="29" t="str">
        <x:v>open data, technology, digital rights</x:v>
      </x:c>
    </x:row>
    <x:row r="323" ht="44" customHeight="1">
      <x:c r="A323" s="29" t="str">
        <x:v>SRC-319</x:v>
      </x:c>
      <x:c r="B323" s="29" t="str">
        <x:f>IF(C323&gt;=93,"S",IF(C323&gt;=90,"A",IF(C323&gt;=80,"B","C")))</x:f>
        <x:v>B</x:v>
      </x:c>
      <x:c r="C323" s="72" t="n">
        <x:f>ROUND((P323*0.20+Q323*0.18+R323*0.20+S323*0.15+T323*0.12+U323*0.10+V323*0.05)*20,0)</x:f>
        <x:v>86</x:v>
      </x:c>
      <x:c r="D323" s="29" t="str">
        <x:v>AI、科技与工程</x:v>
      </x:c>
      <x:c r="E323" s="29" t="str">
        <x:v>软件、系统与互联网</x:v>
      </x:c>
      <x:c r="F323" s="29" t="str">
        <x:v>simonwillison.net</x:v>
      </x:c>
      <x:c r="G323" s="29" t="str">
        <x:v>Simon Willison</x:v>
      </x:c>
      <x:c r="H323" s="29" t="str">
        <x:v>独立博客 / 长文</x:v>
      </x:c>
      <x:c r="I323" s="29" t="str">
        <x:v>en</x:v>
      </x:c>
      <x:c r="J323" s="29" t="str">
        <x:v>解释源</x:v>
      </x:c>
      <x:c r="K323" s="29" t="str">
        <x:v>Open</x:v>
      </x:c>
      <x:c r="L323" s="29" t="str">
        <x:v>不定期</x:v>
      </x:c>
      <x:c r="M323" s="29" t="str">
        <x:v>https://simonwillison.net/</x:v>
      </x:c>
      <x:c r="N323" s="29" t="str">
        <x:v>https://simonwillison.net/atom/everything/</x:v>
      </x:c>
      <x:c r="O323" s="29" t="str">
        <x:v>有效</x:v>
      </x:c>
      <x:c r="P323" s="72" t="n">
        <x:v>4</x:v>
      </x:c>
      <x:c r="Q323" s="72" t="n">
        <x:v>5</x:v>
      </x:c>
      <x:c r="R323" s="72" t="n">
        <x:v>4</x:v>
      </x:c>
      <x:c r="S323" s="72" t="n">
        <x:v>5</x:v>
      </x:c>
      <x:c r="T323" s="72" t="n">
        <x:v>4</x:v>
      </x:c>
      <x:c r="U323" s="72" t="n">
        <x:v>3</x:v>
      </x:c>
      <x:c r="V323" s="72" t="n">
        <x:v>5</x:v>
      </x:c>
      <x:c r="W323" s="29" t="str">
        <x:v>工程洞见、实战复盘、技术解释；新功能实测、失败案例、实用技巧</x:v>
      </x:c>
      <x:c r="X323" s="29" t="str">
        <x:v>2025 年 Hacker News 高热个人博客。作者背景：AI researcher and co-creator of Django。</x:v>
      </x:c>
      <x:c r="Y323" s="29" t="str">
        <x:v>独立作者源；事实、数字和因果需回到论文、文档或数据。观点须明确归因。；Everything Atom端点已核验。</x:v>
      </x:c>
      <x:c r="Z323" s="75" t="b">
        <x:v>1</x:v>
      </x:c>
      <x:c r="AA323" s="29" t="n">
        <x:v>1</x:v>
      </x:c>
      <x:c r="AB323" s="29" t="str">
        <x:v>Karpathy 分享的 HN 2025 RSS 冷启动集；扩展调研：科技、科学与数据</x:v>
      </x:c>
      <x:c r="AC323" s="29" t="str">
        <x:v>https://gist.github.com/emschwartz/e6d2bf860ccc367fe37ff953ba6de66b；https://simonwillison.net/atom/everything/</x:v>
      </x:c>
      <x:c r="AD323" s="29" t="str">
        <x:v>2026-08-17</x:v>
      </x:c>
      <x:c r="AE323" s="29" t="n">
        <x:v>200</x:v>
      </x:c>
      <x:c r="AF323" s="29" t="str">
        <x:v>https://simonwillison.net/atom/everything/</x:v>
      </x:c>
      <x:c r="AG323" s="29" t="str">
        <x:v>AI,data journalism,blogging</x:v>
      </x:c>
    </x:row>
    <x:row r="324" ht="44" customHeight="1">
      <x:c r="A324" s="29" t="str">
        <x:v>SRC-320</x:v>
      </x:c>
      <x:c r="B324" s="29" t="str">
        <x:f>IF(C324&gt;=93,"S",IF(C324&gt;=90,"A",IF(C324&gt;=80,"B","C")))</x:f>
        <x:v>B</x:v>
      </x:c>
      <x:c r="C324" s="72" t="n">
        <x:f>ROUND((P324*0.20+Q324*0.18+R324*0.20+S324*0.15+T324*0.12+U324*0.10+V324*0.05)*20,0)</x:f>
        <x:v>86</x:v>
      </x:c>
      <x:c r="D324" s="29" t="str">
        <x:v>AI、科技与工程</x:v>
      </x:c>
      <x:c r="E324" s="29" t="str">
        <x:v>安全、隐私与数字权利</x:v>
      </x:c>
      <x:c r="F324" s="29" t="str">
        <x:v>skyfall.dev</x:v>
      </x:c>
      <x:c r="G324" s="29" t="str">
        <x:v>Mahad Kalam</x:v>
      </x:c>
      <x:c r="H324" s="29" t="str">
        <x:v>独立博客 / 长文</x:v>
      </x:c>
      <x:c r="I324" s="29" t="str">
        <x:v>en</x:v>
      </x:c>
      <x:c r="J324" s="29" t="str">
        <x:v>解释源</x:v>
      </x:c>
      <x:c r="K324" s="29" t="str">
        <x:v>Open</x:v>
      </x:c>
      <x:c r="L324" s="29" t="str">
        <x:v>不定期</x:v>
      </x:c>
      <x:c r="M324" s="29" t="str">
        <x:v>https://skyfall.dev</x:v>
      </x:c>
      <x:c r="N324" s="29" t="str">
        <x:v>https://mahadk.com/rss.xml</x:v>
      </x:c>
      <x:c r="O324" s="29" t="str">
        <x:v>重定向后有效</x:v>
      </x:c>
      <x:c r="P324" s="72" t="n">
        <x:v>4</x:v>
      </x:c>
      <x:c r="Q324" s="72" t="n">
        <x:v>5</x:v>
      </x:c>
      <x:c r="R324" s="72" t="n">
        <x:v>4</x:v>
      </x:c>
      <x:c r="S324" s="72" t="n">
        <x:v>5</x:v>
      </x:c>
      <x:c r="T324" s="72" t="n">
        <x:v>4</x:v>
      </x:c>
      <x:c r="U324" s="72" t="n">
        <x:v>3</x:v>
      </x:c>
      <x:c r="V324" s="72" t="n">
        <x:v>5</x:v>
      </x:c>
      <x:c r="W324" s="29" t="str">
        <x:v>工程洞见、实战复盘、技术解释</x:v>
      </x:c>
      <x:c r="X324" s="29" t="str">
        <x:v>2025 年 Hacker News 高热个人博客。作者背景：Software engineer based in the UK。</x:v>
      </x:c>
      <x:c r="Y324" s="29" t="str">
        <x:v>独立作者源；事实、数字和因果需回到论文、文档或数据。观点须明确归因。</x:v>
      </x:c>
      <x:c r="Z324" s="75" t="b">
        <x:v>1</x:v>
      </x:c>
      <x:c r="AA324" s="29" t="n">
        <x:v>20</x:v>
      </x:c>
      <x:c r="AB324" s="29" t="str">
        <x:v>Karpathy 分享的 HN 2025 RSS 冷启动集</x:v>
      </x:c>
      <x:c r="AC324" s="29" t="str">
        <x:v>https://gist.github.com/emschwartz/e6d2bf860ccc367fe37ff953ba6de66b</x:v>
      </x:c>
      <x:c r="AD324" s="29" t="str">
        <x:v>2026-08-17</x:v>
      </x:c>
      <x:c r="AE324" s="29" t="n">
        <x:v>200</x:v>
      </x:c>
      <x:c r="AF324" s="29" t="str">
        <x:v>https://mahadk.com/rss.xml</x:v>
      </x:c>
      <x:c r="AG324" s="29" t="str">
        <x:v>ai, security, web development</x:v>
      </x:c>
    </x:row>
    <x:row r="325" ht="44" customHeight="1">
      <x:c r="A325" s="29" t="str">
        <x:v>SRC-321</x:v>
      </x:c>
      <x:c r="B325" s="29" t="str">
        <x:f>IF(C325&gt;=93,"S",IF(C325&gt;=90,"A",IF(C325&gt;=80,"B","C")))</x:f>
        <x:v>B</x:v>
      </x:c>
      <x:c r="C325" s="72" t="n">
        <x:f>ROUND((P325*0.20+Q325*0.18+R325*0.20+S325*0.15+T325*0.12+U325*0.10+V325*0.05)*20,0)</x:f>
        <x:v>86</x:v>
      </x:c>
      <x:c r="D325" s="29" t="str">
        <x:v>AI、科技与工程</x:v>
      </x:c>
      <x:c r="E325" s="29" t="str">
        <x:v>安全、隐私与数字权利</x:v>
      </x:c>
      <x:c r="F325" s="29" t="str">
        <x:v>tedunangst.com</x:v>
      </x:c>
      <x:c r="G325" s="29" t="str">
        <x:v>Ted Unangst</x:v>
      </x:c>
      <x:c r="H325" s="29" t="str">
        <x:v>独立博客 / 长文</x:v>
      </x:c>
      <x:c r="I325" s="29" t="str">
        <x:v>en</x:v>
      </x:c>
      <x:c r="J325" s="29" t="str">
        <x:v>解释源</x:v>
      </x:c>
      <x:c r="K325" s="29" t="str">
        <x:v>Open</x:v>
      </x:c>
      <x:c r="L325" s="29" t="str">
        <x:v>不定期</x:v>
      </x:c>
      <x:c r="M325" s="29" t="str">
        <x:v>https://tedunangst.com</x:v>
      </x:c>
      <x:c r="N325" s="29" t="str">
        <x:v>https://www.tedunangst.com/flak/rss</x:v>
      </x:c>
      <x:c r="O325" s="29" t="str">
        <x:v>超时/网络错误</x:v>
      </x:c>
      <x:c r="P325" s="72" t="n">
        <x:v>4</x:v>
      </x:c>
      <x:c r="Q325" s="72" t="n">
        <x:v>5</x:v>
      </x:c>
      <x:c r="R325" s="72" t="n">
        <x:v>4</x:v>
      </x:c>
      <x:c r="S325" s="72" t="n">
        <x:v>5</x:v>
      </x:c>
      <x:c r="T325" s="72" t="n">
        <x:v>4</x:v>
      </x:c>
      <x:c r="U325" s="72" t="n">
        <x:v>3</x:v>
      </x:c>
      <x:c r="V325" s="72" t="n">
        <x:v>5</x:v>
      </x:c>
      <x:c r="W325" s="29" t="str">
        <x:v>工程洞见、实战复盘、技术解释</x:v>
      </x:c>
      <x:c r="X325" s="29" t="str">
        <x:v>2025 年 Hacker News 高热个人博客。作者背景：Software developer and OpenBSD contributor。</x:v>
      </x:c>
      <x:c r="Y325" s="29" t="str">
        <x:v>独立作者源；事实、数字和因果需回到论文、文档或数据。观点须明确归因。；fetch failed</x:v>
      </x:c>
      <x:c r="Z325" s="75" t="b">
        <x:v>1</x:v>
      </x:c>
      <x:c r="AA325" s="29" t="n">
        <x:v>92</x:v>
      </x:c>
      <x:c r="AB325" s="29" t="str">
        <x:v>Karpathy 分享的 HN 2025 RSS 冷启动集</x:v>
      </x:c>
      <x:c r="AC325" s="29" t="str">
        <x:v>https://gist.github.com/emschwartz/e6d2bf860ccc367fe37ff953ba6de66b</x:v>
      </x:c>
      <x:c r="AD325" s="29" t="str">
        <x:v>2026-08-17</x:v>
      </x:c>
      <x:c r="AE325" s="29"/>
      <x:c r="AF325" s="29" t="str">
        <x:v>https://www.tedunangst.com/flak/rss</x:v>
      </x:c>
      <x:c r="AG325" s="29" t="str">
        <x:v>OpenBSD, software development, security</x:v>
      </x:c>
    </x:row>
    <x:row r="326" ht="44" customHeight="1">
      <x:c r="A326" s="29" t="str">
        <x:v>SRC-322</x:v>
      </x:c>
      <x:c r="B326" s="29" t="str">
        <x:f>IF(C326&gt;=93,"S",IF(C326&gt;=90,"A",IF(C326&gt;=80,"B","C")))</x:f>
        <x:v>B</x:v>
      </x:c>
      <x:c r="C326" s="72" t="n">
        <x:f>ROUND((P326*0.20+Q326*0.18+R326*0.20+S326*0.15+T326*0.12+U326*0.10+V326*0.05)*20,0)</x:f>
        <x:v>86</x:v>
      </x:c>
      <x:c r="D326" s="29" t="str">
        <x:v>AI、科技与工程</x:v>
      </x:c>
      <x:c r="E326" s="29" t="str">
        <x:v>数学、科学与认知</x:v>
      </x:c>
      <x:c r="F326" s="29" t="str">
        <x:v>terriblesoftware.org</x:v>
      </x:c>
      <x:c r="G326" s="29" t="str">
        <x:v>Matheus Lima</x:v>
      </x:c>
      <x:c r="H326" s="29" t="str">
        <x:v>独立博客 / 长文</x:v>
      </x:c>
      <x:c r="I326" s="29" t="str">
        <x:v>en</x:v>
      </x:c>
      <x:c r="J326" s="29" t="str">
        <x:v>解释源</x:v>
      </x:c>
      <x:c r="K326" s="29" t="str">
        <x:v>Open</x:v>
      </x:c>
      <x:c r="L326" s="29" t="str">
        <x:v>不定期</x:v>
      </x:c>
      <x:c r="M326" s="29" t="str">
        <x:v>https://terriblesoftware.org</x:v>
      </x:c>
      <x:c r="N326" s="29" t="str">
        <x:v>https://terriblesoftware.org/feed/</x:v>
      </x:c>
      <x:c r="O326" s="29" t="str">
        <x:v>有效</x:v>
      </x:c>
      <x:c r="P326" s="72" t="n">
        <x:v>4</x:v>
      </x:c>
      <x:c r="Q326" s="72" t="n">
        <x:v>5</x:v>
      </x:c>
      <x:c r="R326" s="72" t="n">
        <x:v>4</x:v>
      </x:c>
      <x:c r="S326" s="72" t="n">
        <x:v>5</x:v>
      </x:c>
      <x:c r="T326" s="72" t="n">
        <x:v>4</x:v>
      </x:c>
      <x:c r="U326" s="72" t="n">
        <x:v>3</x:v>
      </x:c>
      <x:c r="V326" s="72" t="n">
        <x:v>5</x:v>
      </x:c>
      <x:c r="W326" s="29" t="str">
        <x:v>概念解释、反直觉事实、研究脉络</x:v>
      </x:c>
      <x:c r="X326" s="29" t="str">
        <x:v>2025 年 Hacker News 高热个人博客。作者背景：Software developer。</x:v>
      </x:c>
      <x:c r="Y326" s="29" t="str">
        <x:v>独立作者源；事实、数字和因果需回到论文、文档或数据。观点须明确归因。</x:v>
      </x:c>
      <x:c r="Z326" s="75" t="b">
        <x:v>1</x:v>
      </x:c>
      <x:c r="AA326" s="29" t="n">
        <x:v>30</x:v>
      </x:c>
      <x:c r="AB326" s="29" t="str">
        <x:v>Karpathy 分享的 HN 2025 RSS 冷启动集</x:v>
      </x:c>
      <x:c r="AC326" s="29" t="str">
        <x:v>https://gist.github.com/emschwartz/e6d2bf860ccc367fe37ff953ba6de66b</x:v>
      </x:c>
      <x:c r="AD326" s="29" t="str">
        <x:v>2026-08-17</x:v>
      </x:c>
      <x:c r="AE326" s="29" t="n">
        <x:v>200</x:v>
      </x:c>
      <x:c r="AF326" s="29" t="str">
        <x:v>https://terriblesoftware.org/feed/</x:v>
      </x:c>
      <x:c r="AG326" s="29" t="str">
        <x:v>engineering leadership, computer science, tech adventures</x:v>
      </x:c>
    </x:row>
    <x:row r="327" ht="44" customHeight="1">
      <x:c r="A327" s="29" t="str">
        <x:v>SRC-323</x:v>
      </x:c>
      <x:c r="B327" s="29" t="str">
        <x:f>IF(C327&gt;=93,"S",IF(C327&gt;=90,"A",IF(C327&gt;=80,"B","C")))</x:f>
        <x:v>B</x:v>
      </x:c>
      <x:c r="C327" s="72" t="n">
        <x:f>ROUND((P327*0.20+Q327*0.18+R327*0.20+S327*0.15+T327*0.12+U327*0.10+V327*0.05)*20,0)</x:f>
        <x:v>86</x:v>
      </x:c>
      <x:c r="D327" s="29" t="str">
        <x:v>AI、科技与工程</x:v>
      </x:c>
      <x:c r="E327" s="29" t="str">
        <x:v>软件、系统与互联网</x:v>
      </x:c>
      <x:c r="F327" s="29" t="str">
        <x:v>timsh.org</x:v>
      </x:c>
      <x:c r="G327" s="29" t="str">
        <x:v>Tim Sh</x:v>
      </x:c>
      <x:c r="H327" s="29" t="str">
        <x:v>独立博客 / 长文</x:v>
      </x:c>
      <x:c r="I327" s="29" t="str">
        <x:v>en</x:v>
      </x:c>
      <x:c r="J327" s="29" t="str">
        <x:v>解释源</x:v>
      </x:c>
      <x:c r="K327" s="29" t="str">
        <x:v>Open</x:v>
      </x:c>
      <x:c r="L327" s="29" t="str">
        <x:v>不定期</x:v>
      </x:c>
      <x:c r="M327" s="29" t="str">
        <x:v>https://timsh.org</x:v>
      </x:c>
      <x:c r="N327" s="29" t="str">
        <x:v>https://timsh.org/rss/</x:v>
      </x:c>
      <x:c r="O327" s="29" t="str">
        <x:v>有效</x:v>
      </x:c>
      <x:c r="P327" s="72" t="n">
        <x:v>4</x:v>
      </x:c>
      <x:c r="Q327" s="72" t="n">
        <x:v>5</x:v>
      </x:c>
      <x:c r="R327" s="72" t="n">
        <x:v>4</x:v>
      </x:c>
      <x:c r="S327" s="72" t="n">
        <x:v>5</x:v>
      </x:c>
      <x:c r="T327" s="72" t="n">
        <x:v>4</x:v>
      </x:c>
      <x:c r="U327" s="72" t="n">
        <x:v>3</x:v>
      </x:c>
      <x:c r="V327" s="72" t="n">
        <x:v>5</x:v>
      </x:c>
      <x:c r="W327" s="29" t="str">
        <x:v>工程洞见、实战复盘、技术解释</x:v>
      </x:c>
      <x:c r="X327" s="29" t="str">
        <x:v>2025 年 Hacker News 高热个人博客。作者背景：Product manager and ex-CTO。</x:v>
      </x:c>
      <x:c r="Y327" s="29" t="str">
        <x:v>独立作者源；事实、数字和因果需回到论文、文档或数据。观点须明确归因。</x:v>
      </x:c>
      <x:c r="Z327" s="75" t="b">
        <x:v>1</x:v>
      </x:c>
      <x:c r="AA327" s="29" t="n">
        <x:v>24</x:v>
      </x:c>
      <x:c r="AB327" s="29" t="str">
        <x:v>Karpathy 分享的 HN 2025 RSS 冷启动集</x:v>
      </x:c>
      <x:c r="AC327" s="29" t="str">
        <x:v>https://gist.github.com/emschwartz/e6d2bf860ccc367fe37ff953ba6de66b</x:v>
      </x:c>
      <x:c r="AD327" s="29" t="str">
        <x:v>2026-08-17</x:v>
      </x:c>
      <x:c r="AE327" s="29" t="n">
        <x:v>200</x:v>
      </x:c>
      <x:c r="AF327" s="29" t="str">
        <x:v>https://timsh.org/rss/</x:v>
      </x:c>
      <x:c r="AG327" s="29" t="str">
        <x:v>programming, technology, personal thoughts</x:v>
      </x:c>
    </x:row>
    <x:row r="328" ht="44" customHeight="1">
      <x:c r="A328" s="29" t="str">
        <x:v>SRC-324</x:v>
      </x:c>
      <x:c r="B328" s="29" t="str">
        <x:f>IF(C328&gt;=93,"S",IF(C328&gt;=90,"A",IF(C328&gt;=80,"B","C")))</x:f>
        <x:v>B</x:v>
      </x:c>
      <x:c r="C328" s="72" t="n">
        <x:f>ROUND((P328*0.20+Q328*0.18+R328*0.20+S328*0.15+T328*0.12+U328*0.10+V328*0.05)*20,0)</x:f>
        <x:v>86</x:v>
      </x:c>
      <x:c r="D328" s="29" t="str">
        <x:v>AI、科技与工程</x:v>
      </x:c>
      <x:c r="E328" s="29" t="str">
        <x:v>软件、系统与互联网</x:v>
      </x:c>
      <x:c r="F328" s="29" t="str">
        <x:v>tomrenner.com</x:v>
      </x:c>
      <x:c r="G328" s="29" t="str">
        <x:v>Tom Renner</x:v>
      </x:c>
      <x:c r="H328" s="29" t="str">
        <x:v>独立博客 / 长文</x:v>
      </x:c>
      <x:c r="I328" s="29" t="str">
        <x:v>en</x:v>
      </x:c>
      <x:c r="J328" s="29" t="str">
        <x:v>解释源</x:v>
      </x:c>
      <x:c r="K328" s="29" t="str">
        <x:v>Open</x:v>
      </x:c>
      <x:c r="L328" s="29" t="str">
        <x:v>不定期</x:v>
      </x:c>
      <x:c r="M328" s="29" t="str">
        <x:v>https://tomrenner.com</x:v>
      </x:c>
      <x:c r="N328" s="29" t="str">
        <x:v>https://tomrenner.com/index.xml</x:v>
      </x:c>
      <x:c r="O328" s="29" t="str">
        <x:v>有效</x:v>
      </x:c>
      <x:c r="P328" s="72" t="n">
        <x:v>4</x:v>
      </x:c>
      <x:c r="Q328" s="72" t="n">
        <x:v>5</x:v>
      </x:c>
      <x:c r="R328" s="72" t="n">
        <x:v>4</x:v>
      </x:c>
      <x:c r="S328" s="72" t="n">
        <x:v>5</x:v>
      </x:c>
      <x:c r="T328" s="72" t="n">
        <x:v>4</x:v>
      </x:c>
      <x:c r="U328" s="72" t="n">
        <x:v>3</x:v>
      </x:c>
      <x:c r="V328" s="72" t="n">
        <x:v>5</x:v>
      </x:c>
      <x:c r="W328" s="29" t="str">
        <x:v>工程洞见、实战复盘、技术解释</x:v>
      </x:c>
      <x:c r="X328" s="29" t="str">
        <x:v>2025 年 Hacker News 高热个人博客。作者背景：Generalist developer and team lead。</x:v>
      </x:c>
      <x:c r="Y328" s="29" t="str">
        <x:v>独立作者源；事实、数字和因果需回到论文、文档或数据。观点须明确归因。</x:v>
      </x:c>
      <x:c r="Z328" s="75" t="b">
        <x:v>1</x:v>
      </x:c>
      <x:c r="AA328" s="29" t="n">
        <x:v>78</x:v>
      </x:c>
      <x:c r="AB328" s="29" t="str">
        <x:v>Karpathy 分享的 HN 2025 RSS 冷启动集</x:v>
      </x:c>
      <x:c r="AC328" s="29" t="str">
        <x:v>https://gist.github.com/emschwartz/e6d2bf860ccc367fe37ff953ba6de66b</x:v>
      </x:c>
      <x:c r="AD328" s="29" t="str">
        <x:v>2026-08-17</x:v>
      </x:c>
      <x:c r="AE328" s="29" t="n">
        <x:v>200</x:v>
      </x:c>
      <x:c r="AF328" s="29" t="str">
        <x:v>https://tomrenner.com/index.xml</x:v>
      </x:c>
      <x:c r="AG328" s="29" t="str">
        <x:v>software development, ethical tech</x:v>
      </x:c>
    </x:row>
    <x:row r="329" ht="44" customHeight="1">
      <x:c r="A329" s="29" t="str">
        <x:v>SRC-325</x:v>
      </x:c>
      <x:c r="B329" s="29" t="str">
        <x:f>IF(C329&gt;=93,"S",IF(C329&gt;=90,"A",IF(C329&gt;=80,"B","C")))</x:f>
        <x:v>B</x:v>
      </x:c>
      <x:c r="C329" s="72" t="n">
        <x:f>ROUND((P329*0.20+Q329*0.18+R329*0.20+S329*0.15+T329*0.12+U329*0.10+V329*0.05)*20,0)</x:f>
        <x:v>86</x:v>
      </x:c>
      <x:c r="D329" s="29" t="str">
        <x:v>AI、科技与工程</x:v>
      </x:c>
      <x:c r="E329" s="29" t="str">
        <x:v>安全、隐私与数字权利</x:v>
      </x:c>
      <x:c r="F329" s="29" t="str">
        <x:v>troyhunt.com</x:v>
      </x:c>
      <x:c r="G329" s="29" t="str">
        <x:v>Troy Hunt</x:v>
      </x:c>
      <x:c r="H329" s="29" t="str">
        <x:v>独立博客 / 长文</x:v>
      </x:c>
      <x:c r="I329" s="29" t="str">
        <x:v>en</x:v>
      </x:c>
      <x:c r="J329" s="29" t="str">
        <x:v>解释源</x:v>
      </x:c>
      <x:c r="K329" s="29" t="str">
        <x:v>Open</x:v>
      </x:c>
      <x:c r="L329" s="29" t="str">
        <x:v>不定期</x:v>
      </x:c>
      <x:c r="M329" s="29" t="str">
        <x:v>https://troyhunt.com</x:v>
      </x:c>
      <x:c r="N329" s="29" t="str">
        <x:v>https://www.troyhunt.com/rss/</x:v>
      </x:c>
      <x:c r="O329" s="29" t="str">
        <x:v>有效</x:v>
      </x:c>
      <x:c r="P329" s="72" t="n">
        <x:v>4</x:v>
      </x:c>
      <x:c r="Q329" s="72" t="n">
        <x:v>5</x:v>
      </x:c>
      <x:c r="R329" s="72" t="n">
        <x:v>4</x:v>
      </x:c>
      <x:c r="S329" s="72" t="n">
        <x:v>5</x:v>
      </x:c>
      <x:c r="T329" s="72" t="n">
        <x:v>4</x:v>
      </x:c>
      <x:c r="U329" s="72" t="n">
        <x:v>3</x:v>
      </x:c>
      <x:c r="V329" s="72" t="n">
        <x:v>5</x:v>
      </x:c>
      <x:c r="W329" s="29" t="str">
        <x:v>工程洞见、实战复盘、技术解释</x:v>
      </x:c>
      <x:c r="X329" s="29" t="str">
        <x:v>2025 年 Hacker News 高热个人博客。作者背景：Security expert and instructor。</x:v>
      </x:c>
      <x:c r="Y329" s="29" t="str">
        <x:v>独立作者源；事实、数字和因果需回到论文、文档或数据。观点须明确归因。</x:v>
      </x:c>
      <x:c r="Z329" s="75" t="b">
        <x:v>1</x:v>
      </x:c>
      <x:c r="AA329" s="29" t="n">
        <x:v>76</x:v>
      </x:c>
      <x:c r="AB329" s="29" t="str">
        <x:v>Karpathy 分享的 HN 2025 RSS 冷启动集</x:v>
      </x:c>
      <x:c r="AC329" s="29" t="str">
        <x:v>https://gist.github.com/emschwartz/e6d2bf860ccc367fe37ff953ba6de66b</x:v>
      </x:c>
      <x:c r="AD329" s="29" t="str">
        <x:v>2026-08-17</x:v>
      </x:c>
      <x:c r="AE329" s="29" t="n">
        <x:v>200</x:v>
      </x:c>
      <x:c r="AF329" s="29" t="str">
        <x:v>https://www.troyhunt.com/rss/</x:v>
      </x:c>
      <x:c r="AG329" s="29" t="str">
        <x:v>security, data breaches, web security</x:v>
      </x:c>
    </x:row>
    <x:row r="330" ht="44" customHeight="1">
      <x:c r="A330" s="29" t="str">
        <x:v>SRC-326</x:v>
      </x:c>
      <x:c r="B330" s="29" t="str">
        <x:f>IF(C330&gt;=93,"S",IF(C330&gt;=90,"A",IF(C330&gt;=80,"B","C")))</x:f>
        <x:v>B</x:v>
      </x:c>
      <x:c r="C330" s="72" t="n">
        <x:f>ROUND((P330*0.20+Q330*0.18+R330*0.20+S330*0.15+T330*0.12+U330*0.10+V330*0.05)*20,0)</x:f>
        <x:v>86</x:v>
      </x:c>
      <x:c r="D330" s="29" t="str">
        <x:v>AI、科技与工程</x:v>
      </x:c>
      <x:c r="E330" s="29" t="str">
        <x:v>软件、系统与互联网</x:v>
      </x:c>
      <x:c r="F330" s="29" t="str">
        <x:v>utcc.utoronto.ca/~cks</x:v>
      </x:c>
      <x:c r="G330" s="29" t="str">
        <x:v>Chris Siebenmann</x:v>
      </x:c>
      <x:c r="H330" s="29" t="str">
        <x:v>独立博客 / 长文</x:v>
      </x:c>
      <x:c r="I330" s="29" t="str">
        <x:v>en</x:v>
      </x:c>
      <x:c r="J330" s="29" t="str">
        <x:v>解释源</x:v>
      </x:c>
      <x:c r="K330" s="29" t="str">
        <x:v>Open</x:v>
      </x:c>
      <x:c r="L330" s="29" t="str">
        <x:v>不定期</x:v>
      </x:c>
      <x:c r="M330" s="29" t="str">
        <x:v>https://utcc.utoronto.ca/~cks</x:v>
      </x:c>
      <x:c r="N330" s="29" t="str">
        <x:v>https://utcc.utoronto.ca/~cks/space/blog/?atom</x:v>
      </x:c>
      <x:c r="O330" s="29" t="str">
        <x:v>有效</x:v>
      </x:c>
      <x:c r="P330" s="72" t="n">
        <x:v>4</x:v>
      </x:c>
      <x:c r="Q330" s="72" t="n">
        <x:v>5</x:v>
      </x:c>
      <x:c r="R330" s="72" t="n">
        <x:v>4</x:v>
      </x:c>
      <x:c r="S330" s="72" t="n">
        <x:v>5</x:v>
      </x:c>
      <x:c r="T330" s="72" t="n">
        <x:v>4</x:v>
      </x:c>
      <x:c r="U330" s="72" t="n">
        <x:v>3</x:v>
      </x:c>
      <x:c r="V330" s="72" t="n">
        <x:v>5</x:v>
      </x:c>
      <x:c r="W330" s="29" t="str">
        <x:v>工程洞见、实战复盘、技术解释</x:v>
      </x:c>
      <x:c r="X330" s="29" t="str">
        <x:v>2025 年 Hacker News 高热个人博客。作者背景：Unix system administrator at University of Toronto。</x:v>
      </x:c>
      <x:c r="Y330" s="29" t="str">
        <x:v>独立作者源；事实、数字和因果需回到论文、文档或数据。观点须明确归因。</x:v>
      </x:c>
      <x:c r="Z330" s="75" t="b">
        <x:v>1</x:v>
      </x:c>
      <x:c r="AA330" s="29" t="n">
        <x:v>15</x:v>
      </x:c>
      <x:c r="AB330" s="29" t="str">
        <x:v>Karpathy 分享的 HN 2025 RSS 冷启动集</x:v>
      </x:c>
      <x:c r="AC330" s="29" t="str">
        <x:v>https://gist.github.com/emschwartz/e6d2bf860ccc367fe37ff953ba6de66b</x:v>
      </x:c>
      <x:c r="AD330" s="29" t="str">
        <x:v>2026-08-17</x:v>
      </x:c>
      <x:c r="AE330" s="29" t="n">
        <x:v>200</x:v>
      </x:c>
      <x:c r="AF330" s="29" t="str">
        <x:v>https://utcc.utoronto.ca/~cks/space/blog/?atom</x:v>
      </x:c>
      <x:c r="AG330" s="29" t="str">
        <x:v>Unix, system administration, linux</x:v>
      </x:c>
    </x:row>
    <x:row r="331" ht="44" customHeight="1">
      <x:c r="A331" s="29" t="str">
        <x:v>SRC-327</x:v>
      </x:c>
      <x:c r="B331" s="29" t="str">
        <x:f>IF(C331&gt;=93,"S",IF(C331&gt;=90,"A",IF(C331&gt;=80,"B","C")))</x:f>
        <x:v>B</x:v>
      </x:c>
      <x:c r="C331" s="72" t="n">
        <x:f>ROUND((P331*0.20+Q331*0.18+R331*0.20+S331*0.15+T331*0.12+U331*0.10+V331*0.05)*20,0)</x:f>
        <x:v>86</x:v>
      </x:c>
      <x:c r="D331" s="29" t="str">
        <x:v>AI、科技与工程</x:v>
      </x:c>
      <x:c r="E331" s="29" t="str">
        <x:v>软件、系统与互联网</x:v>
      </x:c>
      <x:c r="F331" s="29" t="str">
        <x:v>wheresyoured.at</x:v>
      </x:c>
      <x:c r="G331" s="29" t="str">
        <x:v>Ed Zitron</x:v>
      </x:c>
      <x:c r="H331" s="29" t="str">
        <x:v>独立博客 / 长文</x:v>
      </x:c>
      <x:c r="I331" s="29" t="str">
        <x:v>en</x:v>
      </x:c>
      <x:c r="J331" s="29" t="str">
        <x:v>解释源</x:v>
      </x:c>
      <x:c r="K331" s="29" t="str">
        <x:v>Open</x:v>
      </x:c>
      <x:c r="L331" s="29" t="str">
        <x:v>不定期</x:v>
      </x:c>
      <x:c r="M331" s="29" t="str">
        <x:v>https://wheresyoured.at</x:v>
      </x:c>
      <x:c r="N331" s="29" t="str">
        <x:v>https://www.wheresyoured.at/rss/</x:v>
      </x:c>
      <x:c r="O331" s="29" t="str">
        <x:v>有效</x:v>
      </x:c>
      <x:c r="P331" s="72" t="n">
        <x:v>4</x:v>
      </x:c>
      <x:c r="Q331" s="72" t="n">
        <x:v>5</x:v>
      </x:c>
      <x:c r="R331" s="72" t="n">
        <x:v>4</x:v>
      </x:c>
      <x:c r="S331" s="72" t="n">
        <x:v>5</x:v>
      </x:c>
      <x:c r="T331" s="72" t="n">
        <x:v>4</x:v>
      </x:c>
      <x:c r="U331" s="72" t="n">
        <x:v>3</x:v>
      </x:c>
      <x:c r="V331" s="72" t="n">
        <x:v>5</x:v>
      </x:c>
      <x:c r="W331" s="29" t="str">
        <x:v>工程洞见、实战复盘、技术解释</x:v>
      </x:c>
      <x:c r="X331" s="29" t="str">
        <x:v>2025 年 Hacker News 高热个人博客。作者背景：CEO of EZPR。</x:v>
      </x:c>
      <x:c r="Y331" s="29" t="str">
        <x:v>独立作者源；事实、数字和因果需回到论文、文档或数据。观点须明确归因。</x:v>
      </x:c>
      <x:c r="Z331" s="75" t="b">
        <x:v>1</x:v>
      </x:c>
      <x:c r="AA331" s="29" t="n">
        <x:v>43</x:v>
      </x:c>
      <x:c r="AB331" s="29" t="str">
        <x:v>Karpathy 分享的 HN 2025 RSS 冷启动集</x:v>
      </x:c>
      <x:c r="AC331" s="29" t="str">
        <x:v>https://gist.github.com/emschwartz/e6d2bf860ccc367fe37ff953ba6de66b</x:v>
      </x:c>
      <x:c r="AD331" s="29" t="str">
        <x:v>2026-08-17</x:v>
      </x:c>
      <x:c r="AE331" s="29" t="n">
        <x:v>200</x:v>
      </x:c>
      <x:c r="AF331" s="29" t="str">
        <x:v>https://www.wheresyoured.at/rss/</x:v>
      </x:c>
      <x:c r="AG331" s="29" t="str">
        <x:v>tech industry, AI, media criticism</x:v>
      </x:c>
    </x:row>
    <x:row r="332" ht="44" customHeight="1">
      <x:c r="A332" s="29" t="str">
        <x:v>SRC-328</x:v>
      </x:c>
      <x:c r="B332" s="29" t="str">
        <x:f>IF(C332&gt;=93,"S",IF(C332&gt;=90,"A",IF(C332&gt;=80,"B","C")))</x:f>
        <x:v>B</x:v>
      </x:c>
      <x:c r="C332" s="72" t="n">
        <x:f>ROUND((P332*0.20+Q332*0.18+R332*0.20+S332*0.15+T332*0.12+U332*0.10+V332*0.05)*20,0)</x:f>
        <x:v>86</x:v>
      </x:c>
      <x:c r="D332" s="29" t="str">
        <x:v>AI、科技与工程</x:v>
      </x:c>
      <x:c r="E332" s="29" t="str">
        <x:v>软件、系统与互联网</x:v>
      </x:c>
      <x:c r="F332" s="29" t="str">
        <x:v>worksonmymachine.substack.com</x:v>
      </x:c>
      <x:c r="G332" s="29" t="str">
        <x:v>Scott Werner</x:v>
      </x:c>
      <x:c r="H332" s="29" t="str">
        <x:v>独立博客 / 长文</x:v>
      </x:c>
      <x:c r="I332" s="29" t="str">
        <x:v>en</x:v>
      </x:c>
      <x:c r="J332" s="29" t="str">
        <x:v>解释源</x:v>
      </x:c>
      <x:c r="K332" s="29" t="str">
        <x:v>Open</x:v>
      </x:c>
      <x:c r="L332" s="29" t="str">
        <x:v>不定期</x:v>
      </x:c>
      <x:c r="M332" s="29" t="str">
        <x:v>https://worksonmymachine.substack.com</x:v>
      </x:c>
      <x:c r="N332" s="29" t="str">
        <x:v>https://worksonmymachine.ai/feed</x:v>
      </x:c>
      <x:c r="O332" s="29" t="str">
        <x:v>重定向后有效</x:v>
      </x:c>
      <x:c r="P332" s="72" t="n">
        <x:v>4</x:v>
      </x:c>
      <x:c r="Q332" s="72" t="n">
        <x:v>5</x:v>
      </x:c>
      <x:c r="R332" s="72" t="n">
        <x:v>4</x:v>
      </x:c>
      <x:c r="S332" s="72" t="n">
        <x:v>5</x:v>
      </x:c>
      <x:c r="T332" s="72" t="n">
        <x:v>4</x:v>
      </x:c>
      <x:c r="U332" s="72" t="n">
        <x:v>3</x:v>
      </x:c>
      <x:c r="V332" s="72" t="n">
        <x:v>5</x:v>
      </x:c>
      <x:c r="W332" s="29" t="str">
        <x:v>工程洞见、实战复盘、技术解释</x:v>
      </x:c>
      <x:c r="X332" s="29" t="str">
        <x:v>2025 年 Hacker News 高热个人博客。作者背景：Writer and software developer。</x:v>
      </x:c>
      <x:c r="Y332" s="29" t="str">
        <x:v>独立作者源；事实、数字和因果需回到论文、文档或数据。观点须明确归因。</x:v>
      </x:c>
      <x:c r="Z332" s="75" t="b">
        <x:v>1</x:v>
      </x:c>
      <x:c r="AA332" s="29" t="n">
        <x:v>71</x:v>
      </x:c>
      <x:c r="AB332" s="29" t="str">
        <x:v>Karpathy 分享的 HN 2025 RSS 冷启动集</x:v>
      </x:c>
      <x:c r="AC332" s="29" t="str">
        <x:v>https://gist.github.com/emschwartz/e6d2bf860ccc367fe37ff953ba6de66b</x:v>
      </x:c>
      <x:c r="AD332" s="29" t="str">
        <x:v>2026-08-17</x:v>
      </x:c>
      <x:c r="AE332" s="29" t="n">
        <x:v>200</x:v>
      </x:c>
      <x:c r="AF332" s="29" t="str">
        <x:v>https://worksonmymachine.ai/feed</x:v>
      </x:c>
      <x:c r="AG332" s="29" t="str">
        <x:v>AI, software development, future of work</x:v>
      </x:c>
    </x:row>
    <x:row r="333" ht="44" customHeight="1">
      <x:c r="A333" s="29" t="str">
        <x:v>SRC-329</x:v>
      </x:c>
      <x:c r="B333" s="29" t="str">
        <x:f>IF(C333&gt;=93,"S",IF(C333&gt;=90,"A",IF(C333&gt;=80,"B","C")))</x:f>
        <x:v>B</x:v>
      </x:c>
      <x:c r="C333" s="72" t="n">
        <x:f>ROUND((P333*0.20+Q333*0.18+R333*0.20+S333*0.15+T333*0.12+U333*0.10+V333*0.05)*20,0)</x:f>
        <x:v>86</x:v>
      </x:c>
      <x:c r="D333" s="29" t="str">
        <x:v>AI、科技与工程</x:v>
      </x:c>
      <x:c r="E333" s="29" t="str">
        <x:v>软件、系统与互联网</x:v>
      </x:c>
      <x:c r="F333" s="29" t="str">
        <x:v>xania.org</x:v>
      </x:c>
      <x:c r="G333" s="29" t="str">
        <x:v>Matt Godbolt</x:v>
      </x:c>
      <x:c r="H333" s="29" t="str">
        <x:v>独立博客 / 长文</x:v>
      </x:c>
      <x:c r="I333" s="29" t="str">
        <x:v>en</x:v>
      </x:c>
      <x:c r="J333" s="29" t="str">
        <x:v>解释源</x:v>
      </x:c>
      <x:c r="K333" s="29" t="str">
        <x:v>Open</x:v>
      </x:c>
      <x:c r="L333" s="29" t="str">
        <x:v>不定期</x:v>
      </x:c>
      <x:c r="M333" s="29" t="str">
        <x:v>https://xania.org</x:v>
      </x:c>
      <x:c r="N333" s="29" t="str">
        <x:v>https://xania.org/feed</x:v>
      </x:c>
      <x:c r="O333" s="29" t="str">
        <x:v>有效</x:v>
      </x:c>
      <x:c r="P333" s="72" t="n">
        <x:v>4</x:v>
      </x:c>
      <x:c r="Q333" s="72" t="n">
        <x:v>5</x:v>
      </x:c>
      <x:c r="R333" s="72" t="n">
        <x:v>4</x:v>
      </x:c>
      <x:c r="S333" s="72" t="n">
        <x:v>5</x:v>
      </x:c>
      <x:c r="T333" s="72" t="n">
        <x:v>4</x:v>
      </x:c>
      <x:c r="U333" s="72" t="n">
        <x:v>3</x:v>
      </x:c>
      <x:c r="V333" s="72" t="n">
        <x:v>5</x:v>
      </x:c>
      <x:c r="W333" s="29" t="str">
        <x:v>工程洞见、实战复盘、技术解释</x:v>
      </x:c>
      <x:c r="X333" s="29" t="str">
        <x:v>2025 年 Hacker News 高热个人博客。作者背景：C++ developer and compiler expert。</x:v>
      </x:c>
      <x:c r="Y333" s="29" t="str">
        <x:v>独立作者源；事实、数字和因果需回到论文、文档或数据。观点须明确归因。</x:v>
      </x:c>
      <x:c r="Z333" s="75" t="b">
        <x:v>1</x:v>
      </x:c>
      <x:c r="AA333" s="29" t="n">
        <x:v>33</x:v>
      </x:c>
      <x:c r="AB333" s="29" t="str">
        <x:v>Karpathy 分享的 HN 2025 RSS 冷启动集</x:v>
      </x:c>
      <x:c r="AC333" s="29" t="str">
        <x:v>https://gist.github.com/emschwartz/e6d2bf860ccc367fe37ff953ba6de66b</x:v>
      </x:c>
      <x:c r="AD333" s="29" t="str">
        <x:v>2026-08-17</x:v>
      </x:c>
      <x:c r="AE333" s="29" t="n">
        <x:v>200</x:v>
      </x:c>
      <x:c r="AF333" s="29" t="str">
        <x:v>https://xania.org/feed</x:v>
      </x:c>
      <x:c r="AG333" s="29" t="str">
        <x:v>assembly, compilers, performance</x:v>
      </x:c>
    </x:row>
    <x:row r="334" ht="44" customHeight="1">
      <x:c r="A334" s="29" t="str">
        <x:v>SRC-330</x:v>
      </x:c>
      <x:c r="B334" s="29" t="str">
        <x:f>IF(C334&gt;=93,"S",IF(C334&gt;=90,"A",IF(C334&gt;=80,"B","C")))</x:f>
        <x:v>B</x:v>
      </x:c>
      <x:c r="C334" s="72" t="n">
        <x:f>ROUND((P334*0.20+Q334*0.18+R334*0.20+S334*0.15+T334*0.12+U334*0.10+V334*0.05)*20,0)</x:f>
        <x:v>86</x:v>
      </x:c>
      <x:c r="D334" s="29" t="str">
        <x:v>AI、科技与工程</x:v>
      </x:c>
      <x:c r="E334" s="29" t="str">
        <x:v>软件、系统与互联网</x:v>
      </x:c>
      <x:c r="F334" s="29" t="str">
        <x:v>xeiaso.net</x:v>
      </x:c>
      <x:c r="G334" s="29" t="str">
        <x:v>Xe Iaso</x:v>
      </x:c>
      <x:c r="H334" s="29" t="str">
        <x:v>独立博客 / 长文</x:v>
      </x:c>
      <x:c r="I334" s="29" t="str">
        <x:v>en</x:v>
      </x:c>
      <x:c r="J334" s="29" t="str">
        <x:v>解释源</x:v>
      </x:c>
      <x:c r="K334" s="29" t="str">
        <x:v>Open</x:v>
      </x:c>
      <x:c r="L334" s="29" t="str">
        <x:v>不定期</x:v>
      </x:c>
      <x:c r="M334" s="29" t="str">
        <x:v>https://xeiaso.net</x:v>
      </x:c>
      <x:c r="N334" s="29" t="str">
        <x:v>https://xeiaso.net/blog.rss</x:v>
      </x:c>
      <x:c r="O334" s="29" t="str">
        <x:v>有效</x:v>
      </x:c>
      <x:c r="P334" s="72" t="n">
        <x:v>4</x:v>
      </x:c>
      <x:c r="Q334" s="72" t="n">
        <x:v>5</x:v>
      </x:c>
      <x:c r="R334" s="72" t="n">
        <x:v>4</x:v>
      </x:c>
      <x:c r="S334" s="72" t="n">
        <x:v>5</x:v>
      </x:c>
      <x:c r="T334" s="72" t="n">
        <x:v>4</x:v>
      </x:c>
      <x:c r="U334" s="72" t="n">
        <x:v>3</x:v>
      </x:c>
      <x:c r="V334" s="72" t="n">
        <x:v>5</x:v>
      </x:c>
      <x:c r="W334" s="29" t="str">
        <x:v>工程洞见、实战复盘、技术解释</x:v>
      </x:c>
      <x:c r="X334" s="29" t="str">
        <x:v>2025 年 Hacker News 高热个人博客。作者背景：Software developer and creator of Anubis。</x:v>
      </x:c>
      <x:c r="Y334" s="29" t="str">
        <x:v>独立作者源；事实、数字和因果需回到论文、文档或数据。观点须明确归因。</x:v>
      </x:c>
      <x:c r="Z334" s="75" t="b">
        <x:v>1</x:v>
      </x:c>
      <x:c r="AA334" s="29" t="n">
        <x:v>16</x:v>
      </x:c>
      <x:c r="AB334" s="29" t="str">
        <x:v>Karpathy 分享的 HN 2025 RSS 冷启动集</x:v>
      </x:c>
      <x:c r="AC334" s="29" t="str">
        <x:v>https://gist.github.com/emschwartz/e6d2bf860ccc367fe37ff953ba6de66b</x:v>
      </x:c>
      <x:c r="AD334" s="29" t="str">
        <x:v>2026-08-17</x:v>
      </x:c>
      <x:c r="AE334" s="29" t="n">
        <x:v>200</x:v>
      </x:c>
      <x:c r="AF334" s="29" t="str">
        <x:v>https://xeiaso.net/blog.rss</x:v>
      </x:c>
      <x:c r="AG334" s="29" t="str">
        <x:v>software development, Rust programming, Nix</x:v>
      </x:c>
    </x:row>
    <x:row r="335" ht="44" customHeight="1">
      <x:c r="A335" s="29" t="str">
        <x:v>SRC-331</x:v>
      </x:c>
      <x:c r="B335" s="29" t="str">
        <x:f>IF(C335&gt;=93,"S",IF(C335&gt;=90,"A",IF(C335&gt;=80,"B","C")))</x:f>
        <x:v>B</x:v>
      </x:c>
      <x:c r="C335" s="72" t="n">
        <x:f>ROUND((P335*0.20+Q335*0.18+R335*0.20+S335*0.15+T335*0.12+U335*0.10+V335*0.05)*20,0)</x:f>
        <x:v>86</x:v>
      </x:c>
      <x:c r="D335" s="29" t="str">
        <x:v>AI、科技与工程</x:v>
      </x:c>
      <x:c r="E335" s="29" t="str">
        <x:v>数字生活、效率与软件</x:v>
      </x:c>
      <x:c r="F335" s="29" t="str">
        <x:v>少数派</x:v>
      </x:c>
      <x:c r="G335" s="29" t="str"/>
      <x:c r="H335" s="29" t="str">
        <x:v>教程、产品体验、工作流与观点</x:v>
      </x:c>
      <x:c r="I335" s="29" t="str">
        <x:v>zh-CN</x:v>
      </x:c>
      <x:c r="J335" s="29" t="str">
        <x:v>解释源</x:v>
      </x:c>
      <x:c r="K335" s="29" t="str">
        <x:v>Freemium</x:v>
      </x:c>
      <x:c r="L335" s="29" t="str">
        <x:v>每日高频</x:v>
      </x:c>
      <x:c r="M335" s="29" t="str">
        <x:v>https://sspai.com/</x:v>
      </x:c>
      <x:c r="N335" s="29" t="str">
        <x:v>https://sspai.com/feed</x:v>
      </x:c>
      <x:c r="O335" s="29" t="str">
        <x:v>有效</x:v>
      </x:c>
      <x:c r="P335" s="72" t="n">
        <x:v>4</x:v>
      </x:c>
      <x:c r="Q335" s="72" t="n">
        <x:v>5</x:v>
      </x:c>
      <x:c r="R335" s="72" t="n">
        <x:v>4</x:v>
      </x:c>
      <x:c r="S335" s="72" t="n">
        <x:v>5</x:v>
      </x:c>
      <x:c r="T335" s="72" t="n">
        <x:v>4</x:v>
      </x:c>
      <x:c r="U335" s="72" t="n">
        <x:v>4</x:v>
      </x:c>
      <x:c r="V335" s="72" t="n">
        <x:v>3</x:v>
      </x:c>
      <x:c r="W335" s="29" t="str">
        <x:v>工具教程、工作流、产品体验；操作清单、工作流和应用对比；商业合作内容需筛选。</x:v>
      </x:c>
      <x:c r="X335" s="29" t="str">
        <x:v>中文数字生活和效率工具实践丰富，适合直接转化成可操作内容。</x:v>
      </x:c>
      <x:c r="Y335" s="29" t="str">
        <x:v>Feed端点已核验；部分会员文章可能只有摘要。；2026-08-17：Feed 端点返回 application/xml。</x:v>
      </x:c>
      <x:c r="Z335" s="75" t="b">
        <x:v>0</x:v>
      </x:c>
      <x:c r="AA335" s="29"/>
      <x:c r="AB335" s="29" t="str">
        <x:v>扩展调研：科技、科学与数据；扩展调研：人文、历史、哲学与设计</x:v>
      </x:c>
      <x:c r="AC335" s="29" t="str">
        <x:v>https://sspai.com/feed；https://sspai.com/</x:v>
      </x:c>
      <x:c r="AD335" s="29" t="str">
        <x:v>2026-08-17</x:v>
      </x:c>
      <x:c r="AE335" s="29" t="n">
        <x:v>200</x:v>
      </x:c>
      <x:c r="AF335" s="29" t="str">
        <x:v>https://sspai.com/feed</x:v>
      </x:c>
      <x:c r="AG335" s="29" t="str"/>
    </x:row>
    <x:row r="336" ht="44" customHeight="1">
      <x:c r="A336" s="29" t="str">
        <x:v>SRC-332</x:v>
      </x:c>
      <x:c r="B336" s="29" t="str">
        <x:f>IF(C336&gt;=93,"S",IF(C336&gt;=90,"A",IF(C336&gt;=80,"B","C")))</x:f>
        <x:v>B</x:v>
      </x:c>
      <x:c r="C336" s="72" t="n">
        <x:f>ROUND((P336*0.20+Q336*0.18+R336*0.20+S336*0.15+T336*0.12+U336*0.10+V336*0.05)*20,0)</x:f>
        <x:v>86</x:v>
      </x:c>
      <x:c r="D336" s="29" t="str">
        <x:v>人文与跨学科</x:v>
      </x:c>
      <x:c r="E336" s="29" t="str">
        <x:v>社会、文化与人文写作</x:v>
      </x:c>
      <x:c r="F336" s="29" t="str">
        <x:v>simone.org</x:v>
      </x:c>
      <x:c r="G336" s="29" t="str">
        <x:v>Simone Salis</x:v>
      </x:c>
      <x:c r="H336" s="29" t="str">
        <x:v>独立博客 / 长文</x:v>
      </x:c>
      <x:c r="I336" s="29" t="str">
        <x:v>en</x:v>
      </x:c>
      <x:c r="J336" s="29" t="str">
        <x:v>解释源</x:v>
      </x:c>
      <x:c r="K336" s="29" t="str">
        <x:v>Open</x:v>
      </x:c>
      <x:c r="L336" s="29" t="str">
        <x:v>不定期</x:v>
      </x:c>
      <x:c r="M336" s="29" t="str">
        <x:v>https://simone.org</x:v>
      </x:c>
      <x:c r="N336" s="29" t="str">
        <x:v>https://simone.org/rss/</x:v>
      </x:c>
      <x:c r="O336" s="29" t="str">
        <x:v>重定向后有效</x:v>
      </x:c>
      <x:c r="P336" s="72" t="n">
        <x:v>4</x:v>
      </x:c>
      <x:c r="Q336" s="72" t="n">
        <x:v>5</x:v>
      </x:c>
      <x:c r="R336" s="72" t="n">
        <x:v>4</x:v>
      </x:c>
      <x:c r="S336" s="72" t="n">
        <x:v>5</x:v>
      </x:c>
      <x:c r="T336" s="72" t="n">
        <x:v>4</x:v>
      </x:c>
      <x:c r="U336" s="72" t="n">
        <x:v>3</x:v>
      </x:c>
      <x:c r="V336" s="72" t="n">
        <x:v>5</x:v>
      </x:c>
      <x:c r="W336" s="29" t="str">
        <x:v>观点摘引、文化观察、跨学科连接</x:v>
      </x:c>
      <x:c r="X336" s="29" t="str">
        <x:v>2025 年 Hacker News 高热个人博客。作者背景：Creative Director and process engineer。</x:v>
      </x:c>
      <x:c r="Y336" s="29" t="str">
        <x:v>独立作者源；事实、数字和因果需回到论文、文档或数据。观点须明确归因。</x:v>
      </x:c>
      <x:c r="Z336" s="75" t="b">
        <x:v>1</x:v>
      </x:c>
      <x:c r="AA336" s="29" t="n">
        <x:v>64</x:v>
      </x:c>
      <x:c r="AB336" s="29" t="str">
        <x:v>Karpathy 分享的 HN 2025 RSS 冷启动集</x:v>
      </x:c>
      <x:c r="AC336" s="29" t="str">
        <x:v>https://gist.github.com/emschwartz/e6d2bf860ccc367fe37ff953ba6de66b</x:v>
      </x:c>
      <x:c r="AD336" s="29" t="str">
        <x:v>2026-08-17</x:v>
      </x:c>
      <x:c r="AE336" s="29" t="n">
        <x:v>200</x:v>
      </x:c>
      <x:c r="AF336" s="29" t="str">
        <x:v>https://simone.org/rss/</x:v>
      </x:c>
      <x:c r="AG336" s="29" t="str">
        <x:v>digital minimalism, philosophy, technology</x:v>
      </x:c>
    </x:row>
    <x:row r="337" ht="44" customHeight="1">
      <x:c r="A337" s="29" t="str">
        <x:v>SRC-333</x:v>
      </x:c>
      <x:c r="B337" s="29" t="str">
        <x:f>IF(C337&gt;=93,"S",IF(C337&gt;=90,"A",IF(C337&gt;=80,"B","C")))</x:f>
        <x:v>B</x:v>
      </x:c>
      <x:c r="C337" s="72" t="n">
        <x:f>ROUND((P337*0.20+Q337*0.18+R337*0.20+S337*0.15+T337*0.12+U337*0.10+V337*0.05)*20,0)</x:f>
        <x:v>86</x:v>
      </x:c>
      <x:c r="D337" s="29" t="str">
        <x:v>历史与考古</x:v>
      </x:c>
      <x:c r="E337" s="29" t="str">
        <x:v>历史、技术史与文化记忆</x:v>
      </x:c>
      <x:c r="F337" s="29" t="str">
        <x:v>computer.rip</x:v>
      </x:c>
      <x:c r="G337" s="29" t="str">
        <x:v>J.B. Crawford</x:v>
      </x:c>
      <x:c r="H337" s="29" t="str">
        <x:v>独立博客 / 长文</x:v>
      </x:c>
      <x:c r="I337" s="29" t="str">
        <x:v>en</x:v>
      </x:c>
      <x:c r="J337" s="29" t="str">
        <x:v>解释源</x:v>
      </x:c>
      <x:c r="K337" s="29" t="str">
        <x:v>Open</x:v>
      </x:c>
      <x:c r="L337" s="29" t="str">
        <x:v>不定期</x:v>
      </x:c>
      <x:c r="M337" s="29" t="str">
        <x:v>https://computer.rip</x:v>
      </x:c>
      <x:c r="N337" s="29" t="str">
        <x:v>https://computer.rip/rss.xml</x:v>
      </x:c>
      <x:c r="O337" s="29" t="str">
        <x:v>有效</x:v>
      </x:c>
      <x:c r="P337" s="72" t="n">
        <x:v>4</x:v>
      </x:c>
      <x:c r="Q337" s="72" t="n">
        <x:v>5</x:v>
      </x:c>
      <x:c r="R337" s="72" t="n">
        <x:v>4</x:v>
      </x:c>
      <x:c r="S337" s="72" t="n">
        <x:v>5</x:v>
      </x:c>
      <x:c r="T337" s="72" t="n">
        <x:v>4</x:v>
      </x:c>
      <x:c r="U337" s="72" t="n">
        <x:v>3</x:v>
      </x:c>
      <x:c r="V337" s="72" t="n">
        <x:v>5</x:v>
      </x:c>
      <x:c r="W337" s="29" t="str">
        <x:v>技术史、历史类比、档案式线程</x:v>
      </x:c>
      <x:c r="X337" s="29" t="str">
        <x:v>2025 年 Hacker News 高热个人博客。作者背景：DevOps consultant and writer。</x:v>
      </x:c>
      <x:c r="Y337" s="29" t="str">
        <x:v>独立作者源；事实、数字和因果需回到论文、文档或数据。观点须明确归因。</x:v>
      </x:c>
      <x:c r="Z337" s="75" t="b">
        <x:v>1</x:v>
      </x:c>
      <x:c r="AA337" s="29" t="n">
        <x:v>91</x:v>
      </x:c>
      <x:c r="AB337" s="29" t="str">
        <x:v>Karpathy 分享的 HN 2025 RSS 冷启动集</x:v>
      </x:c>
      <x:c r="AC337" s="29" t="str">
        <x:v>https://gist.github.com/emschwartz/e6d2bf860ccc367fe37ff953ba6de66b</x:v>
      </x:c>
      <x:c r="AD337" s="29" t="str">
        <x:v>2026-08-17</x:v>
      </x:c>
      <x:c r="AE337" s="29" t="n">
        <x:v>200</x:v>
      </x:c>
      <x:c r="AF337" s="29" t="str">
        <x:v>https://computer.rip/rss.xml</x:v>
      </x:c>
      <x:c r="AG337" s="29" t="str">
        <x:v>computer history</x:v>
      </x:c>
    </x:row>
    <x:row r="338" ht="44" customHeight="1">
      <x:c r="A338" s="29" t="str">
        <x:v>SRC-334</x:v>
      </x:c>
      <x:c r="B338" s="29" t="str">
        <x:f>IF(C338&gt;=93,"S",IF(C338&gt;=90,"A",IF(C338&gt;=80,"B","C")))</x:f>
        <x:v>B</x:v>
      </x:c>
      <x:c r="C338" s="72" t="n">
        <x:f>ROUND((P338*0.20+Q338*0.18+R338*0.20+S338*0.15+T338*0.12+U338*0.10+V338*0.05)*20,0)</x:f>
        <x:v>86</x:v>
      </x:c>
      <x:c r="D338" s="29" t="str">
        <x:v>历史与考古</x:v>
      </x:c>
      <x:c r="E338" s="29" t="str">
        <x:v>历史、技术史与文化记忆</x:v>
      </x:c>
      <x:c r="F338" s="29" t="str">
        <x:v>devblogs.microsoft.com/oldnewthing</x:v>
      </x:c>
      <x:c r="G338" s="29" t="str">
        <x:v>Raymond Chen</x:v>
      </x:c>
      <x:c r="H338" s="29" t="str">
        <x:v>独立博客 / 长文</x:v>
      </x:c>
      <x:c r="I338" s="29" t="str">
        <x:v>en</x:v>
      </x:c>
      <x:c r="J338" s="29" t="str">
        <x:v>解释源</x:v>
      </x:c>
      <x:c r="K338" s="29" t="str">
        <x:v>Open</x:v>
      </x:c>
      <x:c r="L338" s="29" t="str">
        <x:v>不定期</x:v>
      </x:c>
      <x:c r="M338" s="29" t="str">
        <x:v>https://devblogs.microsoft.com/oldnewthing</x:v>
      </x:c>
      <x:c r="N338" s="29" t="str">
        <x:v>https://devblogs.microsoft.com/oldnewthing/feed</x:v>
      </x:c>
      <x:c r="O338" s="29" t="str">
        <x:v>有效</x:v>
      </x:c>
      <x:c r="P338" s="72" t="n">
        <x:v>4</x:v>
      </x:c>
      <x:c r="Q338" s="72" t="n">
        <x:v>5</x:v>
      </x:c>
      <x:c r="R338" s="72" t="n">
        <x:v>4</x:v>
      </x:c>
      <x:c r="S338" s="72" t="n">
        <x:v>5</x:v>
      </x:c>
      <x:c r="T338" s="72" t="n">
        <x:v>4</x:v>
      </x:c>
      <x:c r="U338" s="72" t="n">
        <x:v>3</x:v>
      </x:c>
      <x:c r="V338" s="72" t="n">
        <x:v>5</x:v>
      </x:c>
      <x:c r="W338" s="29" t="str">
        <x:v>技术史、历史类比、档案式线程</x:v>
      </x:c>
      <x:c r="X338" s="29" t="str">
        <x:v>2025 年 Hacker News 高热个人博客。作者背景：Veteran Microsoft engineer。</x:v>
      </x:c>
      <x:c r="Y338" s="29" t="str">
        <x:v>独立作者源；事实、数字和因果需回到论文、文档或数据。观点须明确归因。</x:v>
      </x:c>
      <x:c r="Z338" s="75" t="b">
        <x:v>1</x:v>
      </x:c>
      <x:c r="AA338" s="29" t="n">
        <x:v>17</x:v>
      </x:c>
      <x:c r="AB338" s="29" t="str">
        <x:v>Karpathy 分享的 HN 2025 RSS 冷启动集</x:v>
      </x:c>
      <x:c r="AC338" s="29" t="str">
        <x:v>https://gist.github.com/emschwartz/e6d2bf860ccc367fe37ff953ba6de66b</x:v>
      </x:c>
      <x:c r="AD338" s="29" t="str">
        <x:v>2026-08-17</x:v>
      </x:c>
      <x:c r="AE338" s="29" t="n">
        <x:v>200</x:v>
      </x:c>
      <x:c r="AF338" s="29" t="str">
        <x:v>https://devblogs.microsoft.com/oldnewthing/feed</x:v>
      </x:c>
      <x:c r="AG338" s="29" t="str">
        <x:v>Windows development, programming, software history</x:v>
      </x:c>
    </x:row>
    <x:row r="339" ht="44" customHeight="1">
      <x:c r="A339" s="29" t="str">
        <x:v>SRC-335</x:v>
      </x:c>
      <x:c r="B339" s="29" t="str">
        <x:f>IF(C339&gt;=93,"S",IF(C339&gt;=90,"A",IF(C339&gt;=80,"B","C")))</x:f>
        <x:v>B</x:v>
      </x:c>
      <x:c r="C339" s="72" t="n">
        <x:f>ROUND((P339*0.20+Q339*0.18+R339*0.20+S339*0.15+T339*0.12+U339*0.10+V339*0.05)*20,0)</x:f>
        <x:v>86</x:v>
      </x:c>
      <x:c r="D339" s="29" t="str">
        <x:v>历史与考古</x:v>
      </x:c>
      <x:c r="E339" s="29" t="str">
        <x:v>历史、技术史与文化记忆</x:v>
      </x:c>
      <x:c r="F339" s="29" t="str">
        <x:v>experimental-history.com</x:v>
      </x:c>
      <x:c r="G339" s="29" t="str">
        <x:v>Adam Mastroianni</x:v>
      </x:c>
      <x:c r="H339" s="29" t="str">
        <x:v>独立博客 / 长文</x:v>
      </x:c>
      <x:c r="I339" s="29" t="str">
        <x:v>en</x:v>
      </x:c>
      <x:c r="J339" s="29" t="str">
        <x:v>解释源</x:v>
      </x:c>
      <x:c r="K339" s="29" t="str">
        <x:v>Open</x:v>
      </x:c>
      <x:c r="L339" s="29" t="str">
        <x:v>不定期</x:v>
      </x:c>
      <x:c r="M339" s="29" t="str">
        <x:v>https://experimental-history.com</x:v>
      </x:c>
      <x:c r="N339" s="29" t="str">
        <x:v>https://www.experimental-history.com/feed</x:v>
      </x:c>
      <x:c r="O339" s="29" t="str">
        <x:v>有效</x:v>
      </x:c>
      <x:c r="P339" s="72" t="n">
        <x:v>4</x:v>
      </x:c>
      <x:c r="Q339" s="72" t="n">
        <x:v>5</x:v>
      </x:c>
      <x:c r="R339" s="72" t="n">
        <x:v>4</x:v>
      </x:c>
      <x:c r="S339" s="72" t="n">
        <x:v>5</x:v>
      </x:c>
      <x:c r="T339" s="72" t="n">
        <x:v>4</x:v>
      </x:c>
      <x:c r="U339" s="72" t="n">
        <x:v>3</x:v>
      </x:c>
      <x:c r="V339" s="72" t="n">
        <x:v>5</x:v>
      </x:c>
      <x:c r="W339" s="29" t="str">
        <x:v>技术史、历史类比、档案式线程</x:v>
      </x:c>
      <x:c r="X339" s="29" t="str">
        <x:v>2025 年 Hacker News 高热个人博客。作者背景：Writer and software engineer。</x:v>
      </x:c>
      <x:c r="Y339" s="29" t="str">
        <x:v>独立作者源；事实、数字和因果需回到论文、文档或数据。观点须明确归因。</x:v>
      </x:c>
      <x:c r="Z339" s="75" t="b">
        <x:v>1</x:v>
      </x:c>
      <x:c r="AA339" s="29" t="n">
        <x:v>84</x:v>
      </x:c>
      <x:c r="AB339" s="29" t="str">
        <x:v>Karpathy 分享的 HN 2025 RSS 冷启动集</x:v>
      </x:c>
      <x:c r="AC339" s="29" t="str">
        <x:v>https://gist.github.com/emschwartz/e6d2bf860ccc367fe37ff953ba6de66b</x:v>
      </x:c>
      <x:c r="AD339" s="29" t="str">
        <x:v>2026-08-17</x:v>
      </x:c>
      <x:c r="AE339" s="29" t="n">
        <x:v>200</x:v>
      </x:c>
      <x:c r="AF339" s="29" t="str">
        <x:v>https://www.experimental-history.com/feed</x:v>
      </x:c>
      <x:c r="AG339" s="29" t="str">
        <x:v>history, technology, urban planning</x:v>
      </x:c>
    </x:row>
    <x:row r="340" ht="44" customHeight="1">
      <x:c r="A340" s="29" t="str">
        <x:v>SRC-336</x:v>
      </x:c>
      <x:c r="B340" s="29" t="str">
        <x:f>IF(C340&gt;=93,"S",IF(C340&gt;=90,"A",IF(C340&gt;=80,"B","C")))</x:f>
        <x:v>B</x:v>
      </x:c>
      <x:c r="C340" s="72" t="n">
        <x:f>ROUND((P340*0.20+Q340*0.18+R340*0.20+S340*0.15+T340*0.12+U340*0.10+V340*0.05)*20,0)</x:f>
        <x:v>86</x:v>
      </x:c>
      <x:c r="D340" s="29" t="str">
        <x:v>历史与考古</x:v>
      </x:c>
      <x:c r="E340" s="29" t="str">
        <x:v>历史、技术史与文化记忆</x:v>
      </x:c>
      <x:c r="F340" s="29" t="str">
        <x:v>filfre.net</x:v>
      </x:c>
      <x:c r="G340" s="29" t="str">
        <x:v>Jimmy Maher</x:v>
      </x:c>
      <x:c r="H340" s="29" t="str">
        <x:v>独立博客 / 长文</x:v>
      </x:c>
      <x:c r="I340" s="29" t="str">
        <x:v>en</x:v>
      </x:c>
      <x:c r="J340" s="29" t="str">
        <x:v>解释源</x:v>
      </x:c>
      <x:c r="K340" s="29" t="str">
        <x:v>Open</x:v>
      </x:c>
      <x:c r="L340" s="29" t="str">
        <x:v>不定期</x:v>
      </x:c>
      <x:c r="M340" s="29" t="str">
        <x:v>https://filfre.net</x:v>
      </x:c>
      <x:c r="N340" s="29" t="str">
        <x:v>https://www.filfre.net/feed/</x:v>
      </x:c>
      <x:c r="O340" s="29" t="str">
        <x:v>有效</x:v>
      </x:c>
      <x:c r="P340" s="72" t="n">
        <x:v>4</x:v>
      </x:c>
      <x:c r="Q340" s="72" t="n">
        <x:v>5</x:v>
      </x:c>
      <x:c r="R340" s="72" t="n">
        <x:v>4</x:v>
      </x:c>
      <x:c r="S340" s="72" t="n">
        <x:v>5</x:v>
      </x:c>
      <x:c r="T340" s="72" t="n">
        <x:v>4</x:v>
      </x:c>
      <x:c r="U340" s="72" t="n">
        <x:v>3</x:v>
      </x:c>
      <x:c r="V340" s="72" t="n">
        <x:v>5</x:v>
      </x:c>
      <x:c r="W340" s="29" t="str">
        <x:v>技术史、历史类比、档案式线程</x:v>
      </x:c>
      <x:c r="X340" s="29" t="str">
        <x:v>2025 年 Hacker News 高热个人博客。作者背景：Writer and historian。</x:v>
      </x:c>
      <x:c r="Y340" s="29" t="str">
        <x:v>独立作者源；事实、数字和因果需回到论文、文档或数据。观点须明确归因。</x:v>
      </x:c>
      <x:c r="Z340" s="75" t="b">
        <x:v>1</x:v>
      </x:c>
      <x:c r="AA340" s="29" t="n">
        <x:v>48</x:v>
      </x:c>
      <x:c r="AB340" s="29" t="str">
        <x:v>Karpathy 分享的 HN 2025 RSS 冷启动集</x:v>
      </x:c>
      <x:c r="AC340" s="29" t="str">
        <x:v>https://gist.github.com/emschwartz/e6d2bf860ccc367fe37ff953ba6de66b</x:v>
      </x:c>
      <x:c r="AD340" s="29" t="str">
        <x:v>2026-08-17</x:v>
      </x:c>
      <x:c r="AE340" s="29" t="n">
        <x:v>200</x:v>
      </x:c>
      <x:c r="AF340" s="29" t="str">
        <x:v>https://www.filfre.net/feed/</x:v>
      </x:c>
      <x:c r="AG340" s="29" t="str">
        <x:v>computer history, interactive fiction, technology</x:v>
      </x:c>
    </x:row>
    <x:row r="341" ht="44" customHeight="1">
      <x:c r="A341" s="29" t="str">
        <x:v>SRC-337</x:v>
      </x:c>
      <x:c r="B341" s="29" t="str">
        <x:f>IF(C341&gt;=93,"S",IF(C341&gt;=90,"A",IF(C341&gt;=80,"B","C")))</x:f>
        <x:v>B</x:v>
      </x:c>
      <x:c r="C341" s="72" t="n">
        <x:f>ROUND((P341*0.20+Q341*0.18+R341*0.20+S341*0.15+T341*0.12+U341*0.10+V341*0.05)*20,0)</x:f>
        <x:v>86</x:v>
      </x:c>
      <x:c r="D341" s="29" t="str">
        <x:v>历史与考古</x:v>
      </x:c>
      <x:c r="E341" s="29" t="str">
        <x:v>全球史与历史评论</x:v>
      </x:c>
      <x:c r="F341" s="29" t="str">
        <x:v>History Today</x:v>
      </x:c>
      <x:c r="G341" s="29" t="str"/>
      <x:c r="H341" s="29" t="str">
        <x:v>历史学者文章、评论、书评</x:v>
      </x:c>
      <x:c r="I341" s="29" t="str">
        <x:v>en</x:v>
      </x:c>
      <x:c r="J341" s="29" t="str">
        <x:v>解释源</x:v>
      </x:c>
      <x:c r="K341" s="29" t="str">
        <x:v>Freemium</x:v>
      </x:c>
      <x:c r="L341" s="29" t="str">
        <x:v>近每日</x:v>
      </x:c>
      <x:c r="M341" s="29" t="str">
        <x:v>https://www.historytoday.com/</x:v>
      </x:c>
      <x:c r="N341" s="29" t="str">
        <x:v>https://www.historytoday.com/feed/rss.xml</x:v>
      </x:c>
      <x:c r="O341" s="29" t="str">
        <x:v>有效</x:v>
      </x:c>
      <x:c r="P341" s="72" t="n">
        <x:v>4</x:v>
      </x:c>
      <x:c r="Q341" s="72" t="n">
        <x:v>5</x:v>
      </x:c>
      <x:c r="R341" s="72" t="n">
        <x:v>4</x:v>
      </x:c>
      <x:c r="S341" s="72" t="n">
        <x:v>5</x:v>
      </x:c>
      <x:c r="T341" s="72" t="n">
        <x:v>4</x:v>
      </x:c>
      <x:c r="U341" s="72" t="n">
        <x:v>4</x:v>
      </x:c>
      <x:c r="V341" s="72" t="n">
        <x:v>3</x:v>
      </x:c>
      <x:c r="W341" s="29" t="str">
        <x:v>今天的事件在历史上并非第一次的对照线程。</x:v>
      </x:c>
      <x:c r="X341" s="29" t="str">
        <x:v>长期由专业历史学者写作，兼顾叙事和 historiography，适合给当代议题补历史纵深。</x:v>
      </x:c>
      <x:c r="Y341" s="29" t="str">
        <x:v>2026-08-17：Feed 端点返回 application/rss+xml。</x:v>
      </x:c>
      <x:c r="Z341" s="75" t="b">
        <x:v>0</x:v>
      </x:c>
      <x:c r="AA341" s="29"/>
      <x:c r="AB341" s="29" t="str">
        <x:v>扩展调研：人文、历史、哲学与设计</x:v>
      </x:c>
      <x:c r="AC341" s="29" t="str">
        <x:v>https://www.historytoday.com/</x:v>
      </x:c>
      <x:c r="AD341" s="29" t="str">
        <x:v>2026-08-17</x:v>
      </x:c>
      <x:c r="AE341" s="29" t="n">
        <x:v>200</x:v>
      </x:c>
      <x:c r="AF341" s="29" t="str">
        <x:v>https://www.historytoday.com/feed/rss.xml</x:v>
      </x:c>
      <x:c r="AG341" s="29" t="str"/>
    </x:row>
    <x:row r="342" ht="44" customHeight="1">
      <x:c r="A342" s="29" t="str">
        <x:v>SRC-338</x:v>
      </x:c>
      <x:c r="B342" s="29" t="str">
        <x:f>IF(C342&gt;=93,"S",IF(C342&gt;=90,"A",IF(C342&gt;=80,"B","C")))</x:f>
        <x:v>B</x:v>
      </x:c>
      <x:c r="C342" s="72" t="n">
        <x:f>ROUND((P342*0.20+Q342*0.18+R342*0.20+S342*0.15+T342*0.12+U342*0.10+V342*0.05)*20,0)</x:f>
        <x:v>86</x:v>
      </x:c>
      <x:c r="D342" s="29" t="str">
        <x:v>历史与考古</x:v>
      </x:c>
      <x:c r="E342" s="29" t="str">
        <x:v>历史、思想与原始文本</x:v>
      </x:c>
      <x:c r="F342" s="29" t="str">
        <x:v>Lapham's Quarterly</x:v>
      </x:c>
      <x:c r="G342" s="29" t="str"/>
      <x:c r="H342" s="29" t="str">
        <x:v>历史原文、评论、书讯与播客更新</x:v>
      </x:c>
      <x:c r="I342" s="29" t="str">
        <x:v>en</x:v>
      </x:c>
      <x:c r="J342" s="29" t="str">
        <x:v>解释源</x:v>
      </x:c>
      <x:c r="K342" s="29" t="str">
        <x:v>Freemium</x:v>
      </x:c>
      <x:c r="L342" s="29" t="str">
        <x:v>每周数次，纸刊按季</x:v>
      </x:c>
      <x:c r="M342" s="29" t="str">
        <x:v>https://www.laphamsquarterly.org/</x:v>
      </x:c>
      <x:c r="N342" s="29" t="str">
        <x:v>https://laphamsquarterly.substack.com/feed</x:v>
      </x:c>
      <x:c r="O342" s="29" t="str">
        <x:v>有效</x:v>
      </x:c>
      <x:c r="P342" s="72" t="n">
        <x:v>4</x:v>
      </x:c>
      <x:c r="Q342" s="72" t="n">
        <x:v>5</x:v>
      </x:c>
      <x:c r="R342" s="72" t="n">
        <x:v>4</x:v>
      </x:c>
      <x:c r="S342" s="72" t="n">
        <x:v>5</x:v>
      </x:c>
      <x:c r="T342" s="72" t="n">
        <x:v>4</x:v>
      </x:c>
      <x:c r="U342" s="72" t="n">
        <x:v>4</x:v>
      </x:c>
      <x:c r="V342" s="72" t="n">
        <x:v>3</x:v>
      </x:c>
      <x:c r="W342" s="29" t="str">
        <x:v>古人早已讨论过今天问题的今昔对照。</x:v>
      </x:c>
      <x:c r="X342" s="29" t="str">
        <x:v>善于用不同年代的原始文本围绕同一主题构成对话，是历史类内容的高密度素材入口。</x:v>
      </x:c>
      <x:c r="Y342" s="29" t="str">
        <x:v>2026-08-17：采用其当前官方 Substack Feed，端点返回 application/xml。</x:v>
      </x:c>
      <x:c r="Z342" s="75" t="b">
        <x:v>0</x:v>
      </x:c>
      <x:c r="AA342" s="29"/>
      <x:c r="AB342" s="29" t="str">
        <x:v>扩展调研：人文、历史、哲学与设计</x:v>
      </x:c>
      <x:c r="AC342" s="29" t="str">
        <x:v>https://laphamsquarterly.substack.com/</x:v>
      </x:c>
      <x:c r="AD342" s="29" t="str">
        <x:v>2026-08-17</x:v>
      </x:c>
      <x:c r="AE342" s="29" t="n">
        <x:v>200</x:v>
      </x:c>
      <x:c r="AF342" s="29" t="str">
        <x:v>https://laphamsquarterly.substack.com/feed</x:v>
      </x:c>
      <x:c r="AG342" s="29" t="str"/>
    </x:row>
    <x:row r="343" ht="44" customHeight="1">
      <x:c r="A343" s="29" t="str">
        <x:v>SRC-339</x:v>
      </x:c>
      <x:c r="B343" s="29" t="str">
        <x:f>IF(C343&gt;=93,"S",IF(C343&gt;=90,"A",IF(C343&gt;=80,"B","C")))</x:f>
        <x:v>B</x:v>
      </x:c>
      <x:c r="C343" s="72" t="n">
        <x:f>ROUND((P343*0.20+Q343*0.18+R343*0.20+S343*0.15+T343*0.12+U343*0.10+V343*0.05)*20,0)</x:f>
        <x:v>86</x:v>
      </x:c>
      <x:c r="D343" s="29" t="str">
        <x:v>历史与考古</x:v>
      </x:c>
      <x:c r="E343" s="29" t="str">
        <x:v>历史、技术史与文化记忆</x:v>
      </x:c>
      <x:c r="F343" s="29" t="str">
        <x:v>righto.com</x:v>
      </x:c>
      <x:c r="G343" s="29" t="str">
        <x:v>Ken Shirriff</x:v>
      </x:c>
      <x:c r="H343" s="29" t="str">
        <x:v>独立博客 / 长文</x:v>
      </x:c>
      <x:c r="I343" s="29" t="str">
        <x:v>en</x:v>
      </x:c>
      <x:c r="J343" s="29" t="str">
        <x:v>解释源</x:v>
      </x:c>
      <x:c r="K343" s="29" t="str">
        <x:v>Open</x:v>
      </x:c>
      <x:c r="L343" s="29" t="str">
        <x:v>不定期</x:v>
      </x:c>
      <x:c r="M343" s="29" t="str">
        <x:v>https://righto.com</x:v>
      </x:c>
      <x:c r="N343" s="29" t="str">
        <x:v>https://www.righto.com/feeds/posts/default</x:v>
      </x:c>
      <x:c r="O343" s="29" t="str">
        <x:v>有效</x:v>
      </x:c>
      <x:c r="P343" s="72" t="n">
        <x:v>4</x:v>
      </x:c>
      <x:c r="Q343" s="72" t="n">
        <x:v>5</x:v>
      </x:c>
      <x:c r="R343" s="72" t="n">
        <x:v>4</x:v>
      </x:c>
      <x:c r="S343" s="72" t="n">
        <x:v>5</x:v>
      </x:c>
      <x:c r="T343" s="72" t="n">
        <x:v>4</x:v>
      </x:c>
      <x:c r="U343" s="72" t="n">
        <x:v>3</x:v>
      </x:c>
      <x:c r="V343" s="72" t="n">
        <x:v>5</x:v>
      </x:c>
      <x:c r="W343" s="29" t="str">
        <x:v>技术史、历史类比、档案式线程</x:v>
      </x:c>
      <x:c r="X343" s="29" t="str">
        <x:v>2025 年 Hacker News 高热个人博客。作者背景：Vintage computer enthusiast。</x:v>
      </x:c>
      <x:c r="Y343" s="29" t="str">
        <x:v>独立作者源；事实、数字和因果需回到论文、文档或数据。观点须明确归因。</x:v>
      </x:c>
      <x:c r="Z343" s="75" t="b">
        <x:v>1</x:v>
      </x:c>
      <x:c r="AA343" s="29" t="n">
        <x:v>18</x:v>
      </x:c>
      <x:c r="AB343" s="29" t="str">
        <x:v>Karpathy 分享的 HN 2025 RSS 冷启动集</x:v>
      </x:c>
      <x:c r="AC343" s="29" t="str">
        <x:v>https://gist.github.com/emschwartz/e6d2bf860ccc367fe37ff953ba6de66b</x:v>
      </x:c>
      <x:c r="AD343" s="29" t="str">
        <x:v>2026-08-17</x:v>
      </x:c>
      <x:c r="AE343" s="29" t="n">
        <x:v>200</x:v>
      </x:c>
      <x:c r="AF343" s="29" t="str">
        <x:v>https://www.righto.com/feeds/posts/default</x:v>
      </x:c>
      <x:c r="AG343" s="29" t="str">
        <x:v>computer history, vintage computers, reverse engineering</x:v>
      </x:c>
    </x:row>
    <x:row r="344" ht="44" customHeight="1">
      <x:c r="A344" s="29" t="str">
        <x:v>SRC-340</x:v>
      </x:c>
      <x:c r="B344" s="29" t="str">
        <x:f>IF(C344&gt;=93,"S",IF(C344&gt;=90,"A",IF(C344&gt;=80,"B","C")))</x:f>
        <x:v>B</x:v>
      </x:c>
      <x:c r="C344" s="72" t="n">
        <x:f>ROUND((P344*0.20+Q344*0.18+R344*0.20+S344*0.15+T344*0.12+U344*0.10+V344*0.05)*20,0)</x:f>
        <x:v>86</x:v>
      </x:c>
      <x:c r="D344" s="29" t="str">
        <x:v>哲学与思想</x:v>
      </x:c>
      <x:c r="E344" s="29" t="str">
        <x:v>大众哲学与伦理</x:v>
      </x:c>
      <x:c r="F344" s="29" t="str">
        <x:v>Philosophy Now</x:v>
      </x:c>
      <x:c r="G344" s="29" t="str"/>
      <x:c r="H344" s="29" t="str">
        <x:v>哲学文章、书评、访谈与栏目</x:v>
      </x:c>
      <x:c r="I344" s="29" t="str">
        <x:v>en</x:v>
      </x:c>
      <x:c r="J344" s="29" t="str">
        <x:v>解释源</x:v>
      </x:c>
      <x:c r="K344" s="29" t="str">
        <x:v>Freemium</x:v>
      </x:c>
      <x:c r="L344" s="29" t="str">
        <x:v>每周约1至3篇</x:v>
      </x:c>
      <x:c r="M344" s="29" t="str">
        <x:v>https://philosophynow.org/</x:v>
      </x:c>
      <x:c r="N344" s="29" t="str">
        <x:v>https://philosophynow.org/rss</x:v>
      </x:c>
      <x:c r="O344" s="29" t="str">
        <x:v>有效</x:v>
      </x:c>
      <x:c r="P344" s="72" t="n">
        <x:v>4</x:v>
      </x:c>
      <x:c r="Q344" s="72" t="n">
        <x:v>5</x:v>
      </x:c>
      <x:c r="R344" s="72" t="n">
        <x:v>4</x:v>
      </x:c>
      <x:c r="S344" s="72" t="n">
        <x:v>5</x:v>
      </x:c>
      <x:c r="T344" s="72" t="n">
        <x:v>4</x:v>
      </x:c>
      <x:c r="U344" s="72" t="n">
        <x:v>4</x:v>
      </x:c>
      <x:c r="V344" s="72" t="n">
        <x:v>3</x:v>
      </x:c>
      <x:c r="W344" s="29" t="str">
        <x:v>日常问题的哲学拆解和观点投票。</x:v>
      </x:c>
      <x:c r="X344" s="29" t="str">
        <x:v>比学术期刊更易读，适合将伦理、认识论和思想史转成普通读者能参与的问题。</x:v>
      </x:c>
      <x:c r="Y344" s="29" t="str">
        <x:v>2026-08-17：RSS 端点返回 application/rss+xml。</x:v>
      </x:c>
      <x:c r="Z344" s="75" t="b">
        <x:v>0</x:v>
      </x:c>
      <x:c r="AA344" s="29"/>
      <x:c r="AB344" s="29" t="str">
        <x:v>扩展调研：人文、历史、哲学与设计</x:v>
      </x:c>
      <x:c r="AC344" s="29" t="str">
        <x:v>https://philosophynow.org/</x:v>
      </x:c>
      <x:c r="AD344" s="29" t="str">
        <x:v>2026-08-17</x:v>
      </x:c>
      <x:c r="AE344" s="29" t="n">
        <x:v>200</x:v>
      </x:c>
      <x:c r="AF344" s="29" t="str">
        <x:v>https://philosophynow.org/rss</x:v>
      </x:c>
      <x:c r="AG344" s="29" t="str"/>
    </x:row>
    <x:row r="345" ht="44" customHeight="1">
      <x:c r="A345" s="29" t="str">
        <x:v>SRC-341</x:v>
      </x:c>
      <x:c r="B345" s="29" t="str">
        <x:f>IF(C345&gt;=93,"S",IF(C345&gt;=90,"A",IF(C345&gt;=80,"B","C")))</x:f>
        <x:v>B</x:v>
      </x:c>
      <x:c r="C345" s="72" t="n">
        <x:f>ROUND((P345*0.20+Q345*0.18+R345*0.20+S345*0.15+T345*0.12+U345*0.10+V345*0.05)*20,0)</x:f>
        <x:v>86</x:v>
      </x:c>
      <x:c r="D345" s="29" t="str">
        <x:v>商业、管理与创新</x:v>
      </x:c>
      <x:c r="E345" s="29" t="str">
        <x:v>科技趋势与市场结构</x:v>
      </x:c>
      <x:c r="F345" s="29" t="str">
        <x:v>Benedict Evans</x:v>
      </x:c>
      <x:c r="G345" s="29" t="str"/>
      <x:c r="H345" s="29" t="str">
        <x:v>科技趋势、市场数据、平台变化、演示文稿与每周评论</x:v>
      </x:c>
      <x:c r="I345" s="29" t="str">
        <x:v>en</x:v>
      </x:c>
      <x:c r="J345" s="29" t="str">
        <x:v>解释源</x:v>
      </x:c>
      <x:c r="K345" s="29" t="str">
        <x:v>Freemium</x:v>
      </x:c>
      <x:c r="L345" s="29" t="str">
        <x:v>每周约1篇，另有年度演示</x:v>
      </x:c>
      <x:c r="M345" s="29" t="str">
        <x:v>https://www.ben-evans.com/benedictevans</x:v>
      </x:c>
      <x:c r="N345" s="29" t="str">
        <x:v>https://www.ben-evans.com/benedictevans?format=rss</x:v>
      </x:c>
      <x:c r="O345" s="29" t="str">
        <x:v>有效</x:v>
      </x:c>
      <x:c r="P345" s="72" t="n">
        <x:v>4</x:v>
      </x:c>
      <x:c r="Q345" s="72" t="n">
        <x:v>5</x:v>
      </x:c>
      <x:c r="R345" s="72" t="n">
        <x:v>4</x:v>
      </x:c>
      <x:c r="S345" s="72" t="n">
        <x:v>5</x:v>
      </x:c>
      <x:c r="T345" s="72" t="n">
        <x:v>4</x:v>
      </x:c>
      <x:c r="U345" s="72" t="n">
        <x:v>4</x:v>
      </x:c>
      <x:c r="V345" s="72" t="n">
        <x:v>3</x:v>
      </x:c>
      <x:c r="W345" s="29" t="str">
        <x:v>一张图表加一个被忽视的基准率加一个趋势问题。</x:v>
      </x:c>
      <x:c r="X345" s="29" t="str">
        <x:v>善于用历史和市场数据校准技术叙事，能提供高质量图表和二阶问题。</x:v>
      </x:c>
      <x:c r="Y345" s="29" t="str">
        <x:v>2026-08-17：Squarespace官方RSS返回200和有效XML；图表引用应保留原始数据出处。</x:v>
      </x:c>
      <x:c r="Z345" s="75" t="b">
        <x:v>0</x:v>
      </x:c>
      <x:c r="AA345" s="29"/>
      <x:c r="AB345" s="29" t="str">
        <x:v>扩展调研：成长、学习、商业与管理</x:v>
      </x:c>
      <x:c r="AC345" s="29" t="str">
        <x:v>https://www.ben-evans.com/benedictevans?format=rss</x:v>
      </x:c>
      <x:c r="AD345" s="29" t="str">
        <x:v>2026-08-17</x:v>
      </x:c>
      <x:c r="AE345" s="29" t="n">
        <x:v>200</x:v>
      </x:c>
      <x:c r="AF345" s="29" t="str">
        <x:v>https://www.ben-evans.com/benedictevans?format=rss</x:v>
      </x:c>
      <x:c r="AG345" s="29" t="str"/>
    </x:row>
    <x:row r="346" ht="44" customHeight="1">
      <x:c r="A346" s="29" t="str">
        <x:v>SRC-342</x:v>
      </x:c>
      <x:c r="B346" s="29" t="str">
        <x:f>IF(C346&gt;=93,"S",IF(C346&gt;=90,"A",IF(C346&gt;=80,"B","C")))</x:f>
        <x:v>B</x:v>
      </x:c>
      <x:c r="C346" s="72" t="n">
        <x:f>ROUND((P346*0.20+Q346*0.18+R346*0.20+S346*0.15+T346*0.12+U346*0.10+V346*0.05)*20,0)</x:f>
        <x:v>86</x:v>
      </x:c>
      <x:c r="D346" s="29" t="str">
        <x:v>商业、管理与创新</x:v>
      </x:c>
      <x:c r="E346" s="29" t="str">
        <x:v>循证管理与决策</x:v>
      </x:c>
      <x:c r="F346" s="29" t="str">
        <x:v>Center for Evidence-Based Management</x:v>
      </x:c>
      <x:c r="G346" s="29" t="str"/>
      <x:c r="H346" s="29" t="str">
        <x:v>循证管理教材、证据综述、工具、课程与推荐阅读</x:v>
      </x:c>
      <x:c r="I346" s="29" t="str">
        <x:v>en</x:v>
      </x:c>
      <x:c r="J346" s="29" t="str">
        <x:v>解释源</x:v>
      </x:c>
      <x:c r="K346" s="29" t="str">
        <x:v>Freemium</x:v>
      </x:c>
      <x:c r="L346" s="29" t="str">
        <x:v>不定期更新资源</x:v>
      </x:c>
      <x:c r="M346" s="29" t="str">
        <x:v>https://cebma.org/</x:v>
      </x:c>
      <x:c r="N346" s="29" t="str"/>
      <x:c r="O346" s="29" t="str">
        <x:v>无RSS/API入口</x:v>
      </x:c>
      <x:c r="P346" s="72" t="n">
        <x:v>4</x:v>
      </x:c>
      <x:c r="Q346" s="72" t="n">
        <x:v>5</x:v>
      </x:c>
      <x:c r="R346" s="72" t="n">
        <x:v>4</x:v>
      </x:c>
      <x:c r="S346" s="72" t="n">
        <x:v>5</x:v>
      </x:c>
      <x:c r="T346" s="72" t="n">
        <x:v>4</x:v>
      </x:c>
      <x:c r="U346" s="72" t="n">
        <x:v>4</x:v>
      </x:c>
      <x:c r="V346" s="72" t="n">
        <x:v>3</x:v>
      </x:c>
      <x:c r="W346" s="29" t="str">
        <x:v>展示如何把一个管理问题改写成可检验问题，并检查四类证据。</x:v>
      </x:c>
      <x:c r="X346" s="29" t="str">
        <x:v>独立非营利机构，专门训练管理者综合科学、组织、实践者与利益相关者证据。</x:v>
      </x:c>
      <x:c r="Y346" s="29" t="str">
        <x:v>2026-08-17：官网返回200；未发现稳定官方RSS，按资源平台收录，部分课程和综述需会员。</x:v>
      </x:c>
      <x:c r="Z346" s="75" t="b">
        <x:v>0</x:v>
      </x:c>
      <x:c r="AA346" s="29"/>
      <x:c r="AB346" s="29" t="str">
        <x:v>扩展调研：成长、学习、商业与管理</x:v>
      </x:c>
      <x:c r="AC346" s="29" t="str">
        <x:v>https://cebma.org/</x:v>
      </x:c>
      <x:c r="AD346" s="29" t="str">
        <x:v>2026-08-17</x:v>
      </x:c>
      <x:c r="AE346" s="29"/>
      <x:c r="AF346" s="29" t="str"/>
      <x:c r="AG346" s="29" t="str"/>
    </x:row>
    <x:row r="347" ht="44" customHeight="1">
      <x:c r="A347" s="29" t="str">
        <x:v>SRC-343</x:v>
      </x:c>
      <x:c r="B347" s="29" t="str">
        <x:f>IF(C347&gt;=93,"S",IF(C347&gt;=90,"A",IF(C347&gt;=80,"B","C")))</x:f>
        <x:v>B</x:v>
      </x:c>
      <x:c r="C347" s="72" t="n">
        <x:f>ROUND((P347*0.20+Q347*0.18+R347*0.20+S347*0.15+T347*0.12+U347*0.10+V347*0.05)*20,0)</x:f>
        <x:v>86</x:v>
      </x:c>
      <x:c r="D347" s="29" t="str">
        <x:v>商业、管理与创新</x:v>
      </x:c>
      <x:c r="E347" s="29" t="str">
        <x:v>数学、科学与认知</x:v>
      </x:c>
      <x:c r="F347" s="29" t="str">
        <x:v>construction-physics.com</x:v>
      </x:c>
      <x:c r="G347" s="29" t="str">
        <x:v>Brian Potter</x:v>
      </x:c>
      <x:c r="H347" s="29" t="str">
        <x:v>独立博客 / 长文</x:v>
      </x:c>
      <x:c r="I347" s="29" t="str">
        <x:v>en</x:v>
      </x:c>
      <x:c r="J347" s="29" t="str">
        <x:v>解释源</x:v>
      </x:c>
      <x:c r="K347" s="29" t="str">
        <x:v>Open</x:v>
      </x:c>
      <x:c r="L347" s="29" t="str">
        <x:v>不定期</x:v>
      </x:c>
      <x:c r="M347" s="29" t="str">
        <x:v>https://www.construction-physics.com/</x:v>
      </x:c>
      <x:c r="N347" s="29" t="str">
        <x:v>https://www.construction-physics.com/feed</x:v>
      </x:c>
      <x:c r="O347" s="29" t="str">
        <x:v>有效</x:v>
      </x:c>
      <x:c r="P347" s="72" t="n">
        <x:v>4</x:v>
      </x:c>
      <x:c r="Q347" s="72" t="n">
        <x:v>5</x:v>
      </x:c>
      <x:c r="R347" s="72" t="n">
        <x:v>4</x:v>
      </x:c>
      <x:c r="S347" s="72" t="n">
        <x:v>5</x:v>
      </x:c>
      <x:c r="T347" s="72" t="n">
        <x:v>4</x:v>
      </x:c>
      <x:c r="U347" s="72" t="n">
        <x:v>3</x:v>
      </x:c>
      <x:c r="V347" s="72" t="n">
        <x:v>5</x:v>
      </x:c>
      <x:c r="W347" s="29" t="str">
        <x:v>概念解释、反直觉事实、研究脉络；用成本曲线或历史案例解释一个产业瓶颈。</x:v>
      </x:c>
      <x:c r="X347" s="29" t="str">
        <x:v>2025 年 Hacker News 高热个人博客。作者背景：Engineer and writer。</x:v>
      </x:c>
      <x:c r="Y347" s="29" t="str">
        <x:v>独立作者源；事实、数字和因果需回到论文、文档或数据。观点须明确归因。；2026-08-17：官方Substack RSS返回200和有效XML；引用数字时回到文中原始数据。</x:v>
      </x:c>
      <x:c r="Z347" s="75" t="b">
        <x:v>1</x:v>
      </x:c>
      <x:c r="AA347" s="29" t="n">
        <x:v>36</x:v>
      </x:c>
      <x:c r="AB347" s="29" t="str">
        <x:v>Karpathy 分享的 HN 2025 RSS 冷启动集；扩展调研：成长、学习、商业与管理</x:v>
      </x:c>
      <x:c r="AC347" s="29" t="str">
        <x:v>https://gist.github.com/emschwartz/e6d2bf860ccc367fe37ff953ba6de66b；https://www.construction-physics.com/feed</x:v>
      </x:c>
      <x:c r="AD347" s="29" t="str">
        <x:v>2026-08-17</x:v>
      </x:c>
      <x:c r="AE347" s="29" t="n">
        <x:v>200</x:v>
      </x:c>
      <x:c r="AF347" s="29" t="str">
        <x:v>https://www.construction-physics.com/feed</x:v>
      </x:c>
      <x:c r="AG347" s="29" t="str">
        <x:v>construction,engineering,physics</x:v>
      </x:c>
    </x:row>
    <x:row r="348" ht="44" customHeight="1">
      <x:c r="A348" s="29" t="str">
        <x:v>SRC-344</x:v>
      </x:c>
      <x:c r="B348" s="29" t="str">
        <x:f>IF(C348&gt;=93,"S",IF(C348&gt;=90,"A",IF(C348&gt;=80,"B","C")))</x:f>
        <x:v>B</x:v>
      </x:c>
      <x:c r="C348" s="72" t="n">
        <x:f>ROUND((P348*0.20+Q348*0.18+R348*0.20+S348*0.15+T348*0.12+U348*0.10+V348*0.05)*20,0)</x:f>
        <x:v>86</x:v>
      </x:c>
      <x:c r="D348" s="29" t="str">
        <x:v>商业、管理与创新</x:v>
      </x:c>
      <x:c r="E348" s="29" t="str">
        <x:v>创业、产品与组织</x:v>
      </x:c>
      <x:c r="F348" s="29" t="str">
        <x:v>entropicthoughts.com</x:v>
      </x:c>
      <x:c r="G348" s="29" t="str">
        <x:v>Chris</x:v>
      </x:c>
      <x:c r="H348" s="29" t="str">
        <x:v>独立博客 / 长文</x:v>
      </x:c>
      <x:c r="I348" s="29" t="str">
        <x:v>en</x:v>
      </x:c>
      <x:c r="J348" s="29" t="str">
        <x:v>解释源</x:v>
      </x:c>
      <x:c r="K348" s="29" t="str">
        <x:v>Open</x:v>
      </x:c>
      <x:c r="L348" s="29" t="str">
        <x:v>不定期</x:v>
      </x:c>
      <x:c r="M348" s="29" t="str">
        <x:v>https://entropicthoughts.com</x:v>
      </x:c>
      <x:c r="N348" s="29" t="str">
        <x:v>https://entropicthoughts.com/feed.xml</x:v>
      </x:c>
      <x:c r="O348" s="29" t="str">
        <x:v>有效</x:v>
      </x:c>
      <x:c r="P348" s="72" t="n">
        <x:v>4</x:v>
      </x:c>
      <x:c r="Q348" s="72" t="n">
        <x:v>5</x:v>
      </x:c>
      <x:c r="R348" s="72" t="n">
        <x:v>4</x:v>
      </x:c>
      <x:c r="S348" s="72" t="n">
        <x:v>5</x:v>
      </x:c>
      <x:c r="T348" s="72" t="n">
        <x:v>4</x:v>
      </x:c>
      <x:c r="U348" s="72" t="n">
        <x:v>3</x:v>
      </x:c>
      <x:c r="V348" s="72" t="n">
        <x:v>5</x:v>
      </x:c>
      <x:c r="W348" s="29" t="str">
        <x:v>创业经验、产品判断、工程管理</x:v>
      </x:c>
      <x:c r="X348" s="29" t="str">
        <x:v>2025 年 Hacker News 高热个人博客。作者背景：Quant and systems thinker。</x:v>
      </x:c>
      <x:c r="Y348" s="29" t="str">
        <x:v>独立作者源；事实、数字和因果需回到论文、文档或数据。观点须明确归因。</x:v>
      </x:c>
      <x:c r="Z348" s="75" t="b">
        <x:v>1</x:v>
      </x:c>
      <x:c r="AA348" s="29" t="n">
        <x:v>39</x:v>
      </x:c>
      <x:c r="AB348" s="29" t="str">
        <x:v>Karpathy 分享的 HN 2025 RSS 冷启动集</x:v>
      </x:c>
      <x:c r="AC348" s="29" t="str">
        <x:v>https://gist.github.com/emschwartz/e6d2bf860ccc367fe37ff953ba6de66b</x:v>
      </x:c>
      <x:c r="AD348" s="29" t="str">
        <x:v>2026-08-17</x:v>
      </x:c>
      <x:c r="AE348" s="29" t="n">
        <x:v>200</x:v>
      </x:c>
      <x:c r="AF348" s="29" t="str">
        <x:v>https://entropicthoughts.com/feed.xml</x:v>
      </x:c>
      <x:c r="AG348" s="29" t="str">
        <x:v>software, systems thinking, management</x:v>
      </x:c>
    </x:row>
    <x:row r="349" ht="44" customHeight="1">
      <x:c r="A349" s="29" t="str">
        <x:v>SRC-345</x:v>
      </x:c>
      <x:c r="B349" s="29" t="str">
        <x:f>IF(C349&gt;=93,"S",IF(C349&gt;=90,"A",IF(C349&gt;=80,"B","C")))</x:f>
        <x:v>B</x:v>
      </x:c>
      <x:c r="C349" s="72" t="n">
        <x:f>ROUND((P349*0.20+Q349*0.18+R349*0.20+S349*0.15+T349*0.12+U349*0.10+V349*0.05)*20,0)</x:f>
        <x:v>86</x:v>
      </x:c>
      <x:c r="D349" s="29" t="str">
        <x:v>商业、管理与创新</x:v>
      </x:c>
      <x:c r="E349" s="29" t="str">
        <x:v>创业、产品与组织</x:v>
      </x:c>
      <x:c r="F349" s="29" t="str">
        <x:v>evanhahn.com</x:v>
      </x:c>
      <x:c r="G349" s="29" t="str">
        <x:v>Evan Hahn</x:v>
      </x:c>
      <x:c r="H349" s="29" t="str">
        <x:v>独立博客 / 长文</x:v>
      </x:c>
      <x:c r="I349" s="29" t="str">
        <x:v>en</x:v>
      </x:c>
      <x:c r="J349" s="29" t="str">
        <x:v>解释源</x:v>
      </x:c>
      <x:c r="K349" s="29" t="str">
        <x:v>Open</x:v>
      </x:c>
      <x:c r="L349" s="29" t="str">
        <x:v>不定期</x:v>
      </x:c>
      <x:c r="M349" s="29" t="str">
        <x:v>https://evanhahn.com</x:v>
      </x:c>
      <x:c r="N349" s="29" t="str">
        <x:v>https://evanhahn.com/blog/index.xml</x:v>
      </x:c>
      <x:c r="O349" s="29" t="str">
        <x:v>重定向后有效</x:v>
      </x:c>
      <x:c r="P349" s="72" t="n">
        <x:v>4</x:v>
      </x:c>
      <x:c r="Q349" s="72" t="n">
        <x:v>5</x:v>
      </x:c>
      <x:c r="R349" s="72" t="n">
        <x:v>4</x:v>
      </x:c>
      <x:c r="S349" s="72" t="n">
        <x:v>5</x:v>
      </x:c>
      <x:c r="T349" s="72" t="n">
        <x:v>4</x:v>
      </x:c>
      <x:c r="U349" s="72" t="n">
        <x:v>3</x:v>
      </x:c>
      <x:c r="V349" s="72" t="n">
        <x:v>5</x:v>
      </x:c>
      <x:c r="W349" s="29" t="str">
        <x:v>创业经验、产品判断、工程管理</x:v>
      </x:c>
      <x:c r="X349" s="29" t="str">
        <x:v>2025 年 Hacker News 高热个人博客。作者背景：Software developer and author。</x:v>
      </x:c>
      <x:c r="Y349" s="29" t="str">
        <x:v>独立作者源；事实、数字和因果需回到论文、文档或数据。观点须明确归因。</x:v>
      </x:c>
      <x:c r="Z349" s="75" t="b">
        <x:v>1</x:v>
      </x:c>
      <x:c r="AA349" s="29" t="n">
        <x:v>29</x:v>
      </x:c>
      <x:c r="AB349" s="29" t="str">
        <x:v>Karpathy 分享的 HN 2025 RSS 冷启动集</x:v>
      </x:c>
      <x:c r="AC349" s="29" t="str">
        <x:v>https://gist.github.com/emschwartz/e6d2bf860ccc367fe37ff953ba6de66b</x:v>
      </x:c>
      <x:c r="AD349" s="29" t="str">
        <x:v>2026-08-17</x:v>
      </x:c>
      <x:c r="AE349" s="29" t="n">
        <x:v>200</x:v>
      </x:c>
      <x:c r="AF349" s="29" t="str">
        <x:v>https://evanhahn.com/blog/index.xml</x:v>
      </x:c>
      <x:c r="AG349" s="29" t="str">
        <x:v>open-source, JavaScript, productivity</x:v>
      </x:c>
    </x:row>
    <x:row r="350" ht="44" customHeight="1">
      <x:c r="A350" s="29" t="str">
        <x:v>SRC-346</x:v>
      </x:c>
      <x:c r="B350" s="29" t="str">
        <x:f>IF(C350&gt;=93,"S",IF(C350&gt;=90,"A",IF(C350&gt;=80,"B","C")))</x:f>
        <x:v>B</x:v>
      </x:c>
      <x:c r="C350" s="72" t="n">
        <x:f>ROUND((P350*0.20+Q350*0.18+R350*0.20+S350*0.15+T350*0.12+U350*0.10+V350*0.05)*20,0)</x:f>
        <x:v>86</x:v>
      </x:c>
      <x:c r="D350" s="29" t="str">
        <x:v>商业、管理与创新</x:v>
      </x:c>
      <x:c r="E350" s="29" t="str">
        <x:v>管理研究与实践</x:v>
      </x:c>
      <x:c r="F350" s="29" t="str">
        <x:v>Harvard Business Review</x:v>
      </x:c>
      <x:c r="G350" s="29" t="str"/>
      <x:c r="H350" s="29" t="str">
        <x:v>战略、领导力、组织、创新、职业与管理案例</x:v>
      </x:c>
      <x:c r="I350" s="29" t="str">
        <x:v>en</x:v>
      </x:c>
      <x:c r="J350" s="29" t="str">
        <x:v>解释源</x:v>
      </x:c>
      <x:c r="K350" s="29" t="str">
        <x:v>Freemium</x:v>
      </x:c>
      <x:c r="L350" s="29" t="str">
        <x:v>每日多篇</x:v>
      </x:c>
      <x:c r="M350" s="29" t="str">
        <x:v>https://hbr.org/</x:v>
      </x:c>
      <x:c r="N350" s="29" t="str"/>
      <x:c r="O350" s="29" t="str">
        <x:v>无RSS/API入口</x:v>
      </x:c>
      <x:c r="P350" s="72" t="n">
        <x:v>4</x:v>
      </x:c>
      <x:c r="Q350" s="72" t="n">
        <x:v>5</x:v>
      </x:c>
      <x:c r="R350" s="72" t="n">
        <x:v>4</x:v>
      </x:c>
      <x:c r="S350" s="72" t="n">
        <x:v>5</x:v>
      </x:c>
      <x:c r="T350" s="72" t="n">
        <x:v>4</x:v>
      </x:c>
      <x:c r="U350" s="72" t="n">
        <x:v>4</x:v>
      </x:c>
      <x:c r="V350" s="72" t="n">
        <x:v>3</x:v>
      </x:c>
      <x:c r="W350" s="29" t="str">
        <x:v>用一个管理难题组织研究观点、案例和行动清单。</x:v>
      </x:c>
      <x:c r="X350" s="29" t="str">
        <x:v>管理学者与企业实践者共同写作，选题覆盖管理者最常见的决策问题。</x:v>
      </x:c>
      <x:c r="Y350" s="29" t="str">
        <x:v>2026-08-17：官网返回200；未使用不稳定的第三方文章Feed，重要结论应引用具体文章及其研究出处。</x:v>
      </x:c>
      <x:c r="Z350" s="75" t="b">
        <x:v>0</x:v>
      </x:c>
      <x:c r="AA350" s="29"/>
      <x:c r="AB350" s="29" t="str">
        <x:v>扩展调研：成长、学习、商业与管理</x:v>
      </x:c>
      <x:c r="AC350" s="29" t="str">
        <x:v>https://hbr.org/guidelines-for-authors</x:v>
      </x:c>
      <x:c r="AD350" s="29" t="str">
        <x:v>2026-08-17</x:v>
      </x:c>
      <x:c r="AE350" s="29"/>
      <x:c r="AF350" s="29" t="str"/>
      <x:c r="AG350" s="29" t="str"/>
    </x:row>
    <x:row r="351" ht="44" customHeight="1">
      <x:c r="A351" s="29" t="str">
        <x:v>SRC-347</x:v>
      </x:c>
      <x:c r="B351" s="29" t="str">
        <x:f>IF(C351&gt;=93,"S",IF(C351&gt;=90,"A",IF(C351&gt;=80,"B","C")))</x:f>
        <x:v>B</x:v>
      </x:c>
      <x:c r="C351" s="72" t="n">
        <x:f>ROUND((P351*0.20+Q351*0.18+R351*0.20+S351*0.15+T351*0.12+U351*0.10+V351*0.05)*20,0)</x:f>
        <x:v>86</x:v>
      </x:c>
      <x:c r="D351" s="29" t="str">
        <x:v>商业、管理与创新</x:v>
      </x:c>
      <x:c r="E351" s="29" t="str">
        <x:v>创业、产品与组织</x:v>
      </x:c>
      <x:c r="F351" s="29" t="str">
        <x:v>nesbitt.io</x:v>
      </x:c>
      <x:c r="G351" s="29" t="str">
        <x:v>Andrew Nesbitt</x:v>
      </x:c>
      <x:c r="H351" s="29" t="str">
        <x:v>独立博客 / 长文</x:v>
      </x:c>
      <x:c r="I351" s="29" t="str">
        <x:v>en</x:v>
      </x:c>
      <x:c r="J351" s="29" t="str">
        <x:v>解释源</x:v>
      </x:c>
      <x:c r="K351" s="29" t="str">
        <x:v>Open</x:v>
      </x:c>
      <x:c r="L351" s="29" t="str">
        <x:v>不定期</x:v>
      </x:c>
      <x:c r="M351" s="29" t="str">
        <x:v>https://nesbitt.io</x:v>
      </x:c>
      <x:c r="N351" s="29" t="str">
        <x:v>https://nesbitt.io/feed.xml</x:v>
      </x:c>
      <x:c r="O351" s="29" t="str">
        <x:v>有效</x:v>
      </x:c>
      <x:c r="P351" s="72" t="n">
        <x:v>4</x:v>
      </x:c>
      <x:c r="Q351" s="72" t="n">
        <x:v>5</x:v>
      </x:c>
      <x:c r="R351" s="72" t="n">
        <x:v>4</x:v>
      </x:c>
      <x:c r="S351" s="72" t="n">
        <x:v>5</x:v>
      </x:c>
      <x:c r="T351" s="72" t="n">
        <x:v>4</x:v>
      </x:c>
      <x:c r="U351" s="72" t="n">
        <x:v>3</x:v>
      </x:c>
      <x:c r="V351" s="72" t="n">
        <x:v>5</x:v>
      </x:c>
      <x:c r="W351" s="29" t="str">
        <x:v>创业经验、产品判断、工程管理</x:v>
      </x:c>
      <x:c r="X351" s="29" t="str">
        <x:v>2025 年 Hacker News 高热个人博客。作者背景：Software engineer and researcher。</x:v>
      </x:c>
      <x:c r="Y351" s="29" t="str">
        <x:v>独立作者源；事实、数字和因果需回到论文、文档或数据。观点须明确归因。</x:v>
      </x:c>
      <x:c r="Z351" s="75" t="b">
        <x:v>1</x:v>
      </x:c>
      <x:c r="AA351" s="29" t="n">
        <x:v>35</x:v>
      </x:c>
      <x:c r="AB351" s="29" t="str">
        <x:v>Karpathy 分享的 HN 2025 RSS 冷启动集</x:v>
      </x:c>
      <x:c r="AC351" s="29" t="str">
        <x:v>https://gist.github.com/emschwartz/e6d2bf860ccc367fe37ff953ba6de66b</x:v>
      </x:c>
      <x:c r="AD351" s="29" t="str">
        <x:v>2026-08-17</x:v>
      </x:c>
      <x:c r="AE351" s="29" t="n">
        <x:v>200</x:v>
      </x:c>
      <x:c r="AF351" s="29" t="str">
        <x:v>https://nesbitt.io/feed.xml</x:v>
      </x:c>
      <x:c r="AG351" s="29" t="str">
        <x:v>open source, package management, data</x:v>
      </x:c>
    </x:row>
    <x:row r="352" ht="44" customHeight="1">
      <x:c r="A352" s="29" t="str">
        <x:v>SRC-348</x:v>
      </x:c>
      <x:c r="B352" s="29" t="str">
        <x:f>IF(C352&gt;=93,"S",IF(C352&gt;=90,"A",IF(C352&gt;=80,"B","C")))</x:f>
        <x:v>B</x:v>
      </x:c>
      <x:c r="C352" s="72" t="n">
        <x:f>ROUND((P352*0.20+Q352*0.18+R352*0.20+S352*0.15+T352*0.12+U352*0.10+V352*0.05)*20,0)</x:f>
        <x:v>86</x:v>
      </x:c>
      <x:c r="D352" s="29" t="str">
        <x:v>商业、管理与创新</x:v>
      </x:c>
      <x:c r="E352" s="29" t="str">
        <x:v>科技战略与商业模式</x:v>
      </x:c>
      <x:c r="F352" s="29" t="str">
        <x:v>Stratechery</x:v>
      </x:c>
      <x:c r="G352" s="29" t="str"/>
      <x:c r="H352" s="29" t="str">
        <x:v>科技公司战略、聚合理论、平台商业模式、监管与市场分析</x:v>
      </x:c>
      <x:c r="I352" s="29" t="str">
        <x:v>en</x:v>
      </x:c>
      <x:c r="J352" s="29" t="str">
        <x:v>解释源</x:v>
      </x:c>
      <x:c r="K352" s="29" t="str">
        <x:v>Freemium</x:v>
      </x:c>
      <x:c r="L352" s="29" t="str">
        <x:v>每周约3至5篇</x:v>
      </x:c>
      <x:c r="M352" s="29" t="str">
        <x:v>https://stratechery.com/</x:v>
      </x:c>
      <x:c r="N352" s="29" t="str">
        <x:v>https://stratechery.com/feed/</x:v>
      </x:c>
      <x:c r="O352" s="29" t="str">
        <x:v>有效</x:v>
      </x:c>
      <x:c r="P352" s="72" t="n">
        <x:v>4</x:v>
      </x:c>
      <x:c r="Q352" s="72" t="n">
        <x:v>5</x:v>
      </x:c>
      <x:c r="R352" s="72" t="n">
        <x:v>4</x:v>
      </x:c>
      <x:c r="S352" s="72" t="n">
        <x:v>5</x:v>
      </x:c>
      <x:c r="T352" s="72" t="n">
        <x:v>4</x:v>
      </x:c>
      <x:c r="U352" s="72" t="n">
        <x:v>4</x:v>
      </x:c>
      <x:c r="V352" s="72" t="n">
        <x:v>3</x:v>
      </x:c>
      <x:c r="W352" s="29" t="str">
        <x:v>事件加商业模式机制加长期竞争格局的三层分析。</x:v>
      </x:c>
      <x:c r="X352" s="29" t="str">
        <x:v>形成了高度一致的科技商业分析框架，适合从单一新闻提升到结构性解释。</x:v>
      </x:c>
      <x:c r="Y352" s="29" t="str">
        <x:v>2026-08-17：官方RSS返回200和有效XML；付费内容可能只显示摘要，观点应与公司披露和数据对照。</x:v>
      </x:c>
      <x:c r="Z352" s="75" t="b">
        <x:v>0</x:v>
      </x:c>
      <x:c r="AA352" s="29"/>
      <x:c r="AB352" s="29" t="str">
        <x:v>扩展调研：成长、学习、商业与管理</x:v>
      </x:c>
      <x:c r="AC352" s="29" t="str">
        <x:v>https://stratechery.com/feed/</x:v>
      </x:c>
      <x:c r="AD352" s="29" t="str">
        <x:v>2026-08-17</x:v>
      </x:c>
      <x:c r="AE352" s="29" t="n">
        <x:v>200</x:v>
      </x:c>
      <x:c r="AF352" s="29" t="str">
        <x:v>https://stratechery.com/feed/</x:v>
      </x:c>
      <x:c r="AG352" s="29" t="str"/>
    </x:row>
    <x:row r="353" ht="44" customHeight="1">
      <x:c r="A353" s="29" t="str">
        <x:v>SRC-349</x:v>
      </x:c>
      <x:c r="B353" s="29" t="str">
        <x:f>IF(C353&gt;=93,"S",IF(C353&gt;=90,"A",IF(C353&gt;=80,"B","C")))</x:f>
        <x:v>B</x:v>
      </x:c>
      <x:c r="C353" s="72" t="n">
        <x:f>ROUND((P353*0.20+Q353*0.18+R353*0.20+S353*0.15+T353*0.12+U353*0.10+V353*0.05)*20,0)</x:f>
        <x:v>86</x:v>
      </x:c>
      <x:c r="D353" s="29" t="str">
        <x:v>商业、管理与创新</x:v>
      </x:c>
      <x:c r="E353" s="29" t="str">
        <x:v>工作论文、研究报告与中国管理实践</x:v>
      </x:c>
      <x:c r="F353" s="29" t="str">
        <x:v>中欧国际工商学院研究</x:v>
      </x:c>
      <x:c r="G353" s="29" t="str"/>
      <x:c r="H353" s="29" t="str">
        <x:v>商学院研究与案例平台</x:v>
      </x:c>
      <x:c r="I353" s="29" t="str">
        <x:v>zh-CN</x:v>
      </x:c>
      <x:c r="J353" s="29" t="str">
        <x:v>解释源</x:v>
      </x:c>
      <x:c r="K353" s="29" t="str">
        <x:v>Varies</x:v>
      </x:c>
      <x:c r="L353" s="29" t="str">
        <x:v>持续更新</x:v>
      </x:c>
      <x:c r="M353" s="29" t="str">
        <x:v>https://cn.ceibs.edu/faculty/research</x:v>
      </x:c>
      <x:c r="N353" s="29" t="str"/>
      <x:c r="O353" s="29" t="str">
        <x:v>无RSS/API入口</x:v>
      </x:c>
      <x:c r="P353" s="72" t="n">
        <x:v>4</x:v>
      </x:c>
      <x:c r="Q353" s="72" t="n">
        <x:v>5</x:v>
      </x:c>
      <x:c r="R353" s="72" t="n">
        <x:v>4</x:v>
      </x:c>
      <x:c r="S353" s="72" t="n">
        <x:v>5</x:v>
      </x:c>
      <x:c r="T353" s="72" t="n">
        <x:v>4</x:v>
      </x:c>
      <x:c r="U353" s="72" t="n">
        <x:v>4</x:v>
      </x:c>
      <x:c r="V353" s="72" t="n">
        <x:v>3</x:v>
      </x:c>
      <x:c r="W353" s="29" t="str">
        <x:v>管理研究、组织案例、中国与全球商业比较</x:v>
      </x:c>
      <x:c r="X353" s="29" t="str">
        <x:v>集中提供工作论文、研究报告、前沿观点、案例中心与研究机构入口。</x:v>
      </x:c>
      <x:c r="Y353" s="29" t="str">
        <x:v>优先引用完整研究报告；商业活动与媒体稿仅作线索，注意案例和报告版权。</x:v>
      </x:c>
      <x:c r="Z353" s="75" t="b">
        <x:v>0</x:v>
      </x:c>
      <x:c r="AA353" s="29"/>
      <x:c r="AB353" s="29" t="str">
        <x:v>扩展调研：中文心理、健康与商业机构</x:v>
      </x:c>
      <x:c r="AC353" s="29" t="str">
        <x:v>https://cn.ceibs.edu/faculty/research</x:v>
      </x:c>
      <x:c r="AD353" s="29" t="str">
        <x:v>2026-08-17</x:v>
      </x:c>
      <x:c r="AE353" s="29"/>
      <x:c r="AF353" s="29" t="str"/>
      <x:c r="AG353" s="29" t="str"/>
    </x:row>
    <x:row r="354" ht="44" customHeight="1">
      <x:c r="A354" s="29" t="str">
        <x:v>SRC-350</x:v>
      </x:c>
      <x:c r="B354" s="29" t="str">
        <x:f>IF(C354&gt;=93,"S",IF(C354&gt;=90,"A",IF(C354&gt;=80,"B","C")))</x:f>
        <x:v>B</x:v>
      </x:c>
      <x:c r="C354" s="72" t="n">
        <x:f>ROUND((P354*0.20+Q354*0.18+R354*0.20+S354*0.15+T354*0.12+U354*0.10+V354*0.05)*20,0)</x:f>
        <x:v>86</x:v>
      </x:c>
      <x:c r="D354" s="29" t="str">
        <x:v>成长与学习</x:v>
      </x:c>
      <x:c r="E354" s="29" t="str">
        <x:v>思维模型与决策</x:v>
      </x:c>
      <x:c r="F354" s="29" t="str">
        <x:v>Farnam Street</x:v>
      </x:c>
      <x:c r="G354" s="29" t="str"/>
      <x:c r="H354" s="29" t="str">
        <x:v>思维模型、决策、阅读笔记、人物访谈与长期主义</x:v>
      </x:c>
      <x:c r="I354" s="29" t="str">
        <x:v>en</x:v>
      </x:c>
      <x:c r="J354" s="29" t="str">
        <x:v>解释源</x:v>
      </x:c>
      <x:c r="K354" s="29" t="str">
        <x:v>Freemium</x:v>
      </x:c>
      <x:c r="L354" s="29" t="str">
        <x:v>每周至每月数篇</x:v>
      </x:c>
      <x:c r="M354" s="29" t="str">
        <x:v>https://fs.blog/</x:v>
      </x:c>
      <x:c r="N354" s="29" t="str">
        <x:v>https://fs.blog/feed/</x:v>
      </x:c>
      <x:c r="O354" s="29" t="str">
        <x:v>有效</x:v>
      </x:c>
      <x:c r="P354" s="72" t="n">
        <x:v>4</x:v>
      </x:c>
      <x:c r="Q354" s="72" t="n">
        <x:v>5</x:v>
      </x:c>
      <x:c r="R354" s="72" t="n">
        <x:v>4</x:v>
      </x:c>
      <x:c r="S354" s="72" t="n">
        <x:v>5</x:v>
      </x:c>
      <x:c r="T354" s="72" t="n">
        <x:v>4</x:v>
      </x:c>
      <x:c r="U354" s="72" t="n">
        <x:v>4</x:v>
      </x:c>
      <x:c r="V354" s="72" t="n">
        <x:v>3</x:v>
      </x:c>
      <x:c r="W354" s="29" t="str">
        <x:v>一个思维模型加一个反例加一个决策检查问题。</x:v>
      </x:c>
      <x:c r="X354" s="29" t="str">
        <x:v>擅长把跨学科思想整理为可复用框架，是高密度观点和类比的良好入口。</x:v>
      </x:c>
      <x:c r="Y354" s="29" t="str">
        <x:v>2026-08-17：官方RSS返回200和有效XML；其文章多为综合解释，事实主张需回到原始研究。</x:v>
      </x:c>
      <x:c r="Z354" s="75" t="b">
        <x:v>0</x:v>
      </x:c>
      <x:c r="AA354" s="29"/>
      <x:c r="AB354" s="29" t="str">
        <x:v>扩展调研：成长、学习、商业与管理</x:v>
      </x:c>
      <x:c r="AC354" s="29" t="str">
        <x:v>https://fs.blog/feed/</x:v>
      </x:c>
      <x:c r="AD354" s="29" t="str">
        <x:v>2026-08-17</x:v>
      </x:c>
      <x:c r="AE354" s="29" t="n">
        <x:v>200</x:v>
      </x:c>
      <x:c r="AF354" s="29" t="str">
        <x:v>https://fs.blog/feed/</x:v>
      </x:c>
      <x:c r="AG354" s="29" t="str"/>
    </x:row>
    <x:row r="355" ht="44" customHeight="1">
      <x:c r="A355" s="29" t="str">
        <x:v>SRC-351</x:v>
      </x:c>
      <x:c r="B355" s="29" t="str">
        <x:f>IF(C355&gt;=93,"S",IF(C355&gt;=90,"A",IF(C355&gt;=80,"B","C")))</x:f>
        <x:v>B</x:v>
      </x:c>
      <x:c r="C355" s="72" t="n">
        <x:f>ROUND((P355*0.20+Q355*0.18+R355*0.20+S355*0.15+T355*0.12+U355*0.10+V355*0.05)*20,0)</x:f>
        <x:v>86</x:v>
      </x:c>
      <x:c r="D355" s="29" t="str">
        <x:v>成长与学习</x:v>
      </x:c>
      <x:c r="E355" s="29" t="str">
        <x:v>技术领导力与团队管理</x:v>
      </x:c>
      <x:c r="F355" s="29" t="str">
        <x:v>LeadDev</x:v>
      </x:c>
      <x:c r="G355" s="29" t="str"/>
      <x:c r="H355" s="29" t="str">
        <x:v>工程领导力、团队流程、组织设计、职业转型与会议内容</x:v>
      </x:c>
      <x:c r="I355" s="29" t="str">
        <x:v>en</x:v>
      </x:c>
      <x:c r="J355" s="29" t="str">
        <x:v>解释源</x:v>
      </x:c>
      <x:c r="K355" s="29" t="str">
        <x:v>Freemium</x:v>
      </x:c>
      <x:c r="L355" s="29" t="str">
        <x:v>每周多篇</x:v>
      </x:c>
      <x:c r="M355" s="29" t="str">
        <x:v>https://leaddev.com/</x:v>
      </x:c>
      <x:c r="N355" s="29" t="str"/>
      <x:c r="O355" s="29" t="str">
        <x:v>无RSS/API入口</x:v>
      </x:c>
      <x:c r="P355" s="72" t="n">
        <x:v>4</x:v>
      </x:c>
      <x:c r="Q355" s="72" t="n">
        <x:v>5</x:v>
      </x:c>
      <x:c r="R355" s="72" t="n">
        <x:v>4</x:v>
      </x:c>
      <x:c r="S355" s="72" t="n">
        <x:v>5</x:v>
      </x:c>
      <x:c r="T355" s="72" t="n">
        <x:v>4</x:v>
      </x:c>
      <x:c r="U355" s="72" t="n">
        <x:v>4</x:v>
      </x:c>
      <x:c r="V355" s="72" t="n">
        <x:v>3</x:v>
      </x:c>
      <x:c r="W355" s="29" t="str">
        <x:v>把技术主管的模糊问题转成团队机制、对话模板和复盘问题。</x:v>
      </x:c>
      <x:c r="X355" s="29" t="str">
        <x:v>聚焦技术主管真实工作，兼有从业者文章、演讲和团队管理案例。</x:v>
      </x:c>
      <x:c r="Y355" s="29" t="str">
        <x:v>2026-08-17：官网返回200；本轮未发现稳定官方统一RSS，按平台收录。</x:v>
      </x:c>
      <x:c r="Z355" s="75" t="b">
        <x:v>0</x:v>
      </x:c>
      <x:c r="AA355" s="29"/>
      <x:c r="AB355" s="29" t="str">
        <x:v>扩展调研：成长、学习、商业与管理</x:v>
      </x:c>
      <x:c r="AC355" s="29" t="str">
        <x:v>https://leaddev.com/</x:v>
      </x:c>
      <x:c r="AD355" s="29" t="str">
        <x:v>2026-08-17</x:v>
      </x:c>
      <x:c r="AE355" s="29"/>
      <x:c r="AF355" s="29" t="str"/>
      <x:c r="AG355" s="29" t="str"/>
    </x:row>
    <x:row r="356" ht="44" customHeight="1">
      <x:c r="A356" s="29" t="str">
        <x:v>SRC-352</x:v>
      </x:c>
      <x:c r="B356" s="29" t="str">
        <x:f>IF(C356&gt;=93,"S",IF(C356&gt;=90,"A",IF(C356&gt;=80,"B","C")))</x:f>
        <x:v>B</x:v>
      </x:c>
      <x:c r="C356" s="72" t="n">
        <x:f>ROUND((P356*0.20+Q356*0.18+R356*0.20+S356*0.15+T356*0.12+U356*0.10+V356*0.05)*20,0)</x:f>
        <x:v>86</x:v>
      </x:c>
      <x:c r="D356" s="29" t="str">
        <x:v>成长与学习</x:v>
      </x:c>
      <x:c r="E356" s="29" t="str">
        <x:v>元认知与知识工作</x:v>
      </x:c>
      <x:c r="F356" s="29" t="str">
        <x:v>Ness Labs</x:v>
      </x:c>
      <x:c r="G356" s="29" t="str"/>
      <x:c r="H356" s="29" t="str">
        <x:v>元认知、创造力、知识管理、实验式成长与访谈</x:v>
      </x:c>
      <x:c r="I356" s="29" t="str">
        <x:v>en</x:v>
      </x:c>
      <x:c r="J356" s="29" t="str">
        <x:v>解释源</x:v>
      </x:c>
      <x:c r="K356" s="29" t="str">
        <x:v>Freemium</x:v>
      </x:c>
      <x:c r="L356" s="29" t="str">
        <x:v>每周约1至3篇</x:v>
      </x:c>
      <x:c r="M356" s="29" t="str">
        <x:v>https://nesslabs.com/</x:v>
      </x:c>
      <x:c r="N356" s="29" t="str">
        <x:v>https://nesslabs.com/feed</x:v>
      </x:c>
      <x:c r="O356" s="29" t="str">
        <x:v>有效</x:v>
      </x:c>
      <x:c r="P356" s="72" t="n">
        <x:v>4</x:v>
      </x:c>
      <x:c r="Q356" s="72" t="n">
        <x:v>5</x:v>
      </x:c>
      <x:c r="R356" s="72" t="n">
        <x:v>4</x:v>
      </x:c>
      <x:c r="S356" s="72" t="n">
        <x:v>5</x:v>
      </x:c>
      <x:c r="T356" s="72" t="n">
        <x:v>4</x:v>
      </x:c>
      <x:c r="U356" s="72" t="n">
        <x:v>4</x:v>
      </x:c>
      <x:c r="V356" s="72" t="n">
        <x:v>3</x:v>
      </x:c>
      <x:c r="W356" s="29" t="str">
        <x:v>从研究概念出发设计一个七天小实验。</x:v>
      </x:c>
      <x:c r="X356" s="29" t="str">
        <x:v>把认知科学、创作者实践和个人实验结合，适合产生温和但可执行的成长内容。</x:v>
      </x:c>
      <x:c r="Y356" s="29" t="str">
        <x:v>2026-08-17：官方RSS返回200和有效XML；科学性主张建议点击文中原论文核对。</x:v>
      </x:c>
      <x:c r="Z356" s="75" t="b">
        <x:v>0</x:v>
      </x:c>
      <x:c r="AA356" s="29"/>
      <x:c r="AB356" s="29" t="str">
        <x:v>扩展调研：成长、学习、商业与管理</x:v>
      </x:c>
      <x:c r="AC356" s="29" t="str">
        <x:v>https://nesslabs.com/feed</x:v>
      </x:c>
      <x:c r="AD356" s="29" t="str">
        <x:v>2026-08-17</x:v>
      </x:c>
      <x:c r="AE356" s="29" t="n">
        <x:v>200</x:v>
      </x:c>
      <x:c r="AF356" s="29" t="str">
        <x:v>https://nesslabs.com/feed</x:v>
      </x:c>
      <x:c r="AG356" s="29" t="str"/>
    </x:row>
    <x:row r="357" ht="44" customHeight="1">
      <x:c r="A357" s="29" t="str">
        <x:v>SRC-353</x:v>
      </x:c>
      <x:c r="B357" s="29" t="str">
        <x:f>IF(C357&gt;=93,"S",IF(C357&gt;=90,"A",IF(C357&gt;=80,"B","C")))</x:f>
        <x:v>B</x:v>
      </x:c>
      <x:c r="C357" s="72" t="n">
        <x:f>ROUND((P357*0.20+Q357*0.18+R357*0.20+S357*0.15+T357*0.12+U357*0.10+V357*0.05)*20,0)</x:f>
        <x:v>86</x:v>
      </x:c>
      <x:c r="D357" s="29" t="str">
        <x:v>成长与学习</x:v>
      </x:c>
      <x:c r="E357" s="29" t="str">
        <x:v>工程职业与技术管理</x:v>
      </x:c>
      <x:c r="F357" s="29" t="str">
        <x:v>The Pragmatic Engineer</x:v>
      </x:c>
      <x:c r="G357" s="29" t="str"/>
      <x:c r="H357" s="29" t="str">
        <x:v>技术行业调查、工程管理、职业发展、薪酬与公司实践</x:v>
      </x:c>
      <x:c r="I357" s="29" t="str">
        <x:v>en</x:v>
      </x:c>
      <x:c r="J357" s="29" t="str">
        <x:v>解释源</x:v>
      </x:c>
      <x:c r="K357" s="29" t="str">
        <x:v>Freemium</x:v>
      </x:c>
      <x:c r="L357" s="29" t="str">
        <x:v>每周约2至4篇</x:v>
      </x:c>
      <x:c r="M357" s="29" t="str">
        <x:v>https://blog.pragmaticengineer.com/</x:v>
      </x:c>
      <x:c r="N357" s="29" t="str">
        <x:v>https://blog.pragmaticengineer.com/rss/</x:v>
      </x:c>
      <x:c r="O357" s="29" t="str">
        <x:v>有效</x:v>
      </x:c>
      <x:c r="P357" s="72" t="n">
        <x:v>4</x:v>
      </x:c>
      <x:c r="Q357" s="72" t="n">
        <x:v>5</x:v>
      </x:c>
      <x:c r="R357" s="72" t="n">
        <x:v>4</x:v>
      </x:c>
      <x:c r="S357" s="72" t="n">
        <x:v>5</x:v>
      </x:c>
      <x:c r="T357" s="72" t="n">
        <x:v>4</x:v>
      </x:c>
      <x:c r="U357" s="72" t="n">
        <x:v>4</x:v>
      </x:c>
      <x:c r="V357" s="72" t="n">
        <x:v>3</x:v>
      </x:c>
      <x:c r="W357" s="29" t="str">
        <x:v>行业数据加公司案例加给从业者的具体建议。</x:v>
      </x:c>
      <x:c r="X357" s="29" t="str">
        <x:v>重视一手采访和行业数据，对技术组织与工程师职业的观察密度高。</x:v>
      </x:c>
      <x:c r="Y357" s="29" t="str">
        <x:v>2026-08-17：官方RSS返回200和有效XML；付费文章可能仅在Feed提供摘要。</x:v>
      </x:c>
      <x:c r="Z357" s="75" t="b">
        <x:v>0</x:v>
      </x:c>
      <x:c r="AA357" s="29"/>
      <x:c r="AB357" s="29" t="str">
        <x:v>扩展调研：成长、学习、商业与管理</x:v>
      </x:c>
      <x:c r="AC357" s="29" t="str">
        <x:v>https://blog.pragmaticengineer.com/rss/</x:v>
      </x:c>
      <x:c r="AD357" s="29" t="str">
        <x:v>2026-08-17</x:v>
      </x:c>
      <x:c r="AE357" s="29" t="n">
        <x:v>200</x:v>
      </x:c>
      <x:c r="AF357" s="29" t="str">
        <x:v>https://blog.pragmaticengineer.com/rss/</x:v>
      </x:c>
      <x:c r="AG357" s="29" t="str"/>
    </x:row>
    <x:row r="358" ht="44" customHeight="1">
      <x:c r="A358" s="29" t="str">
        <x:v>SRC-354</x:v>
      </x:c>
      <x:c r="B358" s="29" t="str">
        <x:f>IF(C358&gt;=93,"S",IF(C358&gt;=90,"A",IF(C358&gt;=80,"B","C")))</x:f>
        <x:v>B</x:v>
      </x:c>
      <x:c r="C358" s="72" t="n">
        <x:f>ROUND((P358*0.20+Q358*0.18+R358*0.20+S358*0.15+T358*0.12+U358*0.10+V358*0.05)*20,0)</x:f>
        <x:v>86</x:v>
      </x:c>
      <x:c r="D358" s="29" t="str">
        <x:v>数据与可视化</x:v>
      </x:c>
      <x:c r="E358" s="29" t="str">
        <x:v>数据、统计与可视化</x:v>
      </x:c>
      <x:c r="F358" s="29" t="str">
        <x:v>johndcook.com</x:v>
      </x:c>
      <x:c r="G358" s="29" t="str">
        <x:v>John D. Cook</x:v>
      </x:c>
      <x:c r="H358" s="29" t="str">
        <x:v>独立博客 / 长文</x:v>
      </x:c>
      <x:c r="I358" s="29" t="str">
        <x:v>en</x:v>
      </x:c>
      <x:c r="J358" s="29" t="str">
        <x:v>解释源</x:v>
      </x:c>
      <x:c r="K358" s="29" t="str">
        <x:v>Open</x:v>
      </x:c>
      <x:c r="L358" s="29" t="str">
        <x:v>不定期</x:v>
      </x:c>
      <x:c r="M358" s="29" t="str">
        <x:v>https://johndcook.com</x:v>
      </x:c>
      <x:c r="N358" s="29" t="str">
        <x:v>https://www.johndcook.com/blog/feed/</x:v>
      </x:c>
      <x:c r="O358" s="29" t="str">
        <x:v>有效</x:v>
      </x:c>
      <x:c r="P358" s="72" t="n">
        <x:v>4</x:v>
      </x:c>
      <x:c r="Q358" s="72" t="n">
        <x:v>5</x:v>
      </x:c>
      <x:c r="R358" s="72" t="n">
        <x:v>4</x:v>
      </x:c>
      <x:c r="S358" s="72" t="n">
        <x:v>5</x:v>
      </x:c>
      <x:c r="T358" s="72" t="n">
        <x:v>4</x:v>
      </x:c>
      <x:c r="U358" s="72" t="n">
        <x:v>3</x:v>
      </x:c>
      <x:c r="V358" s="72" t="n">
        <x:v>5</x:v>
      </x:c>
      <x:c r="W358" s="29" t="str">
        <x:v>数据图解、统计误区、可视化方法</x:v>
      </x:c>
      <x:c r="X358" s="29" t="str">
        <x:v>2025 年 Hacker News 高热个人博客。作者背景：Consultant and mathematician。</x:v>
      </x:c>
      <x:c r="Y358" s="29" t="str">
        <x:v>独立作者源；事实、数字和因果需回到论文、文档或数据。观点须明确归因。</x:v>
      </x:c>
      <x:c r="Z358" s="75" t="b">
        <x:v>1</x:v>
      </x:c>
      <x:c r="AA358" s="29" t="n">
        <x:v>25</x:v>
      </x:c>
      <x:c r="AB358" s="29" t="str">
        <x:v>Karpathy 分享的 HN 2025 RSS 冷启动集</x:v>
      </x:c>
      <x:c r="AC358" s="29" t="str">
        <x:v>https://gist.github.com/emschwartz/e6d2bf860ccc367fe37ff953ba6de66b</x:v>
      </x:c>
      <x:c r="AD358" s="29" t="str">
        <x:v>2026-08-17</x:v>
      </x:c>
      <x:c r="AE358" s="29" t="n">
        <x:v>200</x:v>
      </x:c>
      <x:c r="AF358" s="29" t="str">
        <x:v>https://www.johndcook.com/blog/feed/</x:v>
      </x:c>
      <x:c r="AG358" s="29" t="str">
        <x:v>mathematics, statistics, software development</x:v>
      </x:c>
    </x:row>
    <x:row r="359" ht="44" customHeight="1">
      <x:c r="A359" s="29" t="str">
        <x:v>SRC-355</x:v>
      </x:c>
      <x:c r="B359" s="29" t="str">
        <x:f>IF(C359&gt;=93,"S",IF(C359&gt;=90,"A",IF(C359&gt;=80,"B","C")))</x:f>
        <x:v>B</x:v>
      </x:c>
      <x:c r="C359" s="72" t="n">
        <x:f>ROUND((P359*0.20+Q359*0.18+R359*0.20+S359*0.15+T359*0.12+U359*0.10+V359*0.05)*20,0)</x:f>
        <x:v>86</x:v>
      </x:c>
      <x:c r="D359" s="29" t="str">
        <x:v>新闻与调查</x:v>
      </x:c>
      <x:c r="E359" s="29" t="str">
        <x:v>科技科学与政策</x:v>
      </x:c>
      <x:c r="F359" s="29" t="str">
        <x:v>Ars Technica</x:v>
      </x:c>
      <x:c r="G359" s="29" t="str"/>
      <x:c r="H359" s="29" t="str">
        <x:v>科技、科学、安全和政策新闻与深文</x:v>
      </x:c>
      <x:c r="I359" s="29" t="str">
        <x:v>en</x:v>
      </x:c>
      <x:c r="J359" s="29" t="str">
        <x:v>解释源</x:v>
      </x:c>
      <x:c r="K359" s="29" t="str">
        <x:v>Freemium</x:v>
      </x:c>
      <x:c r="L359" s="29" t="str">
        <x:v>每日多篇</x:v>
      </x:c>
      <x:c r="M359" s="29" t="str">
        <x:v>https://arstechnica.com/</x:v>
      </x:c>
      <x:c r="N359" s="29" t="str">
        <x:v>https://feeds.arstechnica.com/arstechnica/index</x:v>
      </x:c>
      <x:c r="O359" s="29" t="str">
        <x:v>有效</x:v>
      </x:c>
      <x:c r="P359" s="72" t="n">
        <x:v>4</x:v>
      </x:c>
      <x:c r="Q359" s="72" t="n">
        <x:v>5</x:v>
      </x:c>
      <x:c r="R359" s="72" t="n">
        <x:v>4</x:v>
      </x:c>
      <x:c r="S359" s="72" t="n">
        <x:v>5</x:v>
      </x:c>
      <x:c r="T359" s="72" t="n">
        <x:v>4</x:v>
      </x:c>
      <x:c r="U359" s="72" t="n">
        <x:v>4</x:v>
      </x:c>
      <x:c r="V359" s="72" t="n">
        <x:v>3</x:v>
      </x:c>
      <x:c r="W359" s="29" t="str">
        <x:v>技术新闻、政策影响、安全事件</x:v>
      </x:c>
      <x:c r="X359" s="29" t="str">
        <x:v>编辑与技术背景强，正文通常有足够机制和语境。</x:v>
      </x:c>
      <x:c r="Y359" s="29" t="str">
        <x:v>RSS端点已核验；关键数字仍应追到原始报告。</x:v>
      </x:c>
      <x:c r="Z359" s="75" t="b">
        <x:v>0</x:v>
      </x:c>
      <x:c r="AA359" s="29"/>
      <x:c r="AB359" s="29" t="str">
        <x:v>扩展调研：科技、科学与数据</x:v>
      </x:c>
      <x:c r="AC359" s="29" t="str">
        <x:v>https://feeds.arstechnica.com/arstechnica/index</x:v>
      </x:c>
      <x:c r="AD359" s="29" t="str">
        <x:v>2026-08-17</x:v>
      </x:c>
      <x:c r="AE359" s="29" t="n">
        <x:v>200</x:v>
      </x:c>
      <x:c r="AF359" s="29" t="str">
        <x:v>https://feeds.arstechnica.com/arstechnica/index</x:v>
      </x:c>
      <x:c r="AG359" s="29" t="str"/>
    </x:row>
    <x:row r="360" ht="44" customHeight="1">
      <x:c r="A360" s="29" t="str">
        <x:v>SRC-356</x:v>
      </x:c>
      <x:c r="B360" s="29" t="str">
        <x:f>IF(C360&gt;=93,"S",IF(C360&gt;=90,"A",IF(C360&gt;=80,"B","C")))</x:f>
        <x:v>B</x:v>
      </x:c>
      <x:c r="C360" s="72" t="n">
        <x:f>ROUND((P360*0.20+Q360*0.18+R360*0.20+S360*0.15+T360*0.12+U360*0.10+V360*0.05)*20,0)</x:f>
        <x:v>86</x:v>
      </x:c>
      <x:c r="D360" s="29" t="str">
        <x:v>新闻与调查</x:v>
      </x:c>
      <x:c r="E360" s="29" t="str">
        <x:v>前沿技术与社会</x:v>
      </x:c>
      <x:c r="F360" s="29" t="str">
        <x:v>MIT Technology Review</x:v>
      </x:c>
      <x:c r="G360" s="29" t="str"/>
      <x:c r="H360" s="29" t="str">
        <x:v>AI、生物科技、气候、计算新闻与深度分析</x:v>
      </x:c>
      <x:c r="I360" s="29" t="str">
        <x:v>en</x:v>
      </x:c>
      <x:c r="J360" s="29" t="str">
        <x:v>解释源</x:v>
      </x:c>
      <x:c r="K360" s="29" t="str">
        <x:v>Freemium</x:v>
      </x:c>
      <x:c r="L360" s="29" t="str">
        <x:v>每日</x:v>
      </x:c>
      <x:c r="M360" s="29" t="str">
        <x:v>https://www.technologyreview.com/</x:v>
      </x:c>
      <x:c r="N360" s="29" t="str">
        <x:v>https://www.technologyreview.com/feed/</x:v>
      </x:c>
      <x:c r="O360" s="29" t="str">
        <x:v>重定向后有效</x:v>
      </x:c>
      <x:c r="P360" s="72" t="n">
        <x:v>4</x:v>
      </x:c>
      <x:c r="Q360" s="72" t="n">
        <x:v>5</x:v>
      </x:c>
      <x:c r="R360" s="72" t="n">
        <x:v>4</x:v>
      </x:c>
      <x:c r="S360" s="72" t="n">
        <x:v>5</x:v>
      </x:c>
      <x:c r="T360" s="72" t="n">
        <x:v>4</x:v>
      </x:c>
      <x:c r="U360" s="72" t="n">
        <x:v>4</x:v>
      </x:c>
      <x:c r="V360" s="72" t="n">
        <x:v>3</x:v>
      </x:c>
      <x:c r="W360" s="29" t="str">
        <x:v>前沿技术解释、趋势判断、专题摘要</x:v>
      </x:c>
      <x:c r="X360" s="29" t="str">
        <x:v>编辑质量高，兼顾研究、产业和社会影响。</x:v>
      </x:c>
      <x:c r="Y360" s="29" t="str">
        <x:v>旧清单常使用/feed/；本轮交叉核验发现stories.rss更新更鲜活，建议每月做Feed健康检查。</x:v>
      </x:c>
      <x:c r="Z360" s="75" t="b">
        <x:v>0</x:v>
      </x:c>
      <x:c r="AA360" s="29"/>
      <x:c r="AB360" s="29" t="str">
        <x:v>扩展调研：科技、科学与数据</x:v>
      </x:c>
      <x:c r="AC360" s="29" t="str">
        <x:v>https://www.technologyreview.com/stories.rss</x:v>
      </x:c>
      <x:c r="AD360" s="29" t="str">
        <x:v>2026-08-17</x:v>
      </x:c>
      <x:c r="AE360" s="29" t="n">
        <x:v>200</x:v>
      </x:c>
      <x:c r="AF360" s="29" t="str">
        <x:v>https://www.technologyreview.com/feed/</x:v>
      </x:c>
      <x:c r="AG360" s="29" t="str"/>
    </x:row>
    <x:row r="361" ht="44" customHeight="1">
      <x:c r="A361" s="29" t="str">
        <x:v>SRC-357</x:v>
      </x:c>
      <x:c r="B361" s="29" t="str">
        <x:f>IF(C361&gt;=93,"S",IF(C361&gt;=90,"A",IF(C361&gt;=80,"B","C")))</x:f>
        <x:v>B</x:v>
      </x:c>
      <x:c r="C361" s="72" t="n">
        <x:f>ROUND((P361*0.20+Q361*0.18+R361*0.20+S361*0.15+T361*0.12+U361*0.10+V361*0.05)*20,0)</x:f>
        <x:v>86</x:v>
      </x:c>
      <x:c r="D361" s="29" t="str">
        <x:v>科学与数学</x:v>
      </x:c>
      <x:c r="E361" s="29" t="str">
        <x:v>数学、科学与认知</x:v>
      </x:c>
      <x:c r="F361" s="29" t="str">
        <x:v>dynomight.net</x:v>
      </x:c>
      <x:c r="G361" s="29" t="str">
        <x:v>Anonymous</x:v>
      </x:c>
      <x:c r="H361" s="29" t="str">
        <x:v>独立博客 / 长文</x:v>
      </x:c>
      <x:c r="I361" s="29" t="str">
        <x:v>en</x:v>
      </x:c>
      <x:c r="J361" s="29" t="str">
        <x:v>解释源</x:v>
      </x:c>
      <x:c r="K361" s="29" t="str">
        <x:v>Open</x:v>
      </x:c>
      <x:c r="L361" s="29" t="str">
        <x:v>不定期</x:v>
      </x:c>
      <x:c r="M361" s="29" t="str">
        <x:v>https://dynomight.net</x:v>
      </x:c>
      <x:c r="N361" s="29" t="str">
        <x:v>https://dynomight.net/feed.xml</x:v>
      </x:c>
      <x:c r="O361" s="29" t="str">
        <x:v>有效</x:v>
      </x:c>
      <x:c r="P361" s="72" t="n">
        <x:v>4</x:v>
      </x:c>
      <x:c r="Q361" s="72" t="n">
        <x:v>5</x:v>
      </x:c>
      <x:c r="R361" s="72" t="n">
        <x:v>4</x:v>
      </x:c>
      <x:c r="S361" s="72" t="n">
        <x:v>5</x:v>
      </x:c>
      <x:c r="T361" s="72" t="n">
        <x:v>4</x:v>
      </x:c>
      <x:c r="U361" s="72" t="n">
        <x:v>3</x:v>
      </x:c>
      <x:c r="V361" s="72" t="n">
        <x:v>5</x:v>
      </x:c>
      <x:c r="W361" s="29" t="str">
        <x:v>概念解释、反直觉事实、研究脉络</x:v>
      </x:c>
      <x:c r="X361" s="29" t="str">
        <x:v>2025 年 Hacker News 高热个人博客。</x:v>
      </x:c>
      <x:c r="Y361" s="29" t="str">
        <x:v>独立作者源；事实、数字和因果需回到论文、文档或数据。观点须明确归因。</x:v>
      </x:c>
      <x:c r="Z361" s="75" t="b">
        <x:v>1</x:v>
      </x:c>
      <x:c r="AA361" s="29" t="n">
        <x:v>14</x:v>
      </x:c>
      <x:c r="AB361" s="29" t="str">
        <x:v>Karpathy 分享的 HN 2025 RSS 冷启动集</x:v>
      </x:c>
      <x:c r="AC361" s="29" t="str">
        <x:v>https://gist.github.com/emschwartz/e6d2bf860ccc367fe37ff953ba6de66b</x:v>
      </x:c>
      <x:c r="AD361" s="29" t="str">
        <x:v>2026-08-17</x:v>
      </x:c>
      <x:c r="AE361" s="29" t="n">
        <x:v>200</x:v>
      </x:c>
      <x:c r="AF361" s="29" t="str">
        <x:v>https://dynomight.net/feed.xml</x:v>
      </x:c>
      <x:c r="AG361" s="29" t="str">
        <x:v>science, existential angst</x:v>
      </x:c>
    </x:row>
    <x:row r="362" ht="44" customHeight="1">
      <x:c r="A362" s="29" t="str">
        <x:v>SRC-358</x:v>
      </x:c>
      <x:c r="B362" s="29" t="str">
        <x:f>IF(C362&gt;=93,"S",IF(C362&gt;=90,"A",IF(C362&gt;=80,"B","C")))</x:f>
        <x:v>B</x:v>
      </x:c>
      <x:c r="C362" s="72" t="n">
        <x:f>ROUND((P362*0.20+Q362*0.18+R362*0.20+S362*0.15+T362*0.12+U362*0.10+V362*0.05)*20,0)</x:f>
        <x:v>86</x:v>
      </x:c>
      <x:c r="D362" s="29" t="str">
        <x:v>科学与数学</x:v>
      </x:c>
      <x:c r="E362" s="29" t="str">
        <x:v>论文与专利图谱</x:v>
      </x:c>
      <x:c r="F362" s="29" t="str">
        <x:v>Lens</x:v>
      </x:c>
      <x:c r="G362" s="29" t="str"/>
      <x:c r="H362" s="29" t="str">
        <x:v>学术与专利平台</x:v>
      </x:c>
      <x:c r="I362" s="29" t="str">
        <x:v>en</x:v>
      </x:c>
      <x:c r="J362" s="29" t="str">
        <x:v>解释源</x:v>
      </x:c>
      <x:c r="K362" s="29" t="str">
        <x:v>Freemium</x:v>
      </x:c>
      <x:c r="L362" s="29" t="str">
        <x:v>持续更新</x:v>
      </x:c>
      <x:c r="M362" s="29" t="str">
        <x:v>https://www.lens.org/</x:v>
      </x:c>
      <x:c r="N362" s="29" t="str"/>
      <x:c r="O362" s="29" t="str">
        <x:v>无RSS/API入口</x:v>
      </x:c>
      <x:c r="P362" s="72" t="n">
        <x:v>4</x:v>
      </x:c>
      <x:c r="Q362" s="72" t="n">
        <x:v>5</x:v>
      </x:c>
      <x:c r="R362" s="72" t="n">
        <x:v>4</x:v>
      </x:c>
      <x:c r="S362" s="72" t="n">
        <x:v>5</x:v>
      </x:c>
      <x:c r="T362" s="72" t="n">
        <x:v>4</x:v>
      </x:c>
      <x:c r="U362" s="72" t="n">
        <x:v>4</x:v>
      </x:c>
      <x:c r="V362" s="72" t="n">
        <x:v>3</x:v>
      </x:c>
      <x:c r="W362" s="29" t="str">
        <x:v>论文—专利关联、技术演化</x:v>
      </x:c>
      <x:c r="X362" s="29" t="str">
        <x:v>把论文、专利和机构连接起来，适合技术转化和产业脉络。</x:v>
      </x:c>
      <x:c r="Y362" s="29" t="str">
        <x:v>使用前核对数据口径、更新时间、许可与引用格式。</x:v>
      </x:c>
      <x:c r="Z362" s="75" t="b">
        <x:v>0</x:v>
      </x:c>
      <x:c r="AA362" s="29"/>
      <x:c r="AB362" s="29" t="str">
        <x:v>扩展调研：数据库、资料库与平台</x:v>
      </x:c>
      <x:c r="AC362" s="29" t="str">
        <x:v>https://www.lens.org/</x:v>
      </x:c>
      <x:c r="AD362" s="29" t="str">
        <x:v>2026-08-17</x:v>
      </x:c>
      <x:c r="AE362" s="29"/>
      <x:c r="AF362" s="29" t="str"/>
      <x:c r="AG362" s="29" t="str"/>
    </x:row>
    <x:row r="363" ht="44" customHeight="1">
      <x:c r="A363" s="29" t="str">
        <x:v>SRC-359</x:v>
      </x:c>
      <x:c r="B363" s="29" t="str">
        <x:f>IF(C363&gt;=93,"S",IF(C363&gt;=90,"A",IF(C363&gt;=80,"B","C")))</x:f>
        <x:v>B</x:v>
      </x:c>
      <x:c r="C363" s="72" t="n">
        <x:f>ROUND((P363*0.20+Q363*0.18+R363*0.20+S363*0.15+T363*0.12+U363*0.10+V363*0.05)*20,0)</x:f>
        <x:v>86</x:v>
      </x:c>
      <x:c r="D363" s="29" t="str">
        <x:v>科学与数学</x:v>
      </x:c>
      <x:c r="E363" s="29" t="str">
        <x:v>数学、科学与认知</x:v>
      </x:c>
      <x:c r="F363" s="29" t="str">
        <x:v>minimaxir.com</x:v>
      </x:c>
      <x:c r="G363" s="29" t="str">
        <x:v>Max Woolf</x:v>
      </x:c>
      <x:c r="H363" s="29" t="str">
        <x:v>独立博客 / 长文</x:v>
      </x:c>
      <x:c r="I363" s="29" t="str">
        <x:v>en</x:v>
      </x:c>
      <x:c r="J363" s="29" t="str">
        <x:v>解释源</x:v>
      </x:c>
      <x:c r="K363" s="29" t="str">
        <x:v>Open</x:v>
      </x:c>
      <x:c r="L363" s="29" t="str">
        <x:v>不定期</x:v>
      </x:c>
      <x:c r="M363" s="29" t="str">
        <x:v>https://minimaxir.com</x:v>
      </x:c>
      <x:c r="N363" s="29" t="str">
        <x:v>https://minimaxir.com/index.xml</x:v>
      </x:c>
      <x:c r="O363" s="29" t="str">
        <x:v>有效</x:v>
      </x:c>
      <x:c r="P363" s="72" t="n">
        <x:v>4</x:v>
      </x:c>
      <x:c r="Q363" s="72" t="n">
        <x:v>5</x:v>
      </x:c>
      <x:c r="R363" s="72" t="n">
        <x:v>4</x:v>
      </x:c>
      <x:c r="S363" s="72" t="n">
        <x:v>5</x:v>
      </x:c>
      <x:c r="T363" s="72" t="n">
        <x:v>4</x:v>
      </x:c>
      <x:c r="U363" s="72" t="n">
        <x:v>3</x:v>
      </x:c>
      <x:c r="V363" s="72" t="n">
        <x:v>5</x:v>
      </x:c>
      <x:c r="W363" s="29" t="str">
        <x:v>概念解释、反直觉事实、研究脉络</x:v>
      </x:c>
      <x:c r="X363" s="29" t="str">
        <x:v>2025 年 Hacker News 高热个人博客。作者背景：Data scientist and software developer。</x:v>
      </x:c>
      <x:c r="Y363" s="29" t="str">
        <x:v>独立作者源；事实、数字和因果需回到论文、文档或数据。观点须明确归因。</x:v>
      </x:c>
      <x:c r="Z363" s="75" t="b">
        <x:v>1</x:v>
      </x:c>
      <x:c r="AA363" s="29" t="n">
        <x:v>45</x:v>
      </x:c>
      <x:c r="AB363" s="29" t="str">
        <x:v>Karpathy 分享的 HN 2025 RSS 冷启动集</x:v>
      </x:c>
      <x:c r="AC363" s="29" t="str">
        <x:v>https://gist.github.com/emschwartz/e6d2bf860ccc367fe37ff953ba6de66b</x:v>
      </x:c>
      <x:c r="AD363" s="29" t="str">
        <x:v>2026-08-17</x:v>
      </x:c>
      <x:c r="AE363" s="29" t="n">
        <x:v>200</x:v>
      </x:c>
      <x:c r="AF363" s="29" t="str">
        <x:v>https://minimaxir.com/index.xml</x:v>
      </x:c>
      <x:c r="AG363" s="29" t="str">
        <x:v>data science, machine learning, software development</x:v>
      </x:c>
    </x:row>
    <x:row r="364" ht="44" customHeight="1">
      <x:c r="A364" s="29" t="str">
        <x:v>SRC-360</x:v>
      </x:c>
      <x:c r="B364" s="29" t="str">
        <x:f>IF(C364&gt;=93,"S",IF(C364&gt;=90,"A",IF(C364&gt;=80,"B","C")))</x:f>
        <x:v>B</x:v>
      </x:c>
      <x:c r="C364" s="72" t="n">
        <x:f>ROUND((P364*0.20+Q364*0.18+R364*0.20+S364*0.15+T364*0.12+U364*0.10+V364*0.05)*20,0)</x:f>
        <x:v>86</x:v>
      </x:c>
      <x:c r="D364" s="29" t="str">
        <x:v>科学与数学</x:v>
      </x:c>
      <x:c r="E364" s="29" t="str">
        <x:v>科学、哲学与文化</x:v>
      </x:c>
      <x:c r="F364" s="29" t="str">
        <x:v>Nautilus</x:v>
      </x:c>
      <x:c r="G364" s="29" t="str"/>
      <x:c r="H364" s="29" t="str">
        <x:v>叙事科学、人物与观念文章</x:v>
      </x:c>
      <x:c r="I364" s="29" t="str">
        <x:v>en</x:v>
      </x:c>
      <x:c r="J364" s="29" t="str">
        <x:v>解释源</x:v>
      </x:c>
      <x:c r="K364" s="29" t="str">
        <x:v>Freemium</x:v>
      </x:c>
      <x:c r="L364" s="29" t="str">
        <x:v>近每日</x:v>
      </x:c>
      <x:c r="M364" s="29" t="str">
        <x:v>https://nautil.us/</x:v>
      </x:c>
      <x:c r="N364" s="29" t="str">
        <x:v>https://nautil.us/feed</x:v>
      </x:c>
      <x:c r="O364" s="29" t="str">
        <x:v>重定向后有效</x:v>
      </x:c>
      <x:c r="P364" s="72" t="n">
        <x:v>4</x:v>
      </x:c>
      <x:c r="Q364" s="72" t="n">
        <x:v>5</x:v>
      </x:c>
      <x:c r="R364" s="72" t="n">
        <x:v>4</x:v>
      </x:c>
      <x:c r="S364" s="72" t="n">
        <x:v>5</x:v>
      </x:c>
      <x:c r="T364" s="72" t="n">
        <x:v>4</x:v>
      </x:c>
      <x:c r="U364" s="72" t="n">
        <x:v>4</x:v>
      </x:c>
      <x:c r="V364" s="72" t="n">
        <x:v>3</x:v>
      </x:c>
      <x:c r="W364" s="29" t="str">
        <x:v>科学发现背后的大问题和人物故事。</x:v>
      </x:c>
      <x:c r="X364" s="29" t="str">
        <x:v>擅长把科学发现放入人物、历史和哲学问题中，适合寻找兼具知识与故事性的角度。</x:v>
      </x:c>
      <x:c r="Y364" s="29" t="str">
        <x:v>2026-08-17：Feed 端点返回 application/rss+xml。</x:v>
      </x:c>
      <x:c r="Z364" s="75" t="b">
        <x:v>0</x:v>
      </x:c>
      <x:c r="AA364" s="29"/>
      <x:c r="AB364" s="29" t="str">
        <x:v>扩展调研：人文、历史、哲学与设计</x:v>
      </x:c>
      <x:c r="AC364" s="29" t="str">
        <x:v>https://nautil.us/</x:v>
      </x:c>
      <x:c r="AD364" s="29" t="str">
        <x:v>2026-08-17</x:v>
      </x:c>
      <x:c r="AE364" s="29" t="n">
        <x:v>200</x:v>
      </x:c>
      <x:c r="AF364" s="29" t="str">
        <x:v>https://nautil.us/feed</x:v>
      </x:c>
      <x:c r="AG364" s="29" t="str"/>
    </x:row>
    <x:row r="365" ht="44" customHeight="1">
      <x:c r="A365" s="29" t="str">
        <x:v>SRC-361</x:v>
      </x:c>
      <x:c r="B365" s="29" t="str">
        <x:f>IF(C365&gt;=93,"S",IF(C365&gt;=90,"A",IF(C365&gt;=80,"B","C")))</x:f>
        <x:v>B</x:v>
      </x:c>
      <x:c r="C365" s="72" t="n">
        <x:f>ROUND((P365*0.20+Q365*0.18+R365*0.20+S365*0.15+T365*0.12+U365*0.10+V365*0.05)*20,0)</x:f>
        <x:v>86</x:v>
      </x:c>
      <x:c r="D365" s="29" t="str">
        <x:v>科学与数学</x:v>
      </x:c>
      <x:c r="E365" s="29" t="str">
        <x:v>数学、科学与认知</x:v>
      </x:c>
      <x:c r="F365" s="29" t="str">
        <x:v>susam.net</x:v>
      </x:c>
      <x:c r="G365" s="29" t="str">
        <x:v>Susam Pal</x:v>
      </x:c>
      <x:c r="H365" s="29" t="str">
        <x:v>独立博客 / 长文</x:v>
      </x:c>
      <x:c r="I365" s="29" t="str">
        <x:v>en</x:v>
      </x:c>
      <x:c r="J365" s="29" t="str">
        <x:v>解释源</x:v>
      </x:c>
      <x:c r="K365" s="29" t="str">
        <x:v>Open</x:v>
      </x:c>
      <x:c r="L365" s="29" t="str">
        <x:v>不定期</x:v>
      </x:c>
      <x:c r="M365" s="29" t="str">
        <x:v>https://susam.net</x:v>
      </x:c>
      <x:c r="N365" s="29" t="str">
        <x:v>https://susam.net/feed.xml</x:v>
      </x:c>
      <x:c r="O365" s="29" t="str">
        <x:v>有效</x:v>
      </x:c>
      <x:c r="P365" s="72" t="n">
        <x:v>4</x:v>
      </x:c>
      <x:c r="Q365" s="72" t="n">
        <x:v>5</x:v>
      </x:c>
      <x:c r="R365" s="72" t="n">
        <x:v>4</x:v>
      </x:c>
      <x:c r="S365" s="72" t="n">
        <x:v>5</x:v>
      </x:c>
      <x:c r="T365" s="72" t="n">
        <x:v>4</x:v>
      </x:c>
      <x:c r="U365" s="72" t="n">
        <x:v>3</x:v>
      </x:c>
      <x:c r="V365" s="72" t="n">
        <x:v>5</x:v>
      </x:c>
      <x:c r="W365" s="29" t="str">
        <x:v>概念解释、反直觉事实、研究脉络</x:v>
      </x:c>
      <x:c r="X365" s="29" t="str">
        <x:v>2025 年 Hacker News 高热个人博客。作者背景：Software engineer and writer。</x:v>
      </x:c>
      <x:c r="Y365" s="29" t="str">
        <x:v>独立作者源；事实、数字和因果需回到论文、文档或数据。观点须明确归因。</x:v>
      </x:c>
      <x:c r="Z365" s="75" t="b">
        <x:v>1</x:v>
      </x:c>
      <x:c r="AA365" s="29" t="n">
        <x:v>38</x:v>
      </x:c>
      <x:c r="AB365" s="29" t="str">
        <x:v>Karpathy 分享的 HN 2025 RSS 冷启动集</x:v>
      </x:c>
      <x:c r="AC365" s="29" t="str">
        <x:v>https://gist.github.com/emschwartz/e6d2bf860ccc367fe37ff953ba6de66b</x:v>
      </x:c>
      <x:c r="AD365" s="29" t="str">
        <x:v>2026-08-17</x:v>
      </x:c>
      <x:c r="AE365" s="29" t="n">
        <x:v>200</x:v>
      </x:c>
      <x:c r="AF365" s="29" t="str">
        <x:v>https://susam.net/feed.xml</x:v>
      </x:c>
      <x:c r="AG365" s="29" t="str">
        <x:v>software development, mathematics, puzzles</x:v>
      </x:c>
    </x:row>
    <x:row r="366" ht="44" customHeight="1">
      <x:c r="A366" s="29" t="str">
        <x:v>SRC-362</x:v>
      </x:c>
      <x:c r="B366" s="29" t="str">
        <x:f>IF(C366&gt;=93,"S",IF(C366&gt;=90,"A",IF(C366&gt;=80,"B","C")))</x:f>
        <x:v>B</x:v>
      </x:c>
      <x:c r="C366" s="72" t="n">
        <x:f>ROUND((P366*0.20+Q366*0.18+R366*0.20+S366*0.15+T366*0.12+U366*0.10+V366*0.05)*20,0)</x:f>
        <x:v>86</x:v>
      </x:c>
      <x:c r="D366" s="29" t="str">
        <x:v>艺术、设计与建筑</x:v>
      </x:c>
      <x:c r="E366" s="29" t="str">
        <x:v>设计、HCI 与创意技术</x:v>
      </x:c>
      <x:c r="F366" s="29" t="str">
        <x:v>aresluna.org</x:v>
      </x:c>
      <x:c r="G366" s="29" t="str">
        <x:v>Marcin Wichary</x:v>
      </x:c>
      <x:c r="H366" s="29" t="str">
        <x:v>独立博客 / 长文</x:v>
      </x:c>
      <x:c r="I366" s="29" t="str">
        <x:v>en</x:v>
      </x:c>
      <x:c r="J366" s="29" t="str">
        <x:v>解释源</x:v>
      </x:c>
      <x:c r="K366" s="29" t="str">
        <x:v>Open</x:v>
      </x:c>
      <x:c r="L366" s="29" t="str">
        <x:v>不定期</x:v>
      </x:c>
      <x:c r="M366" s="29" t="str">
        <x:v>https://aresluna.org</x:v>
      </x:c>
      <x:c r="N366" s="29" t="str">
        <x:v>https://aresluna.org/main.rss</x:v>
      </x:c>
      <x:c r="O366" s="29" t="str">
        <x:v>有效</x:v>
      </x:c>
      <x:c r="P366" s="72" t="n">
        <x:v>4</x:v>
      </x:c>
      <x:c r="Q366" s="72" t="n">
        <x:v>5</x:v>
      </x:c>
      <x:c r="R366" s="72" t="n">
        <x:v>4</x:v>
      </x:c>
      <x:c r="S366" s="72" t="n">
        <x:v>5</x:v>
      </x:c>
      <x:c r="T366" s="72" t="n">
        <x:v>4</x:v>
      </x:c>
      <x:c r="U366" s="72" t="n">
        <x:v>3</x:v>
      </x:c>
      <x:c r="V366" s="72" t="n">
        <x:v>5</x:v>
      </x:c>
      <x:c r="W366" s="29" t="str">
        <x:v>界面/设计原则、作品拆解、创意技术</x:v>
      </x:c>
      <x:c r="X366" s="29" t="str">
        <x:v>2025 年 Hacker News 高热个人博客。作者背景：Designer, writer, &amp; typographer。</x:v>
      </x:c>
      <x:c r="Y366" s="29" t="str">
        <x:v>独立作者源；事实、数字和因果需回到论文、文档或数据。观点须明确归因。</x:v>
      </x:c>
      <x:c r="Z366" s="75" t="b">
        <x:v>1</x:v>
      </x:c>
      <x:c r="AA366" s="29" t="n">
        <x:v>86</x:v>
      </x:c>
      <x:c r="AB366" s="29" t="str">
        <x:v>Karpathy 分享的 HN 2025 RSS 冷启动集</x:v>
      </x:c>
      <x:c r="AC366" s="29" t="str">
        <x:v>https://gist.github.com/emschwartz/e6d2bf860ccc367fe37ff953ba6de66b</x:v>
      </x:c>
      <x:c r="AD366" s="29" t="str">
        <x:v>2026-08-17</x:v>
      </x:c>
      <x:c r="AE366" s="29" t="n">
        <x:v>200</x:v>
      </x:c>
      <x:c r="AF366" s="29" t="str">
        <x:v>https://aresluna.org/main.rss</x:v>
      </x:c>
      <x:c r="AG366" s="29" t="str">
        <x:v>typography</x:v>
      </x:c>
    </x:row>
    <x:row r="367" ht="44" customHeight="1">
      <x:c r="A367" s="29" t="str">
        <x:v>SRC-363</x:v>
      </x:c>
      <x:c r="B367" s="29" t="str">
        <x:f>IF(C367&gt;=93,"S",IF(C367&gt;=90,"A",IF(C367&gt;=80,"B","C")))</x:f>
        <x:v>B</x:v>
      </x:c>
      <x:c r="C367" s="72" t="n">
        <x:f>ROUND((P367*0.20+Q367*0.18+R367*0.20+S367*0.15+T367*0.12+U367*0.10+V367*0.05)*20,0)</x:f>
        <x:v>86</x:v>
      </x:c>
      <x:c r="D367" s="29" t="str">
        <x:v>艺术、设计与建筑</x:v>
      </x:c>
      <x:c r="E367" s="29" t="str">
        <x:v>设计、HCI 与创意技术</x:v>
      </x:c>
      <x:c r="F367" s="29" t="str">
        <x:v>blog.jim-nielsen.com</x:v>
      </x:c>
      <x:c r="G367" s="29" t="str">
        <x:v>Jim Nielsen</x:v>
      </x:c>
      <x:c r="H367" s="29" t="str">
        <x:v>独立博客 / 长文</x:v>
      </x:c>
      <x:c r="I367" s="29" t="str">
        <x:v>en</x:v>
      </x:c>
      <x:c r="J367" s="29" t="str">
        <x:v>解释源</x:v>
      </x:c>
      <x:c r="K367" s="29" t="str">
        <x:v>Open</x:v>
      </x:c>
      <x:c r="L367" s="29" t="str">
        <x:v>不定期</x:v>
      </x:c>
      <x:c r="M367" s="29" t="str">
        <x:v>https://blog.jim-nielsen.com</x:v>
      </x:c>
      <x:c r="N367" s="29" t="str">
        <x:v>https://blog.jim-nielsen.com/feed.xml</x:v>
      </x:c>
      <x:c r="O367" s="29" t="str">
        <x:v>有效</x:v>
      </x:c>
      <x:c r="P367" s="72" t="n">
        <x:v>4</x:v>
      </x:c>
      <x:c r="Q367" s="72" t="n">
        <x:v>5</x:v>
      </x:c>
      <x:c r="R367" s="72" t="n">
        <x:v>4</x:v>
      </x:c>
      <x:c r="S367" s="72" t="n">
        <x:v>5</x:v>
      </x:c>
      <x:c r="T367" s="72" t="n">
        <x:v>4</x:v>
      </x:c>
      <x:c r="U367" s="72" t="n">
        <x:v>3</x:v>
      </x:c>
      <x:c r="V367" s="72" t="n">
        <x:v>5</x:v>
      </x:c>
      <x:c r="W367" s="29" t="str">
        <x:v>界面/设计原则、作品拆解、创意技术</x:v>
      </x:c>
      <x:c r="X367" s="29" t="str">
        <x:v>2025 年 Hacker News 高热个人博客。作者背景：Web developer and designer。</x:v>
      </x:c>
      <x:c r="Y367" s="29" t="str">
        <x:v>独立作者源；事实、数字和因果需回到论文、文档或数据。观点须明确归因。</x:v>
      </x:c>
      <x:c r="Z367" s="75" t="b">
        <x:v>1</x:v>
      </x:c>
      <x:c r="AA367" s="29" t="n">
        <x:v>49</x:v>
      </x:c>
      <x:c r="AB367" s="29" t="str">
        <x:v>Karpathy 分享的 HN 2025 RSS 冷启动集</x:v>
      </x:c>
      <x:c r="AC367" s="29" t="str">
        <x:v>https://gist.github.com/emschwartz/e6d2bf860ccc367fe37ff953ba6de66b</x:v>
      </x:c>
      <x:c r="AD367" s="29" t="str">
        <x:v>2026-08-17</x:v>
      </x:c>
      <x:c r="AE367" s="29" t="n">
        <x:v>200</x:v>
      </x:c>
      <x:c r="AF367" s="29" t="str">
        <x:v>https://blog.jim-nielsen.com/feed.xml</x:v>
      </x:c>
      <x:c r="AG367" s="29" t="str">
        <x:v>web development, design, technology</x:v>
      </x:c>
    </x:row>
    <x:row r="368" ht="44" customHeight="1">
      <x:c r="A368" s="29" t="str">
        <x:v>SRC-364</x:v>
      </x:c>
      <x:c r="B368" s="29" t="str">
        <x:f>IF(C368&gt;=93,"S",IF(C368&gt;=90,"A",IF(C368&gt;=80,"B","C")))</x:f>
        <x:v>B</x:v>
      </x:c>
      <x:c r="C368" s="72" t="n">
        <x:f>ROUND((P368*0.20+Q368*0.18+R368*0.20+S368*0.15+T368*0.12+U368*0.10+V368*0.05)*20,0)</x:f>
        <x:v>86</x:v>
      </x:c>
      <x:c r="D368" s="29" t="str">
        <x:v>艺术、设计与建筑</x:v>
      </x:c>
      <x:c r="E368" s="29" t="str">
        <x:v>设计、HCI 与创意技术</x:v>
      </x:c>
      <x:c r="F368" s="29" t="str">
        <x:v>danielwirtz.com</x:v>
      </x:c>
      <x:c r="G368" s="29" t="str">
        <x:v>Daniel Wirtz</x:v>
      </x:c>
      <x:c r="H368" s="29" t="str">
        <x:v>独立博客 / 长文</x:v>
      </x:c>
      <x:c r="I368" s="29" t="str">
        <x:v>en</x:v>
      </x:c>
      <x:c r="J368" s="29" t="str">
        <x:v>解释源</x:v>
      </x:c>
      <x:c r="K368" s="29" t="str">
        <x:v>Open</x:v>
      </x:c>
      <x:c r="L368" s="29" t="str">
        <x:v>不定期</x:v>
      </x:c>
      <x:c r="M368" s="29" t="str">
        <x:v>https://danielwirtz.com</x:v>
      </x:c>
      <x:c r="N368" s="29" t="str">
        <x:v>https://danielwirtz.com/rss.xml</x:v>
      </x:c>
      <x:c r="O368" s="29" t="str">
        <x:v>有效</x:v>
      </x:c>
      <x:c r="P368" s="72" t="n">
        <x:v>4</x:v>
      </x:c>
      <x:c r="Q368" s="72" t="n">
        <x:v>5</x:v>
      </x:c>
      <x:c r="R368" s="72" t="n">
        <x:v>4</x:v>
      </x:c>
      <x:c r="S368" s="72" t="n">
        <x:v>5</x:v>
      </x:c>
      <x:c r="T368" s="72" t="n">
        <x:v>4</x:v>
      </x:c>
      <x:c r="U368" s="72" t="n">
        <x:v>3</x:v>
      </x:c>
      <x:c r="V368" s="72" t="n">
        <x:v>5</x:v>
      </x:c>
      <x:c r="W368" s="29" t="str">
        <x:v>界面/设计原则、作品拆解、创意技术</x:v>
      </x:c>
      <x:c r="X368" s="29" t="str">
        <x:v>2025 年 Hacker News 高热个人博客。作者背景：Product designer and developer。</x:v>
      </x:c>
      <x:c r="Y368" s="29" t="str">
        <x:v>独立作者源；事实、数字和因果需回到论文、文档或数据。观点须明确归因。</x:v>
      </x:c>
      <x:c r="Z368" s="75" t="b">
        <x:v>1</x:v>
      </x:c>
      <x:c r="AA368" s="29" t="n">
        <x:v>68</x:v>
      </x:c>
      <x:c r="AB368" s="29" t="str">
        <x:v>Karpathy 分享的 HN 2025 RSS 冷启动集</x:v>
      </x:c>
      <x:c r="AC368" s="29" t="str">
        <x:v>https://gist.github.com/emschwartz/e6d2bf860ccc367fe37ff953ba6de66b</x:v>
      </x:c>
      <x:c r="AD368" s="29" t="str">
        <x:v>2026-08-17</x:v>
      </x:c>
      <x:c r="AE368" s="29" t="n">
        <x:v>200</x:v>
      </x:c>
      <x:c r="AF368" s="29" t="str">
        <x:v>https://danielwirtz.com/rss.xml</x:v>
      </x:c>
      <x:c r="AG368" s="29" t="str">
        <x:v>design, no-code tools, productivity</x:v>
      </x:c>
    </x:row>
    <x:row r="369" ht="44" customHeight="1">
      <x:c r="A369" s="29" t="str">
        <x:v>SRC-365</x:v>
      </x:c>
      <x:c r="B369" s="29" t="str">
        <x:f>IF(C369&gt;=93,"S",IF(C369&gt;=90,"A",IF(C369&gt;=80,"B","C")))</x:f>
        <x:v>B</x:v>
      </x:c>
      <x:c r="C369" s="72" t="n">
        <x:f>ROUND((P369*0.20+Q369*0.18+R369*0.20+S369*0.15+T369*0.12+U369*0.10+V369*0.05)*20,0)</x:f>
        <x:v>86</x:v>
      </x:c>
      <x:c r="D369" s="29" t="str">
        <x:v>艺术、设计与建筑</x:v>
      </x:c>
      <x:c r="E369" s="29" t="str">
        <x:v>设计、HCI 与创意技术</x:v>
      </x:c>
      <x:c r="F369" s="29" t="str">
        <x:v>daringfireball.net</x:v>
      </x:c>
      <x:c r="G369" s="29" t="str">
        <x:v>John Gruber</x:v>
      </x:c>
      <x:c r="H369" s="29" t="str">
        <x:v>独立博客 / 长文</x:v>
      </x:c>
      <x:c r="I369" s="29" t="str">
        <x:v>en</x:v>
      </x:c>
      <x:c r="J369" s="29" t="str">
        <x:v>解释源</x:v>
      </x:c>
      <x:c r="K369" s="29" t="str">
        <x:v>Open</x:v>
      </x:c>
      <x:c r="L369" s="29" t="str">
        <x:v>不定期</x:v>
      </x:c>
      <x:c r="M369" s="29" t="str">
        <x:v>https://daringfireball.net</x:v>
      </x:c>
      <x:c r="N369" s="29" t="str">
        <x:v>https://daringfireball.net/feeds/main</x:v>
      </x:c>
      <x:c r="O369" s="29" t="str">
        <x:v>有效</x:v>
      </x:c>
      <x:c r="P369" s="72" t="n">
        <x:v>4</x:v>
      </x:c>
      <x:c r="Q369" s="72" t="n">
        <x:v>5</x:v>
      </x:c>
      <x:c r="R369" s="72" t="n">
        <x:v>4</x:v>
      </x:c>
      <x:c r="S369" s="72" t="n">
        <x:v>5</x:v>
      </x:c>
      <x:c r="T369" s="72" t="n">
        <x:v>4</x:v>
      </x:c>
      <x:c r="U369" s="72" t="n">
        <x:v>3</x:v>
      </x:c>
      <x:c r="V369" s="72" t="n">
        <x:v>5</x:v>
      </x:c>
      <x:c r="W369" s="29" t="str">
        <x:v>界面/设计原则、作品拆解、创意技术</x:v>
      </x:c>
      <x:c r="X369" s="29" t="str">
        <x:v>2025 年 Hacker News 高热个人博客。作者背景：Technology blogger。</x:v>
      </x:c>
      <x:c r="Y369" s="29" t="str">
        <x:v>独立作者源；事实、数字和因果需回到论文、文档或数据。观点须明确归因。</x:v>
      </x:c>
      <x:c r="Z369" s="75" t="b">
        <x:v>1</x:v>
      </x:c>
      <x:c r="AA369" s="29" t="n">
        <x:v>5</x:v>
      </x:c>
      <x:c r="AB369" s="29" t="str">
        <x:v>Karpathy 分享的 HN 2025 RSS 冷启动集</x:v>
      </x:c>
      <x:c r="AC369" s="29" t="str">
        <x:v>https://gist.github.com/emschwartz/e6d2bf860ccc367fe37ff953ba6de66b</x:v>
      </x:c>
      <x:c r="AD369" s="29" t="str">
        <x:v>2026-08-17</x:v>
      </x:c>
      <x:c r="AE369" s="29" t="n">
        <x:v>200</x:v>
      </x:c>
      <x:c r="AF369" s="29" t="str">
        <x:v>https://daringfireball.net/feeds/main</x:v>
      </x:c>
      <x:c r="AG369" s="29" t="str">
        <x:v>Apple, technology, design</x:v>
      </x:c>
    </x:row>
    <x:row r="370" ht="44" customHeight="1">
      <x:c r="A370" s="29" t="str">
        <x:v>SRC-366</x:v>
      </x:c>
      <x:c r="B370" s="29" t="str">
        <x:f>IF(C370&gt;=93,"S",IF(C370&gt;=90,"A",IF(C370&gt;=80,"B","C")))</x:f>
        <x:v>B</x:v>
      </x:c>
      <x:c r="C370" s="72" t="n">
        <x:f>ROUND((P370*0.20+Q370*0.18+R370*0.20+S370*0.15+T370*0.12+U370*0.10+V370*0.05)*20,0)</x:f>
        <x:v>86</x:v>
      </x:c>
      <x:c r="D370" s="29" t="str">
        <x:v>艺术、设计与建筑</x:v>
      </x:c>
      <x:c r="E370" s="29" t="str">
        <x:v>设计、HCI 与创意技术</x:v>
      </x:c>
      <x:c r="F370" s="29" t="str">
        <x:v>ericmigi.com</x:v>
      </x:c>
      <x:c r="G370" s="29" t="str">
        <x:v>Eric Migicovsky</x:v>
      </x:c>
      <x:c r="H370" s="29" t="str">
        <x:v>独立博客 / 长文</x:v>
      </x:c>
      <x:c r="I370" s="29" t="str">
        <x:v>en</x:v>
      </x:c>
      <x:c r="J370" s="29" t="str">
        <x:v>解释源</x:v>
      </x:c>
      <x:c r="K370" s="29" t="str">
        <x:v>Open</x:v>
      </x:c>
      <x:c r="L370" s="29" t="str">
        <x:v>不定期</x:v>
      </x:c>
      <x:c r="M370" s="29" t="str">
        <x:v>https://ericmigi.com</x:v>
      </x:c>
      <x:c r="N370" s="29" t="str">
        <x:v>https://ericmigi.com/rss.xml</x:v>
      </x:c>
      <x:c r="O370" s="29" t="str">
        <x:v>有效</x:v>
      </x:c>
      <x:c r="P370" s="72" t="n">
        <x:v>4</x:v>
      </x:c>
      <x:c r="Q370" s="72" t="n">
        <x:v>5</x:v>
      </x:c>
      <x:c r="R370" s="72" t="n">
        <x:v>4</x:v>
      </x:c>
      <x:c r="S370" s="72" t="n">
        <x:v>5</x:v>
      </x:c>
      <x:c r="T370" s="72" t="n">
        <x:v>4</x:v>
      </x:c>
      <x:c r="U370" s="72" t="n">
        <x:v>3</x:v>
      </x:c>
      <x:c r="V370" s="72" t="n">
        <x:v>5</x:v>
      </x:c>
      <x:c r="W370" s="29" t="str">
        <x:v>界面/设计原则、作品拆解、创意技术</x:v>
      </x:c>
      <x:c r="X370" s="29" t="str">
        <x:v>2025 年 Hacker News 高热个人博客。作者背景：Inventor and founder of Pebble and Beeper。</x:v>
      </x:c>
      <x:c r="Y370" s="29" t="str">
        <x:v>独立作者源；事实、数字和因果需回到论文、文档或数据。观点须明确归因。</x:v>
      </x:c>
      <x:c r="Z370" s="75" t="b">
        <x:v>1</x:v>
      </x:c>
      <x:c r="AA370" s="29" t="n">
        <x:v>6</x:v>
      </x:c>
      <x:c r="AB370" s="29" t="str">
        <x:v>Karpathy 分享的 HN 2025 RSS 冷启动集</x:v>
      </x:c>
      <x:c r="AC370" s="29" t="str">
        <x:v>https://gist.github.com/emschwartz/e6d2bf860ccc367fe37ff953ba6de66b</x:v>
      </x:c>
      <x:c r="AD370" s="29" t="str">
        <x:v>2026-08-17</x:v>
      </x:c>
      <x:c r="AE370" s="29" t="n">
        <x:v>200</x:v>
      </x:c>
      <x:c r="AF370" s="29" t="str">
        <x:v>https://ericmigi.com/rss.xml</x:v>
      </x:c>
      <x:c r="AG370" s="29" t="str">
        <x:v>pebble, hardware, smartwatches</x:v>
      </x:c>
    </x:row>
    <x:row r="371" ht="44" customHeight="1">
      <x:c r="A371" s="29" t="str">
        <x:v>SRC-367</x:v>
      </x:c>
      <x:c r="B371" s="29" t="str">
        <x:f>IF(C371&gt;=93,"S",IF(C371&gt;=90,"A",IF(C371&gt;=80,"B","C")))</x:f>
        <x:v>B</x:v>
      </x:c>
      <x:c r="C371" s="72" t="n">
        <x:f>ROUND((P371*0.20+Q371*0.18+R371*0.20+S371*0.15+T371*0.12+U371*0.10+V371*0.05)*20,0)</x:f>
        <x:v>80</x:v>
      </x:c>
      <x:c r="D371" s="29" t="str">
        <x:v>艺术、设计与建筑</x:v>
      </x:c>
      <x:c r="E371" s="29" t="str">
        <x:v>当代艺术、博物馆与文化政治</x:v>
      </x:c>
      <x:c r="F371" s="29" t="str">
        <x:v>Hyperallergic</x:v>
      </x:c>
      <x:c r="G371" s="29" t="str"/>
      <x:c r="H371" s="29" t="str">
        <x:v>艺术新闻、展评、文化评论与调查</x:v>
      </x:c>
      <x:c r="I371" s="29" t="str">
        <x:v>en</x:v>
      </x:c>
      <x:c r="J371" s="29" t="str">
        <x:v>观点源</x:v>
      </x:c>
      <x:c r="K371" s="29" t="str">
        <x:v>Freemium</x:v>
      </x:c>
      <x:c r="L371" s="29" t="str">
        <x:v>每日高频</x:v>
      </x:c>
      <x:c r="M371" s="29" t="str">
        <x:v>https://hyperallergic.com/</x:v>
      </x:c>
      <x:c r="N371" s="29" t="str">
        <x:v>https://hyperallergic.com/rss/</x:v>
      </x:c>
      <x:c r="O371" s="29" t="str">
        <x:v>重定向后有效</x:v>
      </x:c>
      <x:c r="P371" s="72" t="n">
        <x:v>3</x:v>
      </x:c>
      <x:c r="Q371" s="72" t="n">
        <x:v>5</x:v>
      </x:c>
      <x:c r="R371" s="72" t="n">
        <x:v>3</x:v>
      </x:c>
      <x:c r="S371" s="72" t="n">
        <x:v>5</x:v>
      </x:c>
      <x:c r="T371" s="72" t="n">
        <x:v>5</x:v>
      </x:c>
      <x:c r="U371" s="72" t="n">
        <x:v>4</x:v>
      </x:c>
      <x:c r="V371" s="72" t="n">
        <x:v>3</x:v>
      </x:c>
      <x:c r="W371" s="29" t="str">
        <x:v>展览评论、文化争议和艺术制度观察。</x:v>
      </x:c>
      <x:c r="X371" s="29" t="str">
        <x:v>关注主流艺术媒体容易忽视的群体、机构与文化政治问题，观点鲜明。</x:v>
      </x:c>
      <x:c r="Y371" s="29" t="str">
        <x:v>2026-08-17：Feed 端点返回 application/rss+xml。</x:v>
      </x:c>
      <x:c r="Z371" s="75" t="b">
        <x:v>0</x:v>
      </x:c>
      <x:c r="AA371" s="29"/>
      <x:c r="AB371" s="29" t="str">
        <x:v>扩展调研：人文、历史、哲学与设计</x:v>
      </x:c>
      <x:c r="AC371" s="29" t="str">
        <x:v>https://hyperallergic.com/</x:v>
      </x:c>
      <x:c r="AD371" s="29" t="str">
        <x:v>2026-08-17</x:v>
      </x:c>
      <x:c r="AE371" s="29" t="n">
        <x:v>200</x:v>
      </x:c>
      <x:c r="AF371" s="29" t="str">
        <x:v>https://hyperallergic.com/rss/</x:v>
      </x:c>
      <x:c r="AG371" s="29" t="str"/>
    </x:row>
    <x:row r="372" ht="44" customHeight="1">
      <x:c r="A372" s="29" t="str">
        <x:v>SRC-368</x:v>
      </x:c>
      <x:c r="B372" s="29" t="str">
        <x:f>IF(C372&gt;=93,"S",IF(C372&gt;=90,"A",IF(C372&gt;=80,"B","C")))</x:f>
        <x:v>C</x:v>
      </x:c>
      <x:c r="C372" s="72" t="n">
        <x:f>ROUND((P372*0.20+Q372*0.18+R372*0.20+S372*0.15+T372*0.12+U372*0.10+V372*0.05)*20,0)</x:f>
        <x:v>77</x:v>
      </x:c>
      <x:c r="D372" s="29" t="str">
        <x:v>人文与跨学科</x:v>
      </x:c>
      <x:c r="E372" s="29" t="str">
        <x:v>技术、文明与治理</x:v>
      </x:c>
      <x:c r="F372" s="29" t="str">
        <x:v>Noema</x:v>
      </x:c>
      <x:c r="G372" s="29" t="str"/>
      <x:c r="H372" s="29" t="str">
        <x:v>长篇评论、全球议题、思想访谈</x:v>
      </x:c>
      <x:c r="I372" s="29" t="str">
        <x:v>en</x:v>
      </x:c>
      <x:c r="J372" s="29" t="str">
        <x:v>观点源</x:v>
      </x:c>
      <x:c r="K372" s="29" t="str">
        <x:v>Open</x:v>
      </x:c>
      <x:c r="L372" s="29" t="str">
        <x:v>每周约2至4篇</x:v>
      </x:c>
      <x:c r="M372" s="29" t="str">
        <x:v>https://www.noemamag.com/</x:v>
      </x:c>
      <x:c r="N372" s="29" t="str">
        <x:v>https://www.noemamag.com/?feed=noemarss</x:v>
      </x:c>
      <x:c r="O372" s="29" t="str">
        <x:v>重定向后有效</x:v>
      </x:c>
      <x:c r="P372" s="72" t="n">
        <x:v>3</x:v>
      </x:c>
      <x:c r="Q372" s="72" t="n">
        <x:v>5</x:v>
      </x:c>
      <x:c r="R372" s="72" t="n">
        <x:v>3</x:v>
      </x:c>
      <x:c r="S372" s="72" t="n">
        <x:v>5</x:v>
      </x:c>
      <x:c r="T372" s="72" t="n">
        <x:v>3</x:v>
      </x:c>
      <x:c r="U372" s="72" t="n">
        <x:v>4</x:v>
      </x:c>
      <x:c r="V372" s="72" t="n">
        <x:v>5</x:v>
      </x:c>
      <x:c r="W372" s="29" t="str">
        <x:v>表面是技术问题、深层是制度问题的结构化线程。</x:v>
      </x:c>
      <x:c r="X372" s="29" t="str">
        <x:v>以文明尺度分析技术、治理、生态和地缘问题，系统视角和长期视角突出。</x:v>
      </x:c>
      <x:c r="Y372" s="29" t="str">
        <x:v>2026-08-17：Feed 被外部阅读器目录持续收录；网页核验器因安全策略未直接打开，导入时复验。</x:v>
      </x:c>
      <x:c r="Z372" s="75" t="b">
        <x:v>0</x:v>
      </x:c>
      <x:c r="AA372" s="29"/>
      <x:c r="AB372" s="29" t="str">
        <x:v>扩展调研：人文、历史、哲学与设计</x:v>
      </x:c>
      <x:c r="AC372" s="29" t="str">
        <x:v>https://www.noemamag.com/</x:v>
      </x:c>
      <x:c r="AD372" s="29" t="str">
        <x:v>2026-08-17</x:v>
      </x:c>
      <x:c r="AE372" s="29" t="n">
        <x:v>200</x:v>
      </x:c>
      <x:c r="AF372" s="29" t="str">
        <x:v>https://www.noemamag.com/?feed=noemarss</x:v>
      </x:c>
      <x:c r="AG372" s="29" t="str"/>
    </x:row>
    <x:row r="373" ht="44" customHeight="1">
      <x:c r="A373" s="29" t="str">
        <x:v>SRC-369</x:v>
      </x:c>
      <x:c r="B373" s="29" t="str">
        <x:f>IF(C373&gt;=93,"S",IF(C373&gt;=90,"A",IF(C373&gt;=80,"B","C")))</x:f>
        <x:v>C</x:v>
      </x:c>
      <x:c r="C373" s="72" t="n">
        <x:f>ROUND((P373*0.20+Q373*0.18+R373*0.20+S373*0.15+T373*0.12+U373*0.10+V373*0.05)*20,0)</x:f>
        <x:v>77</x:v>
      </x:c>
      <x:c r="D373" s="29" t="str">
        <x:v>人文与跨学科</x:v>
      </x:c>
      <x:c r="E373" s="29" t="str">
        <x:v>文学、哲学与艺术</x:v>
      </x:c>
      <x:c r="F373" s="29" t="str">
        <x:v>The Marginalian</x:v>
      </x:c>
      <x:c r="G373" s="29" t="str"/>
      <x:c r="H373" s="29" t="str">
        <x:v>长篇随笔、书信与书籍解读</x:v>
      </x:c>
      <x:c r="I373" s="29" t="str">
        <x:v>en</x:v>
      </x:c>
      <x:c r="J373" s="29" t="str">
        <x:v>观点源</x:v>
      </x:c>
      <x:c r="K373" s="29" t="str">
        <x:v>Open</x:v>
      </x:c>
      <x:c r="L373" s="29" t="str">
        <x:v>约每周1篇</x:v>
      </x:c>
      <x:c r="M373" s="29" t="str">
        <x:v>https://www.themarginalian.org/</x:v>
      </x:c>
      <x:c r="N373" s="29" t="str">
        <x:v>https://www.themarginalian.org/feed/</x:v>
      </x:c>
      <x:c r="O373" s="29" t="str">
        <x:v>有效</x:v>
      </x:c>
      <x:c r="P373" s="72" t="n">
        <x:v>3</x:v>
      </x:c>
      <x:c r="Q373" s="72" t="n">
        <x:v>5</x:v>
      </x:c>
      <x:c r="R373" s="72" t="n">
        <x:v>3</x:v>
      </x:c>
      <x:c r="S373" s="72" t="n">
        <x:v>5</x:v>
      </x:c>
      <x:c r="T373" s="72" t="n">
        <x:v>3</x:v>
      </x:c>
      <x:c r="U373" s="72" t="n">
        <x:v>4</x:v>
      </x:c>
      <x:c r="V373" s="72" t="n">
        <x:v>5</x:v>
      </x:c>
      <x:c r="W373" s="29" t="str">
        <x:v>原信或书摘加概念谱系加个人启发。</x:v>
      </x:c>
      <x:c r="X373" s="29" t="str">
        <x:v>擅长跨时代连接文学、艺术、科学与人生主题，原书和书信线索丰富。</x:v>
      </x:c>
      <x:c r="Y373" s="29" t="str">
        <x:v>2026-08-17：标准 WordPress Feed 路径存在，但网页核验器遇到 403；导入阅读器时复验。</x:v>
      </x:c>
      <x:c r="Z373" s="75" t="b">
        <x:v>0</x:v>
      </x:c>
      <x:c r="AA373" s="29"/>
      <x:c r="AB373" s="29" t="str">
        <x:v>扩展调研：人文、历史、哲学与设计</x:v>
      </x:c>
      <x:c r="AC373" s="29" t="str">
        <x:v>https://www.themarginalian.org/</x:v>
      </x:c>
      <x:c r="AD373" s="29" t="str">
        <x:v>2026-08-17</x:v>
      </x:c>
      <x:c r="AE373" s="29" t="n">
        <x:v>200</x:v>
      </x:c>
      <x:c r="AF373" s="29" t="str">
        <x:v>https://www.themarginalian.org/feed/</x:v>
      </x:c>
      <x:c r="AG373" s="29" t="str"/>
    </x:row>
    <x:row r="374" ht="44" customHeight="1">
      <x:c r="A374" s="29" t="str">
        <x:v>SRC-370</x:v>
      </x:c>
      <x:c r="B374" s="29" t="str">
        <x:f>IF(C374&gt;=93,"S",IF(C374&gt;=90,"A",IF(C374&gt;=80,"B","C")))</x:f>
        <x:v>C</x:v>
      </x:c>
      <x:c r="C374" s="72" t="n">
        <x:f>ROUND((P374*0.20+Q374*0.18+R374*0.20+S374*0.15+T374*0.12+U374*0.10+V374*0.05)*20,0)</x:f>
        <x:v>77</x:v>
      </x:c>
      <x:c r="D374" s="29" t="str">
        <x:v>哲学与思想</x:v>
      </x:c>
      <x:c r="E374" s="29" t="str">
        <x:v>哲学/宇宙学</x:v>
      </x:c>
      <x:c r="F374" s="29" t="str">
        <x:v>Closer To Truth</x:v>
      </x:c>
      <x:c r="G374" s="29" t="str"/>
      <x:c r="H374" s="29" t="str">
        <x:v>视频 / 频道</x:v>
      </x:c>
      <x:c r="I374" s="29" t="str">
        <x:v>en</x:v>
      </x:c>
      <x:c r="J374" s="29" t="str">
        <x:v>观点源</x:v>
      </x:c>
      <x:c r="K374" s="29" t="str">
        <x:v>Open</x:v>
      </x:c>
      <x:c r="L374" s="29" t="str">
        <x:v>以频道更新为准</x:v>
      </x:c>
      <x:c r="M374" s="29" t="str">
        <x:v>https://www.youtube.com/channel/UCl9StMQ79LtEvlrskzjoYbQ</x:v>
      </x:c>
      <x:c r="N374" s="29" t="str">
        <x:v>https://www.youtube.com/feeds/videos.xml?channel_id=UCl9StMQ79LtEvlrskzjoYbQ</x:v>
      </x:c>
      <x:c r="O374" s="29" t="str">
        <x:v>有效</x:v>
      </x:c>
      <x:c r="P374" s="72" t="n">
        <x:v>3</x:v>
      </x:c>
      <x:c r="Q374" s="72" t="n">
        <x:v>5</x:v>
      </x:c>
      <x:c r="R374" s="72" t="n">
        <x:v>3</x:v>
      </x:c>
      <x:c r="S374" s="72" t="n">
        <x:v>5</x:v>
      </x:c>
      <x:c r="T374" s="72" t="n">
        <x:v>3</x:v>
      </x:c>
      <x:c r="U374" s="72" t="n">
        <x:v>4</x:v>
      </x:c>
      <x:c r="V374" s="72" t="n">
        <x:v>5</x:v>
      </x:c>
      <x:c r="W374" s="29" t="str">
        <x:v>视频观点拆解、概念科普、选题与案例线索</x:v>
      </x:c>
      <x:c r="X374" s="29" t="str">
        <x:v>高质量哲学/宇宙学视频创作者，适合快速建立背景、观察叙事结构并发现可传播选题。</x:v>
      </x:c>
      <x:c r="Y374" s="29" t="str">
        <x:v>观点/解释内容需明确归因；哲学命题应回查原典或学术资料。</x:v>
      </x:c>
      <x:c r="Z374" s="75" t="b">
        <x:v>0</x:v>
      </x:c>
      <x:c r="AA374" s="29"/>
      <x:c r="AB374" s="29" t="str">
        <x:v>YouTube 高质量创作者</x:v>
      </x:c>
      <x:c r="AC374" s="29" t="str">
        <x:v>https://www.youtube.com/@CloserToTruthTV</x:v>
      </x:c>
      <x:c r="AD374" s="29" t="str">
        <x:v>2026-08-17</x:v>
      </x:c>
      <x:c r="AE374" s="29" t="n">
        <x:v>200</x:v>
      </x:c>
      <x:c r="AF374" s="29" t="str">
        <x:v>https://www.youtube.com/feeds/videos.xml?channel_id=UCl9StMQ79LtEvlrskzjoYbQ</x:v>
      </x:c>
      <x:c r="AG374" s="29" t="str"/>
    </x:row>
    <x:row r="375" ht="44" customHeight="1">
      <x:c r="A375" s="29" t="str">
        <x:v>SRC-371</x:v>
      </x:c>
      <x:c r="B375" s="29" t="str">
        <x:f>IF(C375&gt;=93,"S",IF(C375&gt;=90,"A",IF(C375&gt;=80,"B","C")))</x:f>
        <x:v>C</x:v>
      </x:c>
      <x:c r="C375" s="72" t="n">
        <x:f>ROUND((P375*0.20+Q375*0.18+R375*0.20+S375*0.15+T375*0.12+U375*0.10+V375*0.05)*20,0)</x:f>
        <x:v>77</x:v>
      </x:c>
      <x:c r="D375" s="29" t="str">
        <x:v>哲学与思想</x:v>
      </x:c>
      <x:c r="E375" s="29" t="str">
        <x:v>政治哲学、社会科学与文学</x:v>
      </x:c>
      <x:c r="F375" s="29" t="str">
        <x:v>Crooked Timber</x:v>
      </x:c>
      <x:c r="G375" s="29" t="str"/>
      <x:c r="H375" s="29" t="str">
        <x:v>学者群体博客、书评与公共讨论</x:v>
      </x:c>
      <x:c r="I375" s="29" t="str">
        <x:v>en</x:v>
      </x:c>
      <x:c r="J375" s="29" t="str">
        <x:v>观点源</x:v>
      </x:c>
      <x:c r="K375" s="29" t="str">
        <x:v>Open</x:v>
      </x:c>
      <x:c r="L375" s="29" t="str">
        <x:v>每周数篇</x:v>
      </x:c>
      <x:c r="M375" s="29" t="str">
        <x:v>https://crookedtimber.org/</x:v>
      </x:c>
      <x:c r="N375" s="29" t="str">
        <x:v>https://crookedtimber.org/feed/</x:v>
      </x:c>
      <x:c r="O375" s="29" t="str">
        <x:v>有效</x:v>
      </x:c>
      <x:c r="P375" s="72" t="n">
        <x:v>3</x:v>
      </x:c>
      <x:c r="Q375" s="72" t="n">
        <x:v>5</x:v>
      </x:c>
      <x:c r="R375" s="72" t="n">
        <x:v>3</x:v>
      </x:c>
      <x:c r="S375" s="72" t="n">
        <x:v>5</x:v>
      </x:c>
      <x:c r="T375" s="72" t="n">
        <x:v>3</x:v>
      </x:c>
      <x:c r="U375" s="72" t="n">
        <x:v>4</x:v>
      </x:c>
      <x:c r="V375" s="72" t="n">
        <x:v>5</x:v>
      </x:c>
      <x:c r="W375" s="29" t="str">
        <x:v>多立场讨论、反方观点和概念争议。</x:v>
      </x:c>
      <x:c r="X375" s="29" t="str">
        <x:v>多位学者共同写作，常能看到同一议题的不同立场和评论区补充。</x:v>
      </x:c>
      <x:c r="Y375" s="29" t="str">
        <x:v>2026-08-17：Feed 端点返回 application/rss+xml。</x:v>
      </x:c>
      <x:c r="Z375" s="75" t="b">
        <x:v>0</x:v>
      </x:c>
      <x:c r="AA375" s="29"/>
      <x:c r="AB375" s="29" t="str">
        <x:v>扩展调研：人文、历史、哲学与设计</x:v>
      </x:c>
      <x:c r="AC375" s="29" t="str">
        <x:v>https://crookedtimber.org/</x:v>
      </x:c>
      <x:c r="AD375" s="29" t="str">
        <x:v>2026-08-17</x:v>
      </x:c>
      <x:c r="AE375" s="29" t="n">
        <x:v>200</x:v>
      </x:c>
      <x:c r="AF375" s="29" t="str">
        <x:v>https://crookedtimber.org/feed/</x:v>
      </x:c>
      <x:c r="AG375" s="29" t="str"/>
    </x:row>
    <x:row r="376" ht="44" customHeight="1">
      <x:c r="A376" s="29" t="str">
        <x:v>SRC-372</x:v>
      </x:c>
      <x:c r="B376" s="29" t="str">
        <x:f>IF(C376&gt;=93,"S",IF(C376&gt;=90,"A",IF(C376&gt;=80,"B","C")))</x:f>
        <x:v>C</x:v>
      </x:c>
      <x:c r="C376" s="72" t="n">
        <x:f>ROUND((P376*0.20+Q376*0.18+R376*0.20+S376*0.15+T376*0.12+U376*0.10+V376*0.05)*20,0)</x:f>
        <x:v>77</x:v>
      </x:c>
      <x:c r="D376" s="29" t="str">
        <x:v>哲学与思想</x:v>
      </x:c>
      <x:c r="E376" s="29" t="str">
        <x:v>理性、决策与 AI</x:v>
      </x:c>
      <x:c r="F376" s="29" t="str">
        <x:v>LessWrong Curated</x:v>
      </x:c>
      <x:c r="G376" s="29" t="str"/>
      <x:c r="H376" s="29" t="str">
        <x:v>社区精选长文、模型与思想实验</x:v>
      </x:c>
      <x:c r="I376" s="29" t="str">
        <x:v>en</x:v>
      </x:c>
      <x:c r="J376" s="29" t="str">
        <x:v>观点源</x:v>
      </x:c>
      <x:c r="K376" s="29" t="str">
        <x:v>Open</x:v>
      </x:c>
      <x:c r="L376" s="29" t="str">
        <x:v>每周约1至3篇</x:v>
      </x:c>
      <x:c r="M376" s="29" t="str">
        <x:v>https://www.lesswrong.com/curated</x:v>
      </x:c>
      <x:c r="N376" s="29" t="str">
        <x:v>https://www.lesswrong.com/feed.xml?view=curated-rss</x:v>
      </x:c>
      <x:c r="O376" s="29" t="str">
        <x:v>有效</x:v>
      </x:c>
      <x:c r="P376" s="72" t="n">
        <x:v>3</x:v>
      </x:c>
      <x:c r="Q376" s="72" t="n">
        <x:v>5</x:v>
      </x:c>
      <x:c r="R376" s="72" t="n">
        <x:v>3</x:v>
      </x:c>
      <x:c r="S376" s="72" t="n">
        <x:v>5</x:v>
      </x:c>
      <x:c r="T376" s="72" t="n">
        <x:v>3</x:v>
      </x:c>
      <x:c r="U376" s="72" t="n">
        <x:v>4</x:v>
      </x:c>
      <x:c r="V376" s="72" t="n">
        <x:v>5</x:v>
      </x:c>
      <x:c r="W376" s="29" t="str">
        <x:v>思想实验、决策框架和模型争论；结论需外部证据校验。</x:v>
      </x:c>
      <x:c r="X376" s="29" t="str">
        <x:v>精选流比全站流噪音低，适合发现决策框架、AI 风险和认识论讨论。</x:v>
      </x:c>
      <x:c r="Y376" s="29" t="str">
        <x:v>2026-08-17：curated-rss 端点返回 application/rss+xml。</x:v>
      </x:c>
      <x:c r="Z376" s="75" t="b">
        <x:v>0</x:v>
      </x:c>
      <x:c r="AA376" s="29"/>
      <x:c r="AB376" s="29" t="str">
        <x:v>扩展调研：人文、历史、哲学与设计</x:v>
      </x:c>
      <x:c r="AC376" s="29" t="str">
        <x:v>https://www.lesswrong.com/curated</x:v>
      </x:c>
      <x:c r="AD376" s="29" t="str">
        <x:v>2026-08-17</x:v>
      </x:c>
      <x:c r="AE376" s="29" t="n">
        <x:v>200</x:v>
      </x:c>
      <x:c r="AF376" s="29" t="str">
        <x:v>https://www.lesswrong.com/feed.xml?view=curated-rss</x:v>
      </x:c>
      <x:c r="AG376" s="29" t="str"/>
    </x:row>
    <x:row r="377" ht="44" customHeight="1">
      <x:c r="A377" s="29" t="str">
        <x:v>SRC-373</x:v>
      </x:c>
      <x:c r="B377" s="29" t="str">
        <x:f>IF(C377&gt;=93,"S",IF(C377&gt;=90,"A",IF(C377&gt;=80,"B","C")))</x:f>
        <x:v>C</x:v>
      </x:c>
      <x:c r="C377" s="72" t="n">
        <x:f>ROUND((P377*0.20+Q377*0.18+R377*0.20+S377*0.15+T377*0.12+U377*0.10+V377*0.05)*20,0)</x:f>
        <x:v>77</x:v>
      </x:c>
      <x:c r="D377" s="29" t="str">
        <x:v>哲学与思想</x:v>
      </x:c>
      <x:c r="E377" s="29" t="str">
        <x:v>哲学/文化</x:v>
      </x:c>
      <x:c r="F377" s="29" t="str">
        <x:v>Philosophy Tube</x:v>
      </x:c>
      <x:c r="G377" s="29" t="str"/>
      <x:c r="H377" s="29" t="str">
        <x:v>视频 / 频道</x:v>
      </x:c>
      <x:c r="I377" s="29" t="str">
        <x:v>en</x:v>
      </x:c>
      <x:c r="J377" s="29" t="str">
        <x:v>观点源</x:v>
      </x:c>
      <x:c r="K377" s="29" t="str">
        <x:v>Open</x:v>
      </x:c>
      <x:c r="L377" s="29" t="str">
        <x:v>以频道更新为准</x:v>
      </x:c>
      <x:c r="M377" s="29" t="str">
        <x:v>https://www.youtube.com/channel/UC2PA-AKmVpU6NKCGtZq_rKQ</x:v>
      </x:c>
      <x:c r="N377" s="29" t="str">
        <x:v>https://www.youtube.com/feeds/videos.xml?channel_id=UC2PA-AKmVpU6NKCGtZq_rKQ</x:v>
      </x:c>
      <x:c r="O377" s="29" t="str">
        <x:v>有效</x:v>
      </x:c>
      <x:c r="P377" s="72" t="n">
        <x:v>3</x:v>
      </x:c>
      <x:c r="Q377" s="72" t="n">
        <x:v>5</x:v>
      </x:c>
      <x:c r="R377" s="72" t="n">
        <x:v>3</x:v>
      </x:c>
      <x:c r="S377" s="72" t="n">
        <x:v>5</x:v>
      </x:c>
      <x:c r="T377" s="72" t="n">
        <x:v>3</x:v>
      </x:c>
      <x:c r="U377" s="72" t="n">
        <x:v>4</x:v>
      </x:c>
      <x:c r="V377" s="72" t="n">
        <x:v>5</x:v>
      </x:c>
      <x:c r="W377" s="29" t="str">
        <x:v>视频观点拆解、概念科普、选题与案例线索</x:v>
      </x:c>
      <x:c r="X377" s="29" t="str">
        <x:v>高质量哲学/文化视频创作者，适合快速建立背景、观察叙事结构并发现可传播选题。</x:v>
      </x:c>
      <x:c r="Y377" s="29" t="str">
        <x:v>观点/解释内容需明确归因；哲学命题应回查原典或学术资料。</x:v>
      </x:c>
      <x:c r="Z377" s="75" t="b">
        <x:v>0</x:v>
      </x:c>
      <x:c r="AA377" s="29"/>
      <x:c r="AB377" s="29" t="str">
        <x:v>YouTube 高质量创作者</x:v>
      </x:c>
      <x:c r="AC377" s="29" t="str">
        <x:v>https://www.youtube.com/@PhilosophyTube</x:v>
      </x:c>
      <x:c r="AD377" s="29" t="str">
        <x:v>2026-08-17</x:v>
      </x:c>
      <x:c r="AE377" s="29" t="n">
        <x:v>200</x:v>
      </x:c>
      <x:c r="AF377" s="29" t="str">
        <x:v>https://www.youtube.com/feeds/videos.xml?channel_id=UC2PA-AKmVpU6NKCGtZq_rKQ</x:v>
      </x:c>
      <x:c r="AG377" s="29" t="str"/>
    </x:row>
    <x:row r="378" ht="44" customHeight="1">
      <x:c r="A378" s="29" t="str">
        <x:v>SRC-374</x:v>
      </x:c>
      <x:c r="B378" s="29" t="str">
        <x:f>IF(C378&gt;=93,"S",IF(C378&gt;=90,"A",IF(C378&gt;=80,"B","C")))</x:f>
        <x:v>C</x:v>
      </x:c>
      <x:c r="C378" s="72" t="n">
        <x:f>ROUND((P378*0.20+Q378*0.18+R378*0.20+S378*0.15+T378*0.12+U378*0.10+V378*0.05)*20,0)</x:f>
        <x:v>77</x:v>
      </x:c>
      <x:c r="D378" s="29" t="str">
        <x:v>哲学与思想</x:v>
      </x:c>
      <x:c r="E378" s="29" t="str">
        <x:v>哲学/思想史</x:v>
      </x:c>
      <x:c r="F378" s="29" t="str">
        <x:v>Then &amp; Now</x:v>
      </x:c>
      <x:c r="G378" s="29" t="str"/>
      <x:c r="H378" s="29" t="str">
        <x:v>视频 / 频道</x:v>
      </x:c>
      <x:c r="I378" s="29" t="str">
        <x:v>en</x:v>
      </x:c>
      <x:c r="J378" s="29" t="str">
        <x:v>观点源</x:v>
      </x:c>
      <x:c r="K378" s="29" t="str">
        <x:v>Open</x:v>
      </x:c>
      <x:c r="L378" s="29" t="str">
        <x:v>以频道更新为准</x:v>
      </x:c>
      <x:c r="M378" s="29" t="str">
        <x:v>https://www.youtube.com/channel/UCkS_HP3m9NXOgswVAKbMeJQ</x:v>
      </x:c>
      <x:c r="N378" s="29" t="str">
        <x:v>https://www.youtube.com/feeds/videos.xml?channel_id=UCkS_HP3m9NXOgswVAKbMeJQ</x:v>
      </x:c>
      <x:c r="O378" s="29" t="str">
        <x:v>有效</x:v>
      </x:c>
      <x:c r="P378" s="72" t="n">
        <x:v>3</x:v>
      </x:c>
      <x:c r="Q378" s="72" t="n">
        <x:v>5</x:v>
      </x:c>
      <x:c r="R378" s="72" t="n">
        <x:v>3</x:v>
      </x:c>
      <x:c r="S378" s="72" t="n">
        <x:v>5</x:v>
      </x:c>
      <x:c r="T378" s="72" t="n">
        <x:v>3</x:v>
      </x:c>
      <x:c r="U378" s="72" t="n">
        <x:v>4</x:v>
      </x:c>
      <x:c r="V378" s="72" t="n">
        <x:v>5</x:v>
      </x:c>
      <x:c r="W378" s="29" t="str">
        <x:v>视频观点拆解、概念科普、选题与案例线索</x:v>
      </x:c>
      <x:c r="X378" s="29" t="str">
        <x:v>高质量哲学/思想史视频创作者，适合快速建立背景、观察叙事结构并发现可传播选题。</x:v>
      </x:c>
      <x:c r="Y378" s="29" t="str">
        <x:v>观点/解释内容需明确归因；哲学命题应回查原典或学术资料。</x:v>
      </x:c>
      <x:c r="Z378" s="75" t="b">
        <x:v>0</x:v>
      </x:c>
      <x:c r="AA378" s="29"/>
      <x:c r="AB378" s="29" t="str">
        <x:v>YouTube 高质量创作者</x:v>
      </x:c>
      <x:c r="AC378" s="29" t="str">
        <x:v>https://www.youtube.com/@ThenNow</x:v>
      </x:c>
      <x:c r="AD378" s="29" t="str">
        <x:v>2026-08-17</x:v>
      </x:c>
      <x:c r="AE378" s="29" t="n">
        <x:v>200</x:v>
      </x:c>
      <x:c r="AF378" s="29" t="str">
        <x:v>https://www.youtube.com/feeds/videos.xml?channel_id=UCkS_HP3m9NXOgswVAKbMeJQ</x:v>
      </x:c>
      <x:c r="AG378" s="29" t="str"/>
    </x:row>
    <x:row r="379" ht="44" customHeight="1">
      <x:c r="A379" s="29" t="str">
        <x:v>SRC-375</x:v>
      </x:c>
      <x:c r="B379" s="29" t="str">
        <x:f>IF(C379&gt;=93,"S",IF(C379&gt;=90,"A",IF(C379&gt;=80,"B","C")))</x:f>
        <x:v>C</x:v>
      </x:c>
      <x:c r="C379" s="72" t="n">
        <x:f>ROUND((P379*0.20+Q379*0.18+R379*0.20+S379*0.15+T379*0.12+U379*0.10+V379*0.05)*20,0)</x:f>
        <x:v>77</x:v>
      </x:c>
      <x:c r="D379" s="29" t="str">
        <x:v>哲学与思想</x:v>
      </x:c>
      <x:c r="E379" s="29" t="str">
        <x:v>科学/哲思</x:v>
      </x:c>
      <x:c r="F379" s="29" t="str">
        <x:v>Vsauce</x:v>
      </x:c>
      <x:c r="G379" s="29" t="str"/>
      <x:c r="H379" s="29" t="str">
        <x:v>视频 / 频道</x:v>
      </x:c>
      <x:c r="I379" s="29" t="str">
        <x:v>en</x:v>
      </x:c>
      <x:c r="J379" s="29" t="str">
        <x:v>观点源</x:v>
      </x:c>
      <x:c r="K379" s="29" t="str">
        <x:v>Open</x:v>
      </x:c>
      <x:c r="L379" s="29" t="str">
        <x:v>以频道更新为准</x:v>
      </x:c>
      <x:c r="M379" s="29" t="str">
        <x:v>https://www.youtube.com/channel/UC6nSFpj9HTCZ5t-N3Rm3-HA</x:v>
      </x:c>
      <x:c r="N379" s="29" t="str">
        <x:v>https://www.youtube.com/feeds/videos.xml?channel_id=UC6nSFpj9HTCZ5t-N3Rm3-HA</x:v>
      </x:c>
      <x:c r="O379" s="29" t="str">
        <x:v>有效</x:v>
      </x:c>
      <x:c r="P379" s="72" t="n">
        <x:v>3</x:v>
      </x:c>
      <x:c r="Q379" s="72" t="n">
        <x:v>5</x:v>
      </x:c>
      <x:c r="R379" s="72" t="n">
        <x:v>3</x:v>
      </x:c>
      <x:c r="S379" s="72" t="n">
        <x:v>5</x:v>
      </x:c>
      <x:c r="T379" s="72" t="n">
        <x:v>3</x:v>
      </x:c>
      <x:c r="U379" s="72" t="n">
        <x:v>4</x:v>
      </x:c>
      <x:c r="V379" s="72" t="n">
        <x:v>5</x:v>
      </x:c>
      <x:c r="W379" s="29" t="str">
        <x:v>视频观点拆解、概念科普、选题与案例线索</x:v>
      </x:c>
      <x:c r="X379" s="29" t="str">
        <x:v>高质量科学/哲思视频创作者，适合快速建立背景、观察叙事结构并发现可传播选题。</x:v>
      </x:c>
      <x:c r="Y379" s="29" t="str">
        <x:v>观点/解释内容需明确归因；哲学命题应回查原典或学术资料。</x:v>
      </x:c>
      <x:c r="Z379" s="75" t="b">
        <x:v>0</x:v>
      </x:c>
      <x:c r="AA379" s="29"/>
      <x:c r="AB379" s="29" t="str">
        <x:v>YouTube 高质量创作者</x:v>
      </x:c>
      <x:c r="AC379" s="29" t="str">
        <x:v>https://www.youtube.com/@Vsauce</x:v>
      </x:c>
      <x:c r="AD379" s="29" t="str">
        <x:v>2026-08-17</x:v>
      </x:c>
      <x:c r="AE379" s="29" t="n">
        <x:v>200</x:v>
      </x:c>
      <x:c r="AF379" s="29" t="str">
        <x:v>https://www.youtube.com/feeds/videos.xml?channel_id=UC6nSFpj9HTCZ5t-N3Rm3-HA</x:v>
      </x:c>
      <x:c r="AG379" s="29" t="str"/>
    </x:row>
    <x:row r="380" ht="44" customHeight="1">
      <x:c r="A380" s="29" t="str">
        <x:v>SRC-376</x:v>
      </x:c>
      <x:c r="B380" s="29" t="str">
        <x:f>IF(C380&gt;=93,"S",IF(C380&gt;=90,"A",IF(C380&gt;=80,"B","C")))</x:f>
        <x:v>C</x:v>
      </x:c>
      <x:c r="C380" s="72" t="n">
        <x:f>ROUND((P380*0.20+Q380*0.18+R380*0.20+S380*0.15+T380*0.12+U380*0.10+V380*0.05)*20,0)</x:f>
        <x:v>77</x:v>
      </x:c>
      <x:c r="D380" s="29" t="str">
        <x:v>商业、管理与创新</x:v>
      </x:c>
      <x:c r="E380" s="29" t="str">
        <x:v>公司史与战略案例</x:v>
      </x:c>
      <x:c r="F380" s="29" t="str">
        <x:v>Acquired</x:v>
      </x:c>
      <x:c r="G380" s="29" t="str"/>
      <x:c r="H380" s="29" t="str">
        <x:v>长篇公司历史、战略、并购、创始人访谈与商业模型</x:v>
      </x:c>
      <x:c r="I380" s="29" t="str">
        <x:v>en</x:v>
      </x:c>
      <x:c r="J380" s="29" t="str">
        <x:v>观点源</x:v>
      </x:c>
      <x:c r="K380" s="29" t="str">
        <x:v>Open</x:v>
      </x:c>
      <x:c r="L380" s="29" t="str">
        <x:v>每月约1集</x:v>
      </x:c>
      <x:c r="M380" s="29" t="str">
        <x:v>https://www.acquired.fm/</x:v>
      </x:c>
      <x:c r="N380" s="29" t="str">
        <x:v>https://feeds.transistor.fm/acquired</x:v>
      </x:c>
      <x:c r="O380" s="29" t="str">
        <x:v>有效</x:v>
      </x:c>
      <x:c r="P380" s="72" t="n">
        <x:v>3</x:v>
      </x:c>
      <x:c r="Q380" s="72" t="n">
        <x:v>5</x:v>
      </x:c>
      <x:c r="R380" s="72" t="n">
        <x:v>3</x:v>
      </x:c>
      <x:c r="S380" s="72" t="n">
        <x:v>5</x:v>
      </x:c>
      <x:c r="T380" s="72" t="n">
        <x:v>3</x:v>
      </x:c>
      <x:c r="U380" s="72" t="n">
        <x:v>4</x:v>
      </x:c>
      <x:c r="V380" s="72" t="n">
        <x:v>5</x:v>
      </x:c>
      <x:c r="W380" s="29" t="str">
        <x:v>把一家公司的关键转折点做成时间线，并区分当时信息与事后解释。</x:v>
      </x:c>
      <x:c r="X380" s="29" t="str">
        <x:v>单集常做数十小时研究，用公司发展全过程解释战略选择和产业结构。</x:v>
      </x:c>
      <x:c r="Y380" s="29" t="str">
        <x:v>2026-08-17：官方Transistor RSS返回200和有效XML；属于二手综合叙事，关键事实需核对财报、档案或当事人材料。</x:v>
      </x:c>
      <x:c r="Z380" s="75" t="b">
        <x:v>0</x:v>
      </x:c>
      <x:c r="AA380" s="29"/>
      <x:c r="AB380" s="29" t="str">
        <x:v>扩展调研：成长、学习、商业与管理</x:v>
      </x:c>
      <x:c r="AC380" s="29" t="str">
        <x:v>https://www.acquired.fm/</x:v>
      </x:c>
      <x:c r="AD380" s="29" t="str">
        <x:v>2026-08-17</x:v>
      </x:c>
      <x:c r="AE380" s="29" t="n">
        <x:v>200</x:v>
      </x:c>
      <x:c r="AF380" s="29" t="str">
        <x:v>https://feeds.transistor.fm/acquired</x:v>
      </x:c>
      <x:c r="AG380" s="29" t="str"/>
    </x:row>
    <x:row r="381" ht="44" customHeight="1">
      <x:c r="A381" s="29" t="str">
        <x:v>SRC-377</x:v>
      </x:c>
      <x:c r="B381" s="29" t="str">
        <x:f>IF(C381&gt;=93,"S",IF(C381&gt;=90,"A",IF(C381&gt;=80,"B","C")))</x:f>
        <x:v>C</x:v>
      </x:c>
      <x:c r="C381" s="72" t="n">
        <x:f>ROUND((P381*0.20+Q381*0.18+R381*0.20+S381*0.15+T381*0.12+U381*0.10+V381*0.05)*20,0)</x:f>
        <x:v>77</x:v>
      </x:c>
      <x:c r="D381" s="29" t="str">
        <x:v>商业、管理与创新</x:v>
      </x:c>
      <x:c r="E381" s="29" t="str">
        <x:v>创业与公司建设</x:v>
      </x:c>
      <x:c r="F381" s="29" t="str">
        <x:v>First Round Review</x:v>
      </x:c>
      <x:c r="G381" s="29" t="str"/>
      <x:c r="H381" s="29" t="str">
        <x:v>创始人和高管深访、产品市场契合、招聘、管理与增长手册</x:v>
      </x:c>
      <x:c r="I381" s="29" t="str">
        <x:v>en</x:v>
      </x:c>
      <x:c r="J381" s="29" t="str">
        <x:v>观点源</x:v>
      </x:c>
      <x:c r="K381" s="29" t="str">
        <x:v>Open</x:v>
      </x:c>
      <x:c r="L381" s="29" t="str">
        <x:v>每周约1至3篇</x:v>
      </x:c>
      <x:c r="M381" s="29" t="str">
        <x:v>https://review.firstround.com/</x:v>
      </x:c>
      <x:c r="N381" s="29" t="str"/>
      <x:c r="O381" s="29" t="str">
        <x:v>无RSS/API入口</x:v>
      </x:c>
      <x:c r="P381" s="72" t="n">
        <x:v>3</x:v>
      </x:c>
      <x:c r="Q381" s="72" t="n">
        <x:v>5</x:v>
      </x:c>
      <x:c r="R381" s="72" t="n">
        <x:v>3</x:v>
      </x:c>
      <x:c r="S381" s="72" t="n">
        <x:v>5</x:v>
      </x:c>
      <x:c r="T381" s="72" t="n">
        <x:v>3</x:v>
      </x:c>
      <x:c r="U381" s="72" t="n">
        <x:v>4</x:v>
      </x:c>
      <x:c r="V381" s="72" t="n">
        <x:v>5</x:v>
      </x:c>
      <x:c r="W381" s="29" t="str">
        <x:v>将一个公司实践拆成背景、关键决策、指标和可迁移做法。</x:v>
      </x:c>
      <x:c r="X381" s="29" t="str">
        <x:v>强调由一线建设者讲清具体做法，案例细节和可复用模板密度很高。</x:v>
      </x:c>
      <x:c r="Y381" s="29" t="str">
        <x:v>2026-08-17：官网返回200；未发现文章统一RSS，按平台收录。来源由风投机构运营，需注意成功案例选择偏差。</x:v>
      </x:c>
      <x:c r="Z381" s="75" t="b">
        <x:v>0</x:v>
      </x:c>
      <x:c r="AA381" s="29"/>
      <x:c r="AB381" s="29" t="str">
        <x:v>扩展调研：成长、学习、商业与管理</x:v>
      </x:c>
      <x:c r="AC381" s="29" t="str">
        <x:v>https://review.firstround.com/</x:v>
      </x:c>
      <x:c r="AD381" s="29" t="str">
        <x:v>2026-08-17</x:v>
      </x:c>
      <x:c r="AE381" s="29"/>
      <x:c r="AF381" s="29" t="str"/>
      <x:c r="AG381" s="29" t="str"/>
    </x:row>
    <x:row r="382" ht="44" customHeight="1">
      <x:c r="A382" s="29" t="str">
        <x:v>SRC-378</x:v>
      </x:c>
      <x:c r="B382" s="29" t="str">
        <x:f>IF(C382&gt;=93,"S",IF(C382&gt;=90,"A",IF(C382&gt;=80,"B","C")))</x:f>
        <x:v>C</x:v>
      </x:c>
      <x:c r="C382" s="72" t="n">
        <x:f>ROUND((P382*0.20+Q382*0.18+R382*0.20+S382*0.15+T382*0.12+U382*0.10+V382*0.05)*20,0)</x:f>
        <x:v>77</x:v>
      </x:c>
      <x:c r="D382" s="29" t="str">
        <x:v>商业、管理与创新</x:v>
      </x:c>
      <x:c r="E382" s="29" t="str">
        <x:v>创始人访谈与创业故事</x:v>
      </x:c>
      <x:c r="F382" s="29" t="str">
        <x:v>How I Built This</x:v>
      </x:c>
      <x:c r="G382" s="29" t="str"/>
      <x:c r="H382" s="29" t="str">
        <x:v>创始人长访谈、品牌起源、失败、转折与公司建设</x:v>
      </x:c>
      <x:c r="I382" s="29" t="str">
        <x:v>en</x:v>
      </x:c>
      <x:c r="J382" s="29" t="str">
        <x:v>观点源</x:v>
      </x:c>
      <x:c r="K382" s="29" t="str">
        <x:v>Open</x:v>
      </x:c>
      <x:c r="L382" s="29" t="str">
        <x:v>每周约1集</x:v>
      </x:c>
      <x:c r="M382" s="29" t="str">
        <x:v>https://www.npr.org/series/490248027/how-i-built-this</x:v>
      </x:c>
      <x:c r="N382" s="29" t="str">
        <x:v>https://rss.art19.com/how-i-built-this</x:v>
      </x:c>
      <x:c r="O382" s="29" t="str">
        <x:v>重定向后有效</x:v>
      </x:c>
      <x:c r="P382" s="72" t="n">
        <x:v>3</x:v>
      </x:c>
      <x:c r="Q382" s="72" t="n">
        <x:v>5</x:v>
      </x:c>
      <x:c r="R382" s="72" t="n">
        <x:v>3</x:v>
      </x:c>
      <x:c r="S382" s="72" t="n">
        <x:v>5</x:v>
      </x:c>
      <x:c r="T382" s="72" t="n">
        <x:v>3</x:v>
      </x:c>
      <x:c r="U382" s="72" t="n">
        <x:v>4</x:v>
      </x:c>
      <x:c r="V382" s="72" t="n">
        <x:v>5</x:v>
      </x:c>
      <x:c r="W382" s="29" t="str">
        <x:v>从创始人口述提炼一次失败、一次转折和一条反成功学教训。</x:v>
      </x:c>
      <x:c r="X382" s="29" t="str">
        <x:v>高质量口述商业史，能提供细节、情绪和关键决策，适合人本化的商业内容。</x:v>
      </x:c>
      <x:c r="Y382" s="29" t="str">
        <x:v>2026-08-17：NPR官方Feed返回200并重定向至有效Art19 RSS；创始人回忆存在叙事和幸存者偏差。</x:v>
      </x:c>
      <x:c r="Z382" s="75" t="b">
        <x:v>0</x:v>
      </x:c>
      <x:c r="AA382" s="29"/>
      <x:c r="AB382" s="29" t="str">
        <x:v>扩展调研：成长、学习、商业与管理</x:v>
      </x:c>
      <x:c r="AC382" s="29" t="str">
        <x:v>https://www.npr.org/series/490248027/how-i-built-this</x:v>
      </x:c>
      <x:c r="AD382" s="29" t="str">
        <x:v>2026-08-17</x:v>
      </x:c>
      <x:c r="AE382" s="29" t="n">
        <x:v>200</x:v>
      </x:c>
      <x:c r="AF382" s="29" t="str">
        <x:v>https://rss.art19.com/how-i-built-this</x:v>
      </x:c>
      <x:c r="AG382" s="29" t="str"/>
    </x:row>
    <x:row r="383" ht="44" customHeight="1">
      <x:c r="A383" s="29" t="str">
        <x:v>SRC-379</x:v>
      </x:c>
      <x:c r="B383" s="29" t="str">
        <x:f>IF(C383&gt;=93,"S",IF(C383&gt;=90,"A",IF(C383&gt;=80,"B","C")))</x:f>
        <x:v>C</x:v>
      </x:c>
      <x:c r="C383" s="72" t="n">
        <x:f>ROUND((P383*0.20+Q383*0.18+R383*0.20+S383*0.15+T383*0.12+U383*0.10+V383*0.05)*20,0)</x:f>
        <x:v>77</x:v>
      </x:c>
      <x:c r="D383" s="29" t="str">
        <x:v>商业、管理与创新</x:v>
      </x:c>
      <x:c r="E383" s="29" t="str">
        <x:v>创业、组织与科技趋势</x:v>
      </x:c>
      <x:c r="F383" s="29" t="str">
        <x:v>Sequoia Capital Stories</x:v>
      </x:c>
      <x:c r="G383" s="29" t="str"/>
      <x:c r="H383" s="29" t="str">
        <x:v>投资人观点、创始人故事、公司建设、市场与技术趋势</x:v>
      </x:c>
      <x:c r="I383" s="29" t="str">
        <x:v>en</x:v>
      </x:c>
      <x:c r="J383" s="29" t="str">
        <x:v>观点源</x:v>
      </x:c>
      <x:c r="K383" s="29" t="str">
        <x:v>Open</x:v>
      </x:c>
      <x:c r="L383" s="29" t="str">
        <x:v>每月约2至8篇</x:v>
      </x:c>
      <x:c r="M383" s="29" t="str">
        <x:v>https://sequoiacap.com/stories/?_story-category=perspective</x:v>
      </x:c>
      <x:c r="N383" s="29" t="str"/>
      <x:c r="O383" s="29" t="str">
        <x:v>无RSS/API入口</x:v>
      </x:c>
      <x:c r="P383" s="72" t="n">
        <x:v>3</x:v>
      </x:c>
      <x:c r="Q383" s="72" t="n">
        <x:v>5</x:v>
      </x:c>
      <x:c r="R383" s="72" t="n">
        <x:v>3</x:v>
      </x:c>
      <x:c r="S383" s="72" t="n">
        <x:v>5</x:v>
      </x:c>
      <x:c r="T383" s="72" t="n">
        <x:v>3</x:v>
      </x:c>
      <x:c r="U383" s="72" t="n">
        <x:v>4</x:v>
      </x:c>
      <x:c r="V383" s="72" t="n">
        <x:v>5</x:v>
      </x:c>
      <x:c r="W383" s="29" t="str">
        <x:v>引用具体公司历程或投资判断，并加入反方数据。</x:v>
      </x:c>
      <x:c r="X383" s="29" t="str">
        <x:v>提供长期创业观察、标志性公司案例和投资人的明确判断，适合形成可争辩观点。</x:v>
      </x:c>
      <x:c r="Y383" s="29" t="str">
        <x:v>2026-08-17：Stories页面返回200；未发现稳定官方RSS。属于投资机构自有叙事，应标注利益关系和幸存者偏差。</x:v>
      </x:c>
      <x:c r="Z383" s="75" t="b">
        <x:v>0</x:v>
      </x:c>
      <x:c r="AA383" s="29"/>
      <x:c r="AB383" s="29" t="str">
        <x:v>扩展调研：成长、学习、商业与管理</x:v>
      </x:c>
      <x:c r="AC383" s="29" t="str">
        <x:v>https://sequoiacap.com/stories/?_story-category=perspective</x:v>
      </x:c>
      <x:c r="AD383" s="29" t="str">
        <x:v>2026-08-17</x:v>
      </x:c>
      <x:c r="AE383" s="29"/>
      <x:c r="AF383" s="29" t="str"/>
      <x:c r="AG383" s="29" t="str"/>
    </x:row>
    <x:row r="384" ht="44" customHeight="1">
      <x:c r="A384" s="29" t="str">
        <x:v>SRC-380</x:v>
      </x:c>
      <x:c r="B384" s="29" t="str">
        <x:f>IF(C384&gt;=93,"S",IF(C384&gt;=90,"A",IF(C384&gt;=80,"B","C")))</x:f>
        <x:v>C</x:v>
      </x:c>
      <x:c r="C384" s="72" t="n">
        <x:f>ROUND((P384*0.20+Q384*0.18+R384*0.20+S384*0.15+T384*0.12+U384*0.10+V384*0.05)*20,0)</x:f>
        <x:v>77</x:v>
      </x:c>
      <x:c r="D384" s="29" t="str">
        <x:v>商业、管理与创新</x:v>
      </x:c>
      <x:c r="E384" s="29" t="str">
        <x:v>创业教育与案例</x:v>
      </x:c>
      <x:c r="F384" s="29" t="str">
        <x:v>Stanford eCorner</x:v>
      </x:c>
      <x:c r="G384" s="29" t="str"/>
      <x:c r="H384" s="29" t="str">
        <x:v>创业者演讲、课堂内容、视频、播客和主题合集</x:v>
      </x:c>
      <x:c r="I384" s="29" t="str">
        <x:v>en</x:v>
      </x:c>
      <x:c r="J384" s="29" t="str">
        <x:v>观点源</x:v>
      </x:c>
      <x:c r="K384" s="29" t="str">
        <x:v>Open</x:v>
      </x:c>
      <x:c r="L384" s="29" t="str">
        <x:v>每月约1至3项</x:v>
      </x:c>
      <x:c r="M384" s="29" t="str">
        <x:v>https://stvp.stanford.edu/ecorner</x:v>
      </x:c>
      <x:c r="N384" s="29" t="str"/>
      <x:c r="O384" s="29" t="str">
        <x:v>无RSS/API入口</x:v>
      </x:c>
      <x:c r="P384" s="72" t="n">
        <x:v>3</x:v>
      </x:c>
      <x:c r="Q384" s="72" t="n">
        <x:v>5</x:v>
      </x:c>
      <x:c r="R384" s="72" t="n">
        <x:v>3</x:v>
      </x:c>
      <x:c r="S384" s="72" t="n">
        <x:v>5</x:v>
      </x:c>
      <x:c r="T384" s="72" t="n">
        <x:v>3</x:v>
      </x:c>
      <x:c r="U384" s="72" t="n">
        <x:v>4</x:v>
      </x:c>
      <x:c r="V384" s="72" t="n">
        <x:v>5</x:v>
      </x:c>
      <x:c r="W384" s="29" t="str">
        <x:v>从一段创业者原话延伸出案例时间线和可迁移经验。</x:v>
      </x:c>
      <x:c r="X384" s="29" t="str">
        <x:v>斯坦福技术创业项目的长期公开档案，可用来对比不同时代的创业方法和失败经验。</x:v>
      </x:c>
      <x:c r="Y384" s="29" t="str">
        <x:v>2026-08-17：旧ecorner域名重定向到STVP官网并返回200；旧RSS路径已404，按平台收录。</x:v>
      </x:c>
      <x:c r="Z384" s="75" t="b">
        <x:v>0</x:v>
      </x:c>
      <x:c r="AA384" s="29"/>
      <x:c r="AB384" s="29" t="str">
        <x:v>扩展调研：成长、学习、商业与管理</x:v>
      </x:c>
      <x:c r="AC384" s="29" t="str">
        <x:v>https://stvp.stanford.edu/ecorner</x:v>
      </x:c>
      <x:c r="AD384" s="29" t="str">
        <x:v>2026-08-17</x:v>
      </x:c>
      <x:c r="AE384" s="29"/>
      <x:c r="AF384" s="29" t="str"/>
      <x:c r="AG384" s="29" t="str"/>
    </x:row>
    <x:row r="385" ht="44" customHeight="1">
      <x:c r="A385" s="29" t="str">
        <x:v>SRC-381</x:v>
      </x:c>
      <x:c r="B385" s="29" t="str">
        <x:f>IF(C385&gt;=93,"S",IF(C385&gt;=90,"A",IF(C385&gt;=80,"B","C")))</x:f>
        <x:v>C</x:v>
      </x:c>
      <x:c r="C385" s="72" t="n">
        <x:f>ROUND((P385*0.20+Q385*0.18+R385*0.20+S385*0.15+T385*0.12+U385*0.10+V385*0.05)*20,0)</x:f>
        <x:v>77</x:v>
      </x:c>
      <x:c r="D385" s="29" t="str">
        <x:v>成长与学习</x:v>
      </x:c>
      <x:c r="E385" s="29" t="str">
        <x:v>职场沟通与管理</x:v>
      </x:c>
      <x:c r="F385" s="29" t="str">
        <x:v>Ask a Manager</x:v>
      </x:c>
      <x:c r="G385" s="29" t="str"/>
      <x:c r="H385" s="29" t="str">
        <x:v>职场问答、管理建议、沟通脚本、招聘与劳动关系</x:v>
      </x:c>
      <x:c r="I385" s="29" t="str">
        <x:v>en</x:v>
      </x:c>
      <x:c r="J385" s="29" t="str">
        <x:v>观点源</x:v>
      </x:c>
      <x:c r="K385" s="29" t="str">
        <x:v>Open</x:v>
      </x:c>
      <x:c r="L385" s="29" t="str">
        <x:v>工作日每日多篇</x:v>
      </x:c>
      <x:c r="M385" s="29" t="str">
        <x:v>https://www.askamanager.org/</x:v>
      </x:c>
      <x:c r="N385" s="29" t="str">
        <x:v>https://www.askamanager.org/feed</x:v>
      </x:c>
      <x:c r="O385" s="29" t="str">
        <x:v>有效</x:v>
      </x:c>
      <x:c r="P385" s="72" t="n">
        <x:v>3</x:v>
      </x:c>
      <x:c r="Q385" s="72" t="n">
        <x:v>5</x:v>
      </x:c>
      <x:c r="R385" s="72" t="n">
        <x:v>3</x:v>
      </x:c>
      <x:c r="S385" s="72" t="n">
        <x:v>5</x:v>
      </x:c>
      <x:c r="T385" s="72" t="n">
        <x:v>3</x:v>
      </x:c>
      <x:c r="U385" s="72" t="n">
        <x:v>4</x:v>
      </x:c>
      <x:c r="V385" s="72" t="n">
        <x:v>5</x:v>
      </x:c>
      <x:c r="W385" s="29" t="str">
        <x:v>用匿名案例写情境判断、可复用话术和边界提醒。</x:v>
      </x:c>
      <x:c r="X385" s="29" t="str">
        <x:v>长期积累大量真实职场情境，回答具体且重视权力关系与边界。</x:v>
      </x:c>
      <x:c r="Y385" s="29" t="str">
        <x:v>2026-08-17：主页自动化访问受403限制，但官方RSS返回200和有效XML；建议内容属于经验判断而非研究证据。</x:v>
      </x:c>
      <x:c r="Z385" s="75" t="b">
        <x:v>0</x:v>
      </x:c>
      <x:c r="AA385" s="29"/>
      <x:c r="AB385" s="29" t="str">
        <x:v>扩展调研：成长、学习、商业与管理</x:v>
      </x:c>
      <x:c r="AC385" s="29" t="str">
        <x:v>https://www.askamanager.org/feed</x:v>
      </x:c>
      <x:c r="AD385" s="29" t="str">
        <x:v>2026-08-17</x:v>
      </x:c>
      <x:c r="AE385" s="29" t="n">
        <x:v>200</x:v>
      </x:c>
      <x:c r="AF385" s="29" t="str">
        <x:v>https://www.askamanager.org/feed</x:v>
      </x:c>
      <x:c r="AG385" s="29" t="str"/>
    </x:row>
    <x:row r="386" ht="44" customHeight="1">
      <x:c r="A386" s="29" t="str">
        <x:v>SRC-382</x:v>
      </x:c>
      <x:c r="B386" s="29" t="str">
        <x:f>IF(C386&gt;=93,"S",IF(C386&gt;=90,"A",IF(C386&gt;=80,"B","C")))</x:f>
        <x:v>C</x:v>
      </x:c>
      <x:c r="C386" s="72" t="n">
        <x:f>ROUND((P386*0.20+Q386*0.18+R386*0.20+S386*0.15+T386*0.12+U386*0.10+V386*0.05)*20,0)</x:f>
        <x:v>77</x:v>
      </x:c>
      <x:c r="D386" s="29" t="str">
        <x:v>成长与学习</x:v>
      </x:c>
      <x:c r="E386" s="29" t="str">
        <x:v>专注、职业与数字生活</x:v>
      </x:c>
      <x:c r="F386" s="29" t="str">
        <x:v>Cal Newport</x:v>
      </x:c>
      <x:c r="G386" s="29" t="str"/>
      <x:c r="H386" s="29" t="str">
        <x:v>深度工作、注意力、职业资本、数字工具与知识工作</x:v>
      </x:c>
      <x:c r="I386" s="29" t="str">
        <x:v>en</x:v>
      </x:c>
      <x:c r="J386" s="29" t="str">
        <x:v>观点源</x:v>
      </x:c>
      <x:c r="K386" s="29" t="str">
        <x:v>Open</x:v>
      </x:c>
      <x:c r="L386" s="29" t="str">
        <x:v>每周约1至3篇</x:v>
      </x:c>
      <x:c r="M386" s="29" t="str">
        <x:v>https://calnewport.com/blog/</x:v>
      </x:c>
      <x:c r="N386" s="29" t="str">
        <x:v>https://calnewport.com/feed/</x:v>
      </x:c>
      <x:c r="O386" s="29" t="str">
        <x:v>有效</x:v>
      </x:c>
      <x:c r="P386" s="72" t="n">
        <x:v>3</x:v>
      </x:c>
      <x:c r="Q386" s="72" t="n">
        <x:v>5</x:v>
      </x:c>
      <x:c r="R386" s="72" t="n">
        <x:v>3</x:v>
      </x:c>
      <x:c r="S386" s="72" t="n">
        <x:v>5</x:v>
      </x:c>
      <x:c r="T386" s="72" t="n">
        <x:v>3</x:v>
      </x:c>
      <x:c r="U386" s="72" t="n">
        <x:v>4</x:v>
      </x:c>
      <x:c r="V386" s="72" t="n">
        <x:v>5</x:v>
      </x:c>
      <x:c r="W386" s="29" t="str">
        <x:v>用一个注意力成本反驳默认的效率叙事，并给出工作设计建议。</x:v>
      </x:c>
      <x:c r="X386" s="29" t="str">
        <x:v>围绕专注和工作设计形成了长期一致的论证体系，常提供可讨论的反主流观点。</x:v>
      </x:c>
      <x:c r="Y386" s="29" t="str">
        <x:v>2026-08-17：官方RSS返回200和有效XML；观点性强，引用研究时核对原始文献。</x:v>
      </x:c>
      <x:c r="Z386" s="75" t="b">
        <x:v>0</x:v>
      </x:c>
      <x:c r="AA386" s="29"/>
      <x:c r="AB386" s="29" t="str">
        <x:v>扩展调研：成长、学习、商业与管理</x:v>
      </x:c>
      <x:c r="AC386" s="29" t="str">
        <x:v>https://calnewport.com/feed/</x:v>
      </x:c>
      <x:c r="AD386" s="29" t="str">
        <x:v>2026-08-17</x:v>
      </x:c>
      <x:c r="AE386" s="29" t="n">
        <x:v>200</x:v>
      </x:c>
      <x:c r="AF386" s="29" t="str">
        <x:v>https://calnewport.com/feed/</x:v>
      </x:c>
      <x:c r="AG386" s="29" t="str"/>
    </x:row>
    <x:row r="387" ht="44" customHeight="1">
      <x:c r="A387" s="29" t="str">
        <x:v>SRC-383</x:v>
      </x:c>
      <x:c r="B387" s="29" t="str">
        <x:f>IF(C387&gt;=93,"S",IF(C387&gt;=90,"A",IF(C387&gt;=80,"B","C")))</x:f>
        <x:v>C</x:v>
      </x:c>
      <x:c r="C387" s="72" t="n">
        <x:f>ROUND((P387*0.20+Q387*0.18+R387*0.20+S387*0.15+T387*0.12+U387*0.10+V387*0.05)*20,0)</x:f>
        <x:v>77</x:v>
      </x:c>
      <x:c r="D387" s="29" t="str">
        <x:v>成长与学习</x:v>
      </x:c>
      <x:c r="E387" s="29" t="str">
        <x:v>自我教育与技能习得</x:v>
      </x:c>
      <x:c r="F387" s="29" t="str">
        <x:v>Scott H Young</x:v>
      </x:c>
      <x:c r="G387" s="29" t="str"/>
      <x:c r="H387" s="29" t="str">
        <x:v>学习策略、技能习得、职业思考、读书与个人实验</x:v>
      </x:c>
      <x:c r="I387" s="29" t="str">
        <x:v>en</x:v>
      </x:c>
      <x:c r="J387" s="29" t="str">
        <x:v>观点源</x:v>
      </x:c>
      <x:c r="K387" s="29" t="str">
        <x:v>Open</x:v>
      </x:c>
      <x:c r="L387" s="29" t="str">
        <x:v>每周约1篇</x:v>
      </x:c>
      <x:c r="M387" s="29" t="str">
        <x:v>https://www.scotthyoung.com/blog/</x:v>
      </x:c>
      <x:c r="N387" s="29" t="str">
        <x:v>https://www.scotthyoung.com/blog/feed/</x:v>
      </x:c>
      <x:c r="O387" s="29" t="str">
        <x:v>有效</x:v>
      </x:c>
      <x:c r="P387" s="72" t="n">
        <x:v>3</x:v>
      </x:c>
      <x:c r="Q387" s="72" t="n">
        <x:v>5</x:v>
      </x:c>
      <x:c r="R387" s="72" t="n">
        <x:v>3</x:v>
      </x:c>
      <x:c r="S387" s="72" t="n">
        <x:v>5</x:v>
      </x:c>
      <x:c r="T387" s="72" t="n">
        <x:v>3</x:v>
      </x:c>
      <x:c r="U387" s="72" t="n">
        <x:v>4</x:v>
      </x:c>
      <x:c r="V387" s="72" t="n">
        <x:v>5</x:v>
      </x:c>
      <x:c r="W387" s="29" t="str">
        <x:v>把一个技能拆成练习回路、反馈机制与常见失败点。</x:v>
      </x:c>
      <x:c r="X387" s="29" t="str">
        <x:v>长期记录学习项目与方法论，能提供完整过程、失败经验和可测试建议。</x:v>
      </x:c>
      <x:c r="Y387" s="29" t="str">
        <x:v>2026-08-17：官方RSS返回200和有效XML；个人实验不能直接视为普遍因果证据。</x:v>
      </x:c>
      <x:c r="Z387" s="75" t="b">
        <x:v>0</x:v>
      </x:c>
      <x:c r="AA387" s="29"/>
      <x:c r="AB387" s="29" t="str">
        <x:v>扩展调研：成长、学习、商业与管理</x:v>
      </x:c>
      <x:c r="AC387" s="29" t="str">
        <x:v>https://www.scotthyoung.com/blog/feed/</x:v>
      </x:c>
      <x:c r="AD387" s="29" t="str">
        <x:v>2026-08-17</x:v>
      </x:c>
      <x:c r="AE387" s="29" t="n">
        <x:v>200</x:v>
      </x:c>
      <x:c r="AF387" s="29" t="str">
        <x:v>https://www.scotthyoung.com/blog/feed/</x:v>
      </x:c>
      <x:c r="AG387" s="29" t="str"/>
    </x:row>
    <x:row r="388" ht="44" customHeight="1">
      <x:c r="A388" s="29" t="str">
        <x:v>SRC-384</x:v>
      </x:c>
      <x:c r="B388" s="29" t="str">
        <x:f>IF(C388&gt;=93,"S",IF(C388&gt;=90,"A",IF(C388&gt;=80,"B","C")))</x:f>
        <x:v>C</x:v>
      </x:c>
      <x:c r="C388" s="72" t="n">
        <x:f>ROUND((P388*0.20+Q388*0.18+R388*0.20+S388*0.15+T388*0.12+U388*0.10+V388*0.05)*20,0)</x:f>
        <x:v>77</x:v>
      </x:c>
      <x:c r="D388" s="29" t="str">
        <x:v>社群与发现</x:v>
      </x:c>
      <x:c r="E388" s="29" t="str">
        <x:v>战略、组织与复杂系统</x:v>
      </x:c>
      <x:c r="F388" s="29" t="str">
        <x:v>Ribbonfarm</x:v>
      </x:c>
      <x:c r="G388" s="29" t="str"/>
      <x:c r="H388" s="29" t="str">
        <x:v>原创概念、长篇随笔、组织与互联网文化</x:v>
      </x:c>
      <x:c r="I388" s="29" t="str">
        <x:v>en</x:v>
      </x:c>
      <x:c r="J388" s="29" t="str">
        <x:v>观点源</x:v>
      </x:c>
      <x:c r="K388" s="29" t="str">
        <x:v>Open</x:v>
      </x:c>
      <x:c r="L388" s="29" t="str">
        <x:v>不定期，档案型</x:v>
      </x:c>
      <x:c r="M388" s="29" t="str">
        <x:v>https://www.ribbonfarm.com/</x:v>
      </x:c>
      <x:c r="N388" s="29" t="str"/>
      <x:c r="O388" s="29" t="str">
        <x:v>无RSS/API入口</x:v>
      </x:c>
      <x:c r="P388" s="72" t="n">
        <x:v>3</x:v>
      </x:c>
      <x:c r="Q388" s="72" t="n">
        <x:v>5</x:v>
      </x:c>
      <x:c r="R388" s="72" t="n">
        <x:v>3</x:v>
      </x:c>
      <x:c r="S388" s="72" t="n">
        <x:v>5</x:v>
      </x:c>
      <x:c r="T388" s="72" t="n">
        <x:v>3</x:v>
      </x:c>
      <x:c r="U388" s="72" t="n">
        <x:v>4</x:v>
      </x:c>
      <x:c r="V388" s="72" t="n">
        <x:v>5</x:v>
      </x:c>
      <x:c r="W388" s="29" t="str">
        <x:v>原创概念、框架图和跨学科长线程。</x:v>
      </x:c>
      <x:c r="X388" s="29" t="str">
        <x:v>原创框架与概念密度高，档案适合跨学科思考和建立非共识叙事。</x:v>
      </x:c>
      <x:c r="Y388" s="29" t="str">
        <x:v>2026-08-17：标准 WordPress Feed 可解析；更新低频，保留作档案源。</x:v>
      </x:c>
      <x:c r="Z388" s="75" t="b">
        <x:v>0</x:v>
      </x:c>
      <x:c r="AA388" s="29"/>
      <x:c r="AB388" s="29" t="str">
        <x:v>扩展调研：人文、历史、哲学与设计</x:v>
      </x:c>
      <x:c r="AC388" s="29" t="str">
        <x:v>https://www.ribbonfarm.com/</x:v>
      </x:c>
      <x:c r="AD388" s="29" t="str">
        <x:v>2026-08-17</x:v>
      </x:c>
      <x:c r="AE388" s="29"/>
      <x:c r="AF388" s="29" t="str"/>
      <x:c r="AG388" s="29" t="str"/>
    </x:row>
    <x:row r="389" ht="44" customHeight="1">
      <x:c r="A389" s="29" t="str">
        <x:v>SRC-385</x:v>
      </x:c>
      <x:c r="B389" s="29" t="str">
        <x:f>IF(C389&gt;=93,"S",IF(C389&gt;=90,"A",IF(C389&gt;=80,"B","C")))</x:f>
        <x:v>C</x:v>
      </x:c>
      <x:c r="C389" s="72" t="n">
        <x:f>ROUND((P389*0.20+Q389*0.18+R389*0.20+S389*0.15+T389*0.12+U389*0.10+V389*0.05)*20,0)</x:f>
        <x:v>77</x:v>
      </x:c>
      <x:c r="D389" s="29" t="str">
        <x:v>艺术、设计与建筑</x:v>
      </x:c>
      <x:c r="E389" s="29" t="str">
        <x:v>设计批评与视觉文化</x:v>
      </x:c>
      <x:c r="F389" s="29" t="str">
        <x:v>Design Observer</x:v>
      </x:c>
      <x:c r="G389" s="29" t="str"/>
      <x:c r="H389" s="29" t="str">
        <x:v>设计评论、历史、城市与媒介文章</x:v>
      </x:c>
      <x:c r="I389" s="29" t="str">
        <x:v>en</x:v>
      </x:c>
      <x:c r="J389" s="29" t="str">
        <x:v>观点源</x:v>
      </x:c>
      <x:c r="K389" s="29" t="str">
        <x:v>Open</x:v>
      </x:c>
      <x:c r="L389" s="29" t="str">
        <x:v>每周约1至3篇</x:v>
      </x:c>
      <x:c r="M389" s="29" t="str">
        <x:v>https://designobserver.com/</x:v>
      </x:c>
      <x:c r="N389" s="29" t="str">
        <x:v>https://designobserver.com/feed/</x:v>
      </x:c>
      <x:c r="O389" s="29" t="str">
        <x:v>有效</x:v>
      </x:c>
      <x:c r="P389" s="72" t="n">
        <x:v>3</x:v>
      </x:c>
      <x:c r="Q389" s="72" t="n">
        <x:v>5</x:v>
      </x:c>
      <x:c r="R389" s="72" t="n">
        <x:v>3</x:v>
      </x:c>
      <x:c r="S389" s="72" t="n">
        <x:v>5</x:v>
      </x:c>
      <x:c r="T389" s="72" t="n">
        <x:v>3</x:v>
      </x:c>
      <x:c r="U389" s="72" t="n">
        <x:v>4</x:v>
      </x:c>
      <x:c r="V389" s="72" t="n">
        <x:v>5</x:v>
      </x:c>
      <x:c r="W389" s="29" t="str">
        <x:v>为什么这个设计重要的论证型帖子。</x:v>
      </x:c>
      <x:c r="X389" s="29" t="str">
        <x:v>比单纯作品展示更重历史、社会语境和批评，是解释设计为何重要的优质来源。</x:v>
      </x:c>
      <x:c r="Y389" s="29" t="str">
        <x:v>2026-08-17：Feed 端点返回 application/rss+xml。</x:v>
      </x:c>
      <x:c r="Z389" s="75" t="b">
        <x:v>0</x:v>
      </x:c>
      <x:c r="AA389" s="29"/>
      <x:c r="AB389" s="29" t="str">
        <x:v>扩展调研：人文、历史、哲学与设计</x:v>
      </x:c>
      <x:c r="AC389" s="29" t="str">
        <x:v>https://designobserver.com/</x:v>
      </x:c>
      <x:c r="AD389" s="29" t="str">
        <x:v>2026-08-17</x:v>
      </x:c>
      <x:c r="AE389" s="29" t="n">
        <x:v>200</x:v>
      </x:c>
      <x:c r="AF389" s="29" t="str">
        <x:v>https://designobserver.com/feed/</x:v>
      </x:c>
      <x:c r="AG389" s="29" t="str"/>
    </x:row>
    <x:row r="390" ht="44" customHeight="1">
      <x:c r="A390" s="29" t="str">
        <x:v>SRC-386</x:v>
      </x:c>
      <x:c r="B390" s="29" t="str">
        <x:f>IF(C390&gt;=93,"S",IF(C390&gt;=90,"A",IF(C390&gt;=80,"B","C")))</x:f>
        <x:v>C</x:v>
      </x:c>
      <x:c r="C390" s="72" t="n">
        <x:f>ROUND((P390*0.20+Q390*0.18+R390*0.20+S390*0.15+T390*0.12+U390*0.10+V390*0.05)*20,0)</x:f>
        <x:v>75</x:v>
      </x:c>
      <x:c r="D390" s="29" t="str">
        <x:v>人文与跨学科</x:v>
      </x:c>
      <x:c r="E390" s="29" t="str">
        <x:v>社会、文化与人文写作</x:v>
      </x:c>
      <x:c r="F390" s="29" t="str">
        <x:v>anildash.com</x:v>
      </x:c>
      <x:c r="G390" s="29" t="str">
        <x:v>Anil Dash</x:v>
      </x:c>
      <x:c r="H390" s="29" t="str">
        <x:v>独立博客 / 长文</x:v>
      </x:c>
      <x:c r="I390" s="29" t="str">
        <x:v>en</x:v>
      </x:c>
      <x:c r="J390" s="29" t="str">
        <x:v>观点源</x:v>
      </x:c>
      <x:c r="K390" s="29" t="str">
        <x:v>Open</x:v>
      </x:c>
      <x:c r="L390" s="29" t="str">
        <x:v>不定期</x:v>
      </x:c>
      <x:c r="M390" s="29" t="str">
        <x:v>https://anildash.com</x:v>
      </x:c>
      <x:c r="N390" s="29" t="str">
        <x:v>https://www.anildash.com/feed.xml</x:v>
      </x:c>
      <x:c r="O390" s="29" t="str">
        <x:v>重定向后有效</x:v>
      </x:c>
      <x:c r="P390" s="72" t="n">
        <x:v>3</x:v>
      </x:c>
      <x:c r="Q390" s="72" t="n">
        <x:v>5</x:v>
      </x:c>
      <x:c r="R390" s="72" t="n">
        <x:v>3</x:v>
      </x:c>
      <x:c r="S390" s="72" t="n">
        <x:v>5</x:v>
      </x:c>
      <x:c r="T390" s="72" t="n">
        <x:v>3</x:v>
      </x:c>
      <x:c r="U390" s="72" t="n">
        <x:v>3</x:v>
      </x:c>
      <x:c r="V390" s="72" t="n">
        <x:v>5</x:v>
      </x:c>
      <x:c r="W390" s="29" t="str">
        <x:v>观点摘引、文化观察、跨学科连接</x:v>
      </x:c>
      <x:c r="X390" s="29" t="str">
        <x:v>2025 年 Hacker News 高热个人博客。作者背景：Technologist and writer。</x:v>
      </x:c>
      <x:c r="Y390" s="29" t="str">
        <x:v>独立作者源；事实、数字和因果需回到论文、文档或数据。观点须明确归因。</x:v>
      </x:c>
      <x:c r="Z390" s="75" t="b">
        <x:v>1</x:v>
      </x:c>
      <x:c r="AA390" s="29" t="n">
        <x:v>85</x:v>
      </x:c>
      <x:c r="AB390" s="29" t="str">
        <x:v>Karpathy 分享的 HN 2025 RSS 冷启动集</x:v>
      </x:c>
      <x:c r="AC390" s="29" t="str">
        <x:v>https://gist.github.com/emschwartz/e6d2bf860ccc367fe37ff953ba6de66b</x:v>
      </x:c>
      <x:c r="AD390" s="29" t="str">
        <x:v>2026-08-17</x:v>
      </x:c>
      <x:c r="AE390" s="29" t="n">
        <x:v>200</x:v>
      </x:c>
      <x:c r="AF390" s="29" t="str">
        <x:v>https://www.anildash.com/feed.xml</x:v>
      </x:c>
      <x:c r="AG390" s="29" t="str">
        <x:v>culture, technology, policy</x:v>
      </x:c>
    </x:row>
    <x:row r="391" ht="44" customHeight="1">
      <x:c r="A391" s="29" t="str">
        <x:v>SRC-387</x:v>
      </x:c>
      <x:c r="B391" s="29" t="str">
        <x:f>IF(C391&gt;=93,"S",IF(C391&gt;=90,"A",IF(C391&gt;=80,"B","C")))</x:f>
        <x:v>C</x:v>
      </x:c>
      <x:c r="C391" s="72" t="n">
        <x:f>ROUND((P391*0.20+Q391*0.18+R391*0.20+S391*0.15+T391*0.12+U391*0.10+V391*0.05)*20,0)</x:f>
        <x:v>75</x:v>
      </x:c>
      <x:c r="D391" s="29" t="str">
        <x:v>人文与跨学科</x:v>
      </x:c>
      <x:c r="E391" s="29" t="str">
        <x:v>社会、文化与人文写作</x:v>
      </x:c>
      <x:c r="F391" s="29" t="str">
        <x:v>chadnauseam.com</x:v>
      </x:c>
      <x:c r="G391" s="29" t="str">
        <x:v>Chad Nauseam</x:v>
      </x:c>
      <x:c r="H391" s="29" t="str">
        <x:v>独立博客 / 长文</x:v>
      </x:c>
      <x:c r="I391" s="29" t="str">
        <x:v>en</x:v>
      </x:c>
      <x:c r="J391" s="29" t="str">
        <x:v>观点源</x:v>
      </x:c>
      <x:c r="K391" s="29" t="str">
        <x:v>Open</x:v>
      </x:c>
      <x:c r="L391" s="29" t="str">
        <x:v>不定期</x:v>
      </x:c>
      <x:c r="M391" s="29" t="str">
        <x:v>https://chadnauseam.com</x:v>
      </x:c>
      <x:c r="N391" s="29" t="str">
        <x:v>https://chadnauseam.com/rss.xml</x:v>
      </x:c>
      <x:c r="O391" s="29" t="str">
        <x:v>有效</x:v>
      </x:c>
      <x:c r="P391" s="72" t="n">
        <x:v>3</x:v>
      </x:c>
      <x:c r="Q391" s="72" t="n">
        <x:v>5</x:v>
      </x:c>
      <x:c r="R391" s="72" t="n">
        <x:v>3</x:v>
      </x:c>
      <x:c r="S391" s="72" t="n">
        <x:v>5</x:v>
      </x:c>
      <x:c r="T391" s="72" t="n">
        <x:v>3</x:v>
      </x:c>
      <x:c r="U391" s="72" t="n">
        <x:v>3</x:v>
      </x:c>
      <x:c r="V391" s="72" t="n">
        <x:v>5</x:v>
      </x:c>
      <x:c r="W391" s="29" t="str">
        <x:v>观点摘引、文化观察、跨学科连接</x:v>
      </x:c>
      <x:c r="X391" s="29" t="str">
        <x:v>2025 年 Hacker News 高热个人博客。作者背景：Writer and tech enthusiast。</x:v>
      </x:c>
      <x:c r="Y391" s="29" t="str">
        <x:v>独立作者源；事实、数字和因果需回到论文、文档或数据。观点须明确归因。</x:v>
      </x:c>
      <x:c r="Z391" s="75" t="b">
        <x:v>1</x:v>
      </x:c>
      <x:c r="AA391" s="29" t="n">
        <x:v>63</x:v>
      </x:c>
      <x:c r="AB391" s="29" t="str">
        <x:v>Karpathy 分享的 HN 2025 RSS 冷启动集</x:v>
      </x:c>
      <x:c r="AC391" s="29" t="str">
        <x:v>https://gist.github.com/emschwartz/e6d2bf860ccc367fe37ff953ba6de66b</x:v>
      </x:c>
      <x:c r="AD391" s="29" t="str">
        <x:v>2026-08-17</x:v>
      </x:c>
      <x:c r="AE391" s="29" t="n">
        <x:v>200</x:v>
      </x:c>
      <x:c r="AF391" s="29" t="str">
        <x:v>https://chadnauseam.com/rss.xml</x:v>
      </x:c>
      <x:c r="AG391" s="29" t="str">
        <x:v>technology, culture, personal essays</x:v>
      </x:c>
    </x:row>
    <x:row r="392" ht="44" customHeight="1">
      <x:c r="A392" s="29" t="str">
        <x:v>SRC-388</x:v>
      </x:c>
      <x:c r="B392" s="29" t="str">
        <x:f>IF(C392&gt;=93,"S",IF(C392&gt;=90,"A",IF(C392&gt;=80,"B","C")))</x:f>
        <x:v>C</x:v>
      </x:c>
      <x:c r="C392" s="72" t="n">
        <x:f>ROUND((P392*0.20+Q392*0.18+R392*0.20+S392*0.15+T392*0.12+U392*0.10+V392*0.05)*20,0)</x:f>
        <x:v>75</x:v>
      </x:c>
      <x:c r="D392" s="29" t="str">
        <x:v>人文与跨学科</x:v>
      </x:c>
      <x:c r="E392" s="29" t="str">
        <x:v>社会、文化与人文写作</x:v>
      </x:c>
      <x:c r="F392" s="29" t="str">
        <x:v>derekthompson.org</x:v>
      </x:c>
      <x:c r="G392" s="29" t="str">
        <x:v>Derek Thompson</x:v>
      </x:c>
      <x:c r="H392" s="29" t="str">
        <x:v>独立博客 / 长文</x:v>
      </x:c>
      <x:c r="I392" s="29" t="str">
        <x:v>en</x:v>
      </x:c>
      <x:c r="J392" s="29" t="str">
        <x:v>观点源</x:v>
      </x:c>
      <x:c r="K392" s="29" t="str">
        <x:v>Open</x:v>
      </x:c>
      <x:c r="L392" s="29" t="str">
        <x:v>不定期</x:v>
      </x:c>
      <x:c r="M392" s="29" t="str">
        <x:v>https://derekthompson.org</x:v>
      </x:c>
      <x:c r="N392" s="29" t="str">
        <x:v>https://www.theatlantic.com/feed/author/derek-thompson/</x:v>
      </x:c>
      <x:c r="O392" s="29" t="str">
        <x:v>有效</x:v>
      </x:c>
      <x:c r="P392" s="72" t="n">
        <x:v>3</x:v>
      </x:c>
      <x:c r="Q392" s="72" t="n">
        <x:v>5</x:v>
      </x:c>
      <x:c r="R392" s="72" t="n">
        <x:v>3</x:v>
      </x:c>
      <x:c r="S392" s="72" t="n">
        <x:v>5</x:v>
      </x:c>
      <x:c r="T392" s="72" t="n">
        <x:v>3</x:v>
      </x:c>
      <x:c r="U392" s="72" t="n">
        <x:v>3</x:v>
      </x:c>
      <x:c r="V392" s="72" t="n">
        <x:v>5</x:v>
      </x:c>
      <x:c r="W392" s="29" t="str">
        <x:v>观点摘引、文化观察、跨学科连接</x:v>
      </x:c>
      <x:c r="X392" s="29" t="str">
        <x:v>2025 年 Hacker News 高热个人博客。作者背景：Journalist and author。</x:v>
      </x:c>
      <x:c r="Y392" s="29" t="str">
        <x:v>独立作者源；事实、数字和因果需回到论文、文档或数据。观点须明确归因。</x:v>
      </x:c>
      <x:c r="Z392" s="75" t="b">
        <x:v>1</x:v>
      </x:c>
      <x:c r="AA392" s="29" t="n">
        <x:v>28</x:v>
      </x:c>
      <x:c r="AB392" s="29" t="str">
        <x:v>Karpathy 分享的 HN 2025 RSS 冷启动集</x:v>
      </x:c>
      <x:c r="AC392" s="29" t="str">
        <x:v>https://gist.github.com/emschwartz/e6d2bf860ccc367fe37ff953ba6de66b</x:v>
      </x:c>
      <x:c r="AD392" s="29" t="str">
        <x:v>2026-08-17</x:v>
      </x:c>
      <x:c r="AE392" s="29" t="n">
        <x:v>200</x:v>
      </x:c>
      <x:c r="AF392" s="29" t="str">
        <x:v>https://www.theatlantic.com/feed/author/derek-thompson/</x:v>
      </x:c>
      <x:c r="AG392" s="29" t="str">
        <x:v>culture, technology, economics</x:v>
      </x:c>
    </x:row>
    <x:row r="393" ht="44" customHeight="1">
      <x:c r="A393" s="29" t="str">
        <x:v>SRC-389</x:v>
      </x:c>
      <x:c r="B393" s="29" t="str">
        <x:f>IF(C393&gt;=93,"S",IF(C393&gt;=90,"A",IF(C393&gt;=80,"B","C")))</x:f>
        <x:v>C</x:v>
      </x:c>
      <x:c r="C393" s="72" t="n">
        <x:f>ROUND((P393*0.20+Q393*0.18+R393*0.20+S393*0.15+T393*0.12+U393*0.10+V393*0.05)*20,0)</x:f>
        <x:v>75</x:v>
      </x:c>
      <x:c r="D393" s="29" t="str">
        <x:v>人文与跨学科</x:v>
      </x:c>
      <x:c r="E393" s="29" t="str">
        <x:v>设计、HCI 与创意技术</x:v>
      </x:c>
      <x:c r="F393" s="29" t="str">
        <x:v>joanwestenberg.com</x:v>
      </x:c>
      <x:c r="G393" s="29" t="str">
        <x:v>JA Westenberg</x:v>
      </x:c>
      <x:c r="H393" s="29" t="str">
        <x:v>独立博客 / 长文</x:v>
      </x:c>
      <x:c r="I393" s="29" t="str">
        <x:v>en</x:v>
      </x:c>
      <x:c r="J393" s="29" t="str">
        <x:v>观点源</x:v>
      </x:c>
      <x:c r="K393" s="29" t="str">
        <x:v>Open</x:v>
      </x:c>
      <x:c r="L393" s="29" t="str">
        <x:v>不定期</x:v>
      </x:c>
      <x:c r="M393" s="29" t="str">
        <x:v>https://joanwestenberg.com</x:v>
      </x:c>
      <x:c r="N393" s="29" t="str">
        <x:v>https://www.joanwestenberg.com/feed</x:v>
      </x:c>
      <x:c r="O393" s="29" t="str">
        <x:v>有效</x:v>
      </x:c>
      <x:c r="P393" s="72" t="n">
        <x:v>3</x:v>
      </x:c>
      <x:c r="Q393" s="72" t="n">
        <x:v>5</x:v>
      </x:c>
      <x:c r="R393" s="72" t="n">
        <x:v>3</x:v>
      </x:c>
      <x:c r="S393" s="72" t="n">
        <x:v>5</x:v>
      </x:c>
      <x:c r="T393" s="72" t="n">
        <x:v>3</x:v>
      </x:c>
      <x:c r="U393" s="72" t="n">
        <x:v>3</x:v>
      </x:c>
      <x:c r="V393" s="72" t="n">
        <x:v>5</x:v>
      </x:c>
      <x:c r="W393" s="29" t="str">
        <x:v>界面/设计原则、作品拆解、创意技术</x:v>
      </x:c>
      <x:c r="X393" s="29" t="str">
        <x:v>2025 年 Hacker News 高热个人博客。作者背景：Writer and technologist。</x:v>
      </x:c>
      <x:c r="Y393" s="29" t="str">
        <x:v>独立作者源；事实、数字和因果需回到论文、文档或数据。观点须明确归因。</x:v>
      </x:c>
      <x:c r="Z393" s="75" t="b">
        <x:v>1</x:v>
      </x:c>
      <x:c r="AA393" s="29" t="n">
        <x:v>32</x:v>
      </x:c>
      <x:c r="AB393" s="29" t="str">
        <x:v>Karpathy 分享的 HN 2025 RSS 冷启动集</x:v>
      </x:c>
      <x:c r="AC393" s="29" t="str">
        <x:v>https://gist.github.com/emschwartz/e6d2bf860ccc367fe37ff953ba6de66b</x:v>
      </x:c>
      <x:c r="AD393" s="29" t="str">
        <x:v>2026-08-17</x:v>
      </x:c>
      <x:c r="AE393" s="29" t="n">
        <x:v>200</x:v>
      </x:c>
      <x:c r="AF393" s="29" t="str">
        <x:v>https://www.joanwestenberg.com/feed</x:v>
      </x:c>
      <x:c r="AG393" s="29" t="str">
        <x:v>startups, culture, philosophy</x:v>
      </x:c>
    </x:row>
    <x:row r="394" ht="44" customHeight="1">
      <x:c r="A394" s="29" t="str">
        <x:v>SRC-390</x:v>
      </x:c>
      <x:c r="B394" s="29" t="str">
        <x:f>IF(C394&gt;=93,"S",IF(C394&gt;=90,"A",IF(C394&gt;=80,"B","C")))</x:f>
        <x:v>C</x:v>
      </x:c>
      <x:c r="C394" s="72" t="n">
        <x:f>ROUND((P394*0.20+Q394*0.18+R394*0.20+S394*0.15+T394*0.12+U394*0.10+V394*0.05)*20,0)</x:f>
        <x:v>75</x:v>
      </x:c>
      <x:c r="D394" s="29" t="str">
        <x:v>人文与跨学科</x:v>
      </x:c>
      <x:c r="E394" s="29" t="str">
        <x:v>社会、文化与人文写作</x:v>
      </x:c>
      <x:c r="F394" s="29" t="str">
        <x:v>matduggan.com</x:v>
      </x:c>
      <x:c r="G394" s="29" t="str">
        <x:v>Mat Duggan</x:v>
      </x:c>
      <x:c r="H394" s="29" t="str">
        <x:v>独立博客 / 长文</x:v>
      </x:c>
      <x:c r="I394" s="29" t="str">
        <x:v>en</x:v>
      </x:c>
      <x:c r="J394" s="29" t="str">
        <x:v>观点源</x:v>
      </x:c>
      <x:c r="K394" s="29" t="str">
        <x:v>Open</x:v>
      </x:c>
      <x:c r="L394" s="29" t="str">
        <x:v>不定期</x:v>
      </x:c>
      <x:c r="M394" s="29" t="str">
        <x:v>https://matduggan.com</x:v>
      </x:c>
      <x:c r="N394" s="29" t="str">
        <x:v>https://matduggan.com/rss/</x:v>
      </x:c>
      <x:c r="O394" s="29" t="str">
        <x:v>有效</x:v>
      </x:c>
      <x:c r="P394" s="72" t="n">
        <x:v>3</x:v>
      </x:c>
      <x:c r="Q394" s="72" t="n">
        <x:v>5</x:v>
      </x:c>
      <x:c r="R394" s="72" t="n">
        <x:v>3</x:v>
      </x:c>
      <x:c r="S394" s="72" t="n">
        <x:v>5</x:v>
      </x:c>
      <x:c r="T394" s="72" t="n">
        <x:v>3</x:v>
      </x:c>
      <x:c r="U394" s="72" t="n">
        <x:v>3</x:v>
      </x:c>
      <x:c r="V394" s="72" t="n">
        <x:v>5</x:v>
      </x:c>
      <x:c r="W394" s="29" t="str">
        <x:v>观点摘引、文化观察、跨学科连接</x:v>
      </x:c>
      <x:c r="X394" s="29" t="str">
        <x:v>2025 年 Hacker News 高热个人博客。作者背景：Writer and blogger。</x:v>
      </x:c>
      <x:c r="Y394" s="29" t="str">
        <x:v>独立作者源；事实、数字和因果需回到论文、文档或数据。观点须明确归因。</x:v>
      </x:c>
      <x:c r="Z394" s="75" t="b">
        <x:v>1</x:v>
      </x:c>
      <x:c r="AA394" s="29" t="n">
        <x:v>69</x:v>
      </x:c>
      <x:c r="AB394" s="29" t="str">
        <x:v>Karpathy 分享的 HN 2025 RSS 冷启动集</x:v>
      </x:c>
      <x:c r="AC394" s="29" t="str">
        <x:v>https://gist.github.com/emschwartz/e6d2bf860ccc367fe37ff953ba6de66b</x:v>
      </x:c>
      <x:c r="AD394" s="29" t="str">
        <x:v>2026-08-17</x:v>
      </x:c>
      <x:c r="AE394" s="29" t="n">
        <x:v>200</x:v>
      </x:c>
      <x:c r="AF394" s="29" t="str">
        <x:v>https://matduggan.com/rss/</x:v>
      </x:c>
      <x:c r="AG394" s="29" t="str">
        <x:v>writing, technology, culture</x:v>
      </x:c>
    </x:row>
    <x:row r="395" ht="44" customHeight="1">
      <x:c r="A395" s="29" t="str">
        <x:v>SRC-391</x:v>
      </x:c>
      <x:c r="B395" s="29" t="str">
        <x:f>IF(C395&gt;=93,"S",IF(C395&gt;=90,"A",IF(C395&gt;=80,"B","C")))</x:f>
        <x:v>C</x:v>
      </x:c>
      <x:c r="C395" s="72" t="n">
        <x:f>ROUND((P395*0.20+Q395*0.18+R395*0.20+S395*0.15+T395*0.12+U395*0.10+V395*0.05)*20,0)</x:f>
        <x:v>75</x:v>
      </x:c>
      <x:c r="D395" s="29" t="str">
        <x:v>人文与跨学科</x:v>
      </x:c>
      <x:c r="E395" s="29" t="str">
        <x:v>社会、文化与人文写作</x:v>
      </x:c>
      <x:c r="F395" s="29" t="str">
        <x:v>refactoringenglish.com</x:v>
      </x:c>
      <x:c r="G395" s="29" t="str">
        <x:v>Michael Lynch</x:v>
      </x:c>
      <x:c r="H395" s="29" t="str">
        <x:v>独立博客 / 长文</x:v>
      </x:c>
      <x:c r="I395" s="29" t="str">
        <x:v>en</x:v>
      </x:c>
      <x:c r="J395" s="29" t="str">
        <x:v>观点源</x:v>
      </x:c>
      <x:c r="K395" s="29" t="str">
        <x:v>Open</x:v>
      </x:c>
      <x:c r="L395" s="29" t="str">
        <x:v>不定期</x:v>
      </x:c>
      <x:c r="M395" s="29" t="str">
        <x:v>https://refactoringenglish.com</x:v>
      </x:c>
      <x:c r="N395" s="29" t="str">
        <x:v>https://refactoringenglish.com/index.xml</x:v>
      </x:c>
      <x:c r="O395" s="29" t="str">
        <x:v>有效</x:v>
      </x:c>
      <x:c r="P395" s="72" t="n">
        <x:v>3</x:v>
      </x:c>
      <x:c r="Q395" s="72" t="n">
        <x:v>5</x:v>
      </x:c>
      <x:c r="R395" s="72" t="n">
        <x:v>3</x:v>
      </x:c>
      <x:c r="S395" s="72" t="n">
        <x:v>5</x:v>
      </x:c>
      <x:c r="T395" s="72" t="n">
        <x:v>3</x:v>
      </x:c>
      <x:c r="U395" s="72" t="n">
        <x:v>3</x:v>
      </x:c>
      <x:c r="V395" s="72" t="n">
        <x:v>5</x:v>
      </x:c>
      <x:c r="W395" s="29" t="str">
        <x:v>观点摘引、文化观察、跨学科连接</x:v>
      </x:c>
      <x:c r="X395" s="29" t="str">
        <x:v>2025 年 Hacker News 高热个人博客。作者背景：Software developer and author。</x:v>
      </x:c>
      <x:c r="Y395" s="29" t="str">
        <x:v>独立作者源；事实、数字和因果需回到论文、文档或数据。观点须明确归因。</x:v>
      </x:c>
      <x:c r="Z395" s="75" t="b">
        <x:v>1</x:v>
      </x:c>
      <x:c r="AA395" s="29" t="n">
        <x:v>70</x:v>
      </x:c>
      <x:c r="AB395" s="29" t="str">
        <x:v>Karpathy 分享的 HN 2025 RSS 冷启动集</x:v>
      </x:c>
      <x:c r="AC395" s="29" t="str">
        <x:v>https://gist.github.com/emschwartz/e6d2bf860ccc367fe37ff953ba6de66b</x:v>
      </x:c>
      <x:c r="AD395" s="29" t="str">
        <x:v>2026-08-17</x:v>
      </x:c>
      <x:c r="AE395" s="29" t="n">
        <x:v>200</x:v>
      </x:c>
      <x:c r="AF395" s="29" t="str">
        <x:v>https://refactoringenglish.com/index.xml</x:v>
      </x:c>
      <x:c r="AG395" s="29" t="str">
        <x:v>blogging, writing, english</x:v>
      </x:c>
    </x:row>
    <x:row r="396" ht="44" customHeight="1">
      <x:c r="A396" s="29" t="str">
        <x:v>SRC-392</x:v>
      </x:c>
      <x:c r="B396" s="29" t="str">
        <x:f>IF(C396&gt;=93,"S",IF(C396&gt;=90,"A",IF(C396&gt;=80,"B","C")))</x:f>
        <x:v>C</x:v>
      </x:c>
      <x:c r="C396" s="72" t="n">
        <x:f>ROUND((P396*0.20+Q396*0.18+R396*0.20+S396*0.15+T396*0.12+U396*0.10+V396*0.05)*20,0)</x:f>
        <x:v>75</x:v>
      </x:c>
      <x:c r="D396" s="29" t="str">
        <x:v>人文与跨学科</x:v>
      </x:c>
      <x:c r="E396" s="29" t="str">
        <x:v>社会、文化与人文写作</x:v>
      </x:c>
      <x:c r="F396" s="29" t="str">
        <x:v>seangoedecke.com</x:v>
      </x:c>
      <x:c r="G396" s="29" t="str">
        <x:v>Sean Goedecke</x:v>
      </x:c>
      <x:c r="H396" s="29" t="str">
        <x:v>独立博客 / 长文</x:v>
      </x:c>
      <x:c r="I396" s="29" t="str">
        <x:v>en</x:v>
      </x:c>
      <x:c r="J396" s="29" t="str">
        <x:v>观点源</x:v>
      </x:c>
      <x:c r="K396" s="29" t="str">
        <x:v>Open</x:v>
      </x:c>
      <x:c r="L396" s="29" t="str">
        <x:v>不定期</x:v>
      </x:c>
      <x:c r="M396" s="29" t="str">
        <x:v>https://seangoedecke.com</x:v>
      </x:c>
      <x:c r="N396" s="29" t="str">
        <x:v>https://www.seangoedecke.com/rss.xml</x:v>
      </x:c>
      <x:c r="O396" s="29" t="str">
        <x:v>有效</x:v>
      </x:c>
      <x:c r="P396" s="72" t="n">
        <x:v>3</x:v>
      </x:c>
      <x:c r="Q396" s="72" t="n">
        <x:v>5</x:v>
      </x:c>
      <x:c r="R396" s="72" t="n">
        <x:v>3</x:v>
      </x:c>
      <x:c r="S396" s="72" t="n">
        <x:v>5</x:v>
      </x:c>
      <x:c r="T396" s="72" t="n">
        <x:v>3</x:v>
      </x:c>
      <x:c r="U396" s="72" t="n">
        <x:v>3</x:v>
      </x:c>
      <x:c r="V396" s="72" t="n">
        <x:v>5</x:v>
      </x:c>
      <x:c r="W396" s="29" t="str">
        <x:v>观点摘引、文化观察、跨学科连接</x:v>
      </x:c>
      <x:c r="X396" s="29" t="str">
        <x:v>2025 年 Hacker News 高热个人博客。作者背景：Writer and software developer。</x:v>
      </x:c>
      <x:c r="Y396" s="29" t="str">
        <x:v>独立作者源；事实、数字和因果需回到论文、文档或数据。观点须明确归因。</x:v>
      </x:c>
      <x:c r="Z396" s="75" t="b">
        <x:v>1</x:v>
      </x:c>
      <x:c r="AA396" s="29" t="n">
        <x:v>3</x:v>
      </x:c>
      <x:c r="AB396" s="29" t="str">
        <x:v>Karpathy 分享的 HN 2025 RSS 冷启动集</x:v>
      </x:c>
      <x:c r="AC396" s="29" t="str">
        <x:v>https://gist.github.com/emschwartz/e6d2bf860ccc367fe37ff953ba6de66b</x:v>
      </x:c>
      <x:c r="AD396" s="29" t="str">
        <x:v>2026-08-17</x:v>
      </x:c>
      <x:c r="AE396" s="29" t="n">
        <x:v>200</x:v>
      </x:c>
      <x:c r="AF396" s="29" t="str">
        <x:v>https://www.seangoedecke.com/rss.xml</x:v>
      </x:c>
      <x:c r="AG396" s="29" t="str">
        <x:v>writing, programming, personal projects</x:v>
      </x:c>
    </x:row>
    <x:row r="397" ht="44" customHeight="1">
      <x:c r="A397" s="29" t="str">
        <x:v>SRC-393</x:v>
      </x:c>
      <x:c r="B397" s="29" t="str">
        <x:f>IF(C397&gt;=93,"S",IF(C397&gt;=90,"A",IF(C397&gt;=80,"B","C")))</x:f>
        <x:v>C</x:v>
      </x:c>
      <x:c r="C397" s="72" t="n">
        <x:f>ROUND((P397*0.20+Q397*0.18+R397*0.20+S397*0.15+T397*0.12+U397*0.10+V397*0.05)*20,0)</x:f>
        <x:v>75</x:v>
      </x:c>
      <x:c r="D397" s="29" t="str">
        <x:v>历史与考古</x:v>
      </x:c>
      <x:c r="E397" s="29" t="str">
        <x:v>历史、技术史与文化记忆</x:v>
      </x:c>
      <x:c r="F397" s="29" t="str">
        <x:v>tedium.co</x:v>
      </x:c>
      <x:c r="G397" s="29" t="str">
        <x:v>Ernie Smith</x:v>
      </x:c>
      <x:c r="H397" s="29" t="str">
        <x:v>独立博客 / 长文</x:v>
      </x:c>
      <x:c r="I397" s="29" t="str">
        <x:v>en</x:v>
      </x:c>
      <x:c r="J397" s="29" t="str">
        <x:v>观点源</x:v>
      </x:c>
      <x:c r="K397" s="29" t="str">
        <x:v>Open</x:v>
      </x:c>
      <x:c r="L397" s="29" t="str">
        <x:v>不定期</x:v>
      </x:c>
      <x:c r="M397" s="29" t="str">
        <x:v>https://tedium.co</x:v>
      </x:c>
      <x:c r="N397" s="29" t="str">
        <x:v>https://feed.tedium.co/</x:v>
      </x:c>
      <x:c r="O397" s="29" t="str">
        <x:v>有效</x:v>
      </x:c>
      <x:c r="P397" s="72" t="n">
        <x:v>3</x:v>
      </x:c>
      <x:c r="Q397" s="72" t="n">
        <x:v>5</x:v>
      </x:c>
      <x:c r="R397" s="72" t="n">
        <x:v>3</x:v>
      </x:c>
      <x:c r="S397" s="72" t="n">
        <x:v>5</x:v>
      </x:c>
      <x:c r="T397" s="72" t="n">
        <x:v>3</x:v>
      </x:c>
      <x:c r="U397" s="72" t="n">
        <x:v>3</x:v>
      </x:c>
      <x:c r="V397" s="72" t="n">
        <x:v>5</x:v>
      </x:c>
      <x:c r="W397" s="29" t="str">
        <x:v>技术史、历史类比、档案式线程</x:v>
      </x:c>
      <x:c r="X397" s="29" t="str">
        <x:v>2025 年 Hacker News 高热个人博客。作者背景：Writer and editor。</x:v>
      </x:c>
      <x:c r="Y397" s="29" t="str">
        <x:v>独立作者源；事实、数字和因果需回到论文、文档或数据。观点须明确归因。</x:v>
      </x:c>
      <x:c r="Z397" s="75" t="b">
        <x:v>1</x:v>
      </x:c>
      <x:c r="AA397" s="29" t="n">
        <x:v>37</x:v>
      </x:c>
      <x:c r="AB397" s="29" t="str">
        <x:v>Karpathy 分享的 HN 2025 RSS 冷启动集</x:v>
      </x:c>
      <x:c r="AC397" s="29" t="str">
        <x:v>https://gist.github.com/emschwartz/e6d2bf860ccc367fe37ff953ba6de66b</x:v>
      </x:c>
      <x:c r="AD397" s="29" t="str">
        <x:v>2026-08-17</x:v>
      </x:c>
      <x:c r="AE397" s="29" t="n">
        <x:v>200</x:v>
      </x:c>
      <x:c r="AF397" s="29" t="str">
        <x:v>https://feed.tedium.co/</x:v>
      </x:c>
      <x:c r="AG397" s="29" t="str">
        <x:v>obscure history, technology, culture</x:v>
      </x:c>
    </x:row>
    <x:row r="398" ht="44" customHeight="1">
      <x:c r="A398" s="29" t="str">
        <x:v>SRC-394</x:v>
      </x:c>
      <x:c r="B398" s="29" t="str">
        <x:f>IF(C398&gt;=93,"S",IF(C398&gt;=90,"A",IF(C398&gt;=80,"B","C")))</x:f>
        <x:v>C</x:v>
      </x:c>
      <x:c r="C398" s="72" t="n">
        <x:f>ROUND((P398*0.20+Q398*0.18+R398*0.20+S398*0.15+T398*0.12+U398*0.10+V398*0.05)*20,0)</x:f>
        <x:v>75</x:v>
      </x:c>
      <x:c r="D398" s="29" t="str">
        <x:v>哲学与思想</x:v>
      </x:c>
      <x:c r="E398" s="29" t="str">
        <x:v>心理、医学、哲学与预测</x:v>
      </x:c>
      <x:c r="F398" s="29" t="str">
        <x:v>Astral Codex Ten</x:v>
      </x:c>
      <x:c r="G398" s="29" t="str"/>
      <x:c r="H398" s="29" t="str">
        <x:v>长篇分析、书评、社区讨论</x:v>
      </x:c>
      <x:c r="I398" s="29" t="str">
        <x:v>en</x:v>
      </x:c>
      <x:c r="J398" s="29" t="str">
        <x:v>观点源</x:v>
      </x:c>
      <x:c r="K398" s="29" t="str">
        <x:v>Freemium</x:v>
      </x:c>
      <x:c r="L398" s="29" t="str">
        <x:v>每周约1至3篇</x:v>
      </x:c>
      <x:c r="M398" s="29" t="str">
        <x:v>https://www.astralcodexten.com/</x:v>
      </x:c>
      <x:c r="N398" s="29" t="str">
        <x:v>https://www.astralcodexten.com/feed</x:v>
      </x:c>
      <x:c r="O398" s="29" t="str">
        <x:v>有效</x:v>
      </x:c>
      <x:c r="P398" s="72" t="n">
        <x:v>3</x:v>
      </x:c>
      <x:c r="Q398" s="72" t="n">
        <x:v>5</x:v>
      </x:c>
      <x:c r="R398" s="72" t="n">
        <x:v>3</x:v>
      </x:c>
      <x:c r="S398" s="72" t="n">
        <x:v>5</x:v>
      </x:c>
      <x:c r="T398" s="72" t="n">
        <x:v>3</x:v>
      </x:c>
      <x:c r="U398" s="72" t="n">
        <x:v>4</x:v>
      </x:c>
      <x:c r="V398" s="72" t="n">
        <x:v>3</x:v>
      </x:c>
      <x:c r="W398" s="29" t="str">
        <x:v>多假设比较、证据分级和读者投票；医学结论回到原研究。</x:v>
      </x:c>
      <x:c r="X398" s="29" t="str">
        <x:v>擅长比较多种假设和证据，评论生态也能暴露反方观点与遗漏。</x:v>
      </x:c>
      <x:c r="Y398" s="29" t="str">
        <x:v>2026-08-17：Substack Feed 端点返回 application/xml。</x:v>
      </x:c>
      <x:c r="Z398" s="75" t="b">
        <x:v>0</x:v>
      </x:c>
      <x:c r="AA398" s="29"/>
      <x:c r="AB398" s="29" t="str">
        <x:v>扩展调研：人文、历史、哲学与设计</x:v>
      </x:c>
      <x:c r="AC398" s="29" t="str">
        <x:v>https://www.astralcodexten.com/</x:v>
      </x:c>
      <x:c r="AD398" s="29" t="str">
        <x:v>2026-08-17</x:v>
      </x:c>
      <x:c r="AE398" s="29" t="n">
        <x:v>200</x:v>
      </x:c>
      <x:c r="AF398" s="29" t="str">
        <x:v>https://www.astralcodexten.com/feed</x:v>
      </x:c>
      <x:c r="AG398" s="29" t="str"/>
    </x:row>
    <x:row r="399" ht="44" customHeight="1">
      <x:c r="A399" s="29" t="str">
        <x:v>SRC-395</x:v>
      </x:c>
      <x:c r="B399" s="29" t="str">
        <x:f>IF(C399&gt;=93,"S",IF(C399&gt;=90,"A",IF(C399&gt;=80,"B","C")))</x:f>
        <x:v>C</x:v>
      </x:c>
      <x:c r="C399" s="72" t="n">
        <x:f>ROUND((P399*0.20+Q399*0.18+R399*0.20+S399*0.15+T399*0.12+U399*0.10+V399*0.05)*20,0)</x:f>
        <x:v>75</x:v>
      </x:c>
      <x:c r="D399" s="29" t="str">
        <x:v>商业、管理与创新</x:v>
      </x:c>
      <x:c r="E399" s="29" t="str">
        <x:v>创业、产品与组织</x:v>
      </x:c>
      <x:c r="F399" s="29" t="str">
        <x:v>gilesthomas.com</x:v>
      </x:c>
      <x:c r="G399" s="29" t="str">
        <x:v>Giles Thomas</x:v>
      </x:c>
      <x:c r="H399" s="29" t="str">
        <x:v>独立博客 / 长文</x:v>
      </x:c>
      <x:c r="I399" s="29" t="str">
        <x:v>en</x:v>
      </x:c>
      <x:c r="J399" s="29" t="str">
        <x:v>观点源</x:v>
      </x:c>
      <x:c r="K399" s="29" t="str">
        <x:v>Open</x:v>
      </x:c>
      <x:c r="L399" s="29" t="str">
        <x:v>不定期</x:v>
      </x:c>
      <x:c r="M399" s="29" t="str">
        <x:v>https://gilesthomas.com</x:v>
      </x:c>
      <x:c r="N399" s="29" t="str">
        <x:v>https://www.gilesthomas.com/feed/rss.xml</x:v>
      </x:c>
      <x:c r="O399" s="29" t="str">
        <x:v>重定向后有效</x:v>
      </x:c>
      <x:c r="P399" s="72" t="n">
        <x:v>3</x:v>
      </x:c>
      <x:c r="Q399" s="72" t="n">
        <x:v>5</x:v>
      </x:c>
      <x:c r="R399" s="72" t="n">
        <x:v>3</x:v>
      </x:c>
      <x:c r="S399" s="72" t="n">
        <x:v>5</x:v>
      </x:c>
      <x:c r="T399" s="72" t="n">
        <x:v>3</x:v>
      </x:c>
      <x:c r="U399" s="72" t="n">
        <x:v>3</x:v>
      </x:c>
      <x:c r="V399" s="72" t="n">
        <x:v>5</x:v>
      </x:c>
      <x:c r="W399" s="29" t="str">
        <x:v>创业经验、产品判断、工程管理</x:v>
      </x:c>
      <x:c r="X399" s="29" t="str">
        <x:v>2025 年 Hacker News 高热个人博客。作者背景：Developer and entrepreneur。</x:v>
      </x:c>
      <x:c r="Y399" s="29" t="str">
        <x:v>独立作者源；事实、数字和因果需回到论文、文档或数据。观点须明确归因。</x:v>
      </x:c>
      <x:c r="Z399" s="75" t="b">
        <x:v>1</x:v>
      </x:c>
      <x:c r="AA399" s="29" t="n">
        <x:v>26</x:v>
      </x:c>
      <x:c r="AB399" s="29" t="str">
        <x:v>Karpathy 分享的 HN 2025 RSS 冷启动集</x:v>
      </x:c>
      <x:c r="AC399" s="29" t="str">
        <x:v>https://gist.github.com/emschwartz/e6d2bf860ccc367fe37ff953ba6de66b</x:v>
      </x:c>
      <x:c r="AD399" s="29" t="str">
        <x:v>2026-08-17</x:v>
      </x:c>
      <x:c r="AE399" s="29" t="n">
        <x:v>200</x:v>
      </x:c>
      <x:c r="AF399" s="29" t="str">
        <x:v>https://www.gilesthomas.com/feed/rss.xml</x:v>
      </x:c>
      <x:c r="AG399" s="29" t="str">
        <x:v>programming, technology, business</x:v>
      </x:c>
    </x:row>
    <x:row r="400" ht="44" customHeight="1">
      <x:c r="A400" s="29" t="str">
        <x:v>SRC-396</x:v>
      </x:c>
      <x:c r="B400" s="29" t="str">
        <x:f>IF(C400&gt;=93,"S",IF(C400&gt;=90,"A",IF(C400&gt;=80,"B","C")))</x:f>
        <x:v>C</x:v>
      </x:c>
      <x:c r="C400" s="72" t="n">
        <x:f>ROUND((P400*0.20+Q400*0.18+R400*0.20+S400*0.15+T400*0.12+U400*0.10+V400*0.05)*20,0)</x:f>
        <x:v>75</x:v>
      </x:c>
      <x:c r="D400" s="29" t="str">
        <x:v>商业、管理与创新</x:v>
      </x:c>
      <x:c r="E400" s="29" t="str">
        <x:v>创业、产品与组织</x:v>
      </x:c>
      <x:c r="F400" s="29" t="str">
        <x:v>keygen.sh</x:v>
      </x:c>
      <x:c r="G400" s="29" t="str">
        <x:v>Zeke Gabrielse</x:v>
      </x:c>
      <x:c r="H400" s="29" t="str">
        <x:v>独立博客 / 长文</x:v>
      </x:c>
      <x:c r="I400" s="29" t="str">
        <x:v>en</x:v>
      </x:c>
      <x:c r="J400" s="29" t="str">
        <x:v>观点源</x:v>
      </x:c>
      <x:c r="K400" s="29" t="str">
        <x:v>Open</x:v>
      </x:c>
      <x:c r="L400" s="29" t="str">
        <x:v>不定期</x:v>
      </x:c>
      <x:c r="M400" s="29" t="str">
        <x:v>https://keygen.sh</x:v>
      </x:c>
      <x:c r="N400" s="29" t="str">
        <x:v>https://keygen.sh/blog/feed.xml</x:v>
      </x:c>
      <x:c r="O400" s="29" t="str">
        <x:v>有效</x:v>
      </x:c>
      <x:c r="P400" s="72" t="n">
        <x:v>3</x:v>
      </x:c>
      <x:c r="Q400" s="72" t="n">
        <x:v>5</x:v>
      </x:c>
      <x:c r="R400" s="72" t="n">
        <x:v>3</x:v>
      </x:c>
      <x:c r="S400" s="72" t="n">
        <x:v>5</x:v>
      </x:c>
      <x:c r="T400" s="72" t="n">
        <x:v>3</x:v>
      </x:c>
      <x:c r="U400" s="72" t="n">
        <x:v>3</x:v>
      </x:c>
      <x:c r="V400" s="72" t="n">
        <x:v>5</x:v>
      </x:c>
      <x:c r="W400" s="29" t="str">
        <x:v>创业经验、产品判断、工程管理</x:v>
      </x:c>
      <x:c r="X400" s="29" t="str">
        <x:v>2025 年 Hacker News 高热个人博客。作者背景：Founder of Keygen。</x:v>
      </x:c>
      <x:c r="Y400" s="29" t="str">
        <x:v>独立作者源；事实、数字和因果需回到论文、文档或数据。观点须明确归因。</x:v>
      </x:c>
      <x:c r="Z400" s="75" t="b">
        <x:v>1</x:v>
      </x:c>
      <x:c r="AA400" s="29" t="n">
        <x:v>89</x:v>
      </x:c>
      <x:c r="AB400" s="29" t="str">
        <x:v>Karpathy 分享的 HN 2025 RSS 冷启动集</x:v>
      </x:c>
      <x:c r="AC400" s="29" t="str">
        <x:v>https://gist.github.com/emschwartz/e6d2bf860ccc367fe37ff953ba6de66b</x:v>
      </x:c>
      <x:c r="AD400" s="29" t="str">
        <x:v>2026-08-17</x:v>
      </x:c>
      <x:c r="AE400" s="29" t="n">
        <x:v>200</x:v>
      </x:c>
      <x:c r="AF400" s="29" t="str">
        <x:v>https://keygen.sh/blog/feed.xml</x:v>
      </x:c>
      <x:c r="AG400" s="29" t="str">
        <x:v>indie business, software development</x:v>
      </x:c>
    </x:row>
    <x:row r="401" ht="44" customHeight="1">
      <x:c r="A401" s="29" t="str">
        <x:v>SRC-397</x:v>
      </x:c>
      <x:c r="B401" s="29" t="str">
        <x:f>IF(C401&gt;=93,"S",IF(C401&gt;=90,"A",IF(C401&gt;=80,"B","C")))</x:f>
        <x:v>C</x:v>
      </x:c>
      <x:c r="C401" s="72" t="n">
        <x:f>ROUND((P401*0.20+Q401*0.18+R401*0.20+S401*0.15+T401*0.12+U401*0.10+V401*0.05)*20,0)</x:f>
        <x:v>75</x:v>
      </x:c>
      <x:c r="D401" s="29" t="str">
        <x:v>商业、管理与创新</x:v>
      </x:c>
      <x:c r="E401" s="29" t="str">
        <x:v>设计、HCI 与创意技术</x:v>
      </x:c>
      <x:c r="F401" s="29" t="str">
        <x:v>paulgraham.com</x:v>
      </x:c>
      <x:c r="G401" s="29" t="str">
        <x:v>Paul Graham</x:v>
      </x:c>
      <x:c r="H401" s="29" t="str">
        <x:v>独立博客 / 长文</x:v>
      </x:c>
      <x:c r="I401" s="29" t="str">
        <x:v>en</x:v>
      </x:c>
      <x:c r="J401" s="29" t="str">
        <x:v>观点源</x:v>
      </x:c>
      <x:c r="K401" s="29" t="str">
        <x:v>Open</x:v>
      </x:c>
      <x:c r="L401" s="29" t="str">
        <x:v>不定期</x:v>
      </x:c>
      <x:c r="M401" s="29" t="str">
        <x:v>https://paulgraham.com</x:v>
      </x:c>
      <x:c r="N401" s="29" t="str">
        <x:v>http://www.aaronsw.com/2002/feeds/pgessays.rss</x:v>
      </x:c>
      <x:c r="O401" s="29" t="str">
        <x:v>有效</x:v>
      </x:c>
      <x:c r="P401" s="72" t="n">
        <x:v>3</x:v>
      </x:c>
      <x:c r="Q401" s="72" t="n">
        <x:v>5</x:v>
      </x:c>
      <x:c r="R401" s="72" t="n">
        <x:v>3</x:v>
      </x:c>
      <x:c r="S401" s="72" t="n">
        <x:v>5</x:v>
      </x:c>
      <x:c r="T401" s="72" t="n">
        <x:v>3</x:v>
      </x:c>
      <x:c r="U401" s="72" t="n">
        <x:v>3</x:v>
      </x:c>
      <x:c r="V401" s="72" t="n">
        <x:v>5</x:v>
      </x:c>
      <x:c r="W401" s="29" t="str">
        <x:v>界面/设计原则、作品拆解、创意技术</x:v>
      </x:c>
      <x:c r="X401" s="29" t="str">
        <x:v>2025 年 Hacker News 高热个人博客。作者背景：Co-founder of Y Combinator, entrepreneur, and essayist。</x:v>
      </x:c>
      <x:c r="Y401" s="29" t="str">
        <x:v>独立作者源；事实、数字和因果需回到论文、文档或数据。观点须明确归因。</x:v>
      </x:c>
      <x:c r="Z401" s="75" t="b">
        <x:v>1</x:v>
      </x:c>
      <x:c r="AA401" s="29" t="n">
        <x:v>47</x:v>
      </x:c>
      <x:c r="AB401" s="29" t="str">
        <x:v>Karpathy 分享的 HN 2025 RSS 冷启动集</x:v>
      </x:c>
      <x:c r="AC401" s="29" t="str">
        <x:v>https://gist.github.com/emschwartz/e6d2bf860ccc367fe37ff953ba6de66b</x:v>
      </x:c>
      <x:c r="AD401" s="29" t="str">
        <x:v>2026-08-17</x:v>
      </x:c>
      <x:c r="AE401" s="29" t="n">
        <x:v>200</x:v>
      </x:c>
      <x:c r="AF401" s="29" t="str">
        <x:v>http://www.aaronsw.com/2002/feeds/pgessays.rss</x:v>
      </x:c>
      <x:c r="AG401" s="29" t="str">
        <x:v>startups, technology, entrepreneurship</x:v>
      </x:c>
    </x:row>
    <x:row r="402" ht="44" customHeight="1">
      <x:c r="A402" s="29" t="str">
        <x:v>SRC-398</x:v>
      </x:c>
      <x:c r="B402" s="29" t="str">
        <x:f>IF(C402&gt;=93,"S",IF(C402&gt;=90,"A",IF(C402&gt;=80,"B","C")))</x:f>
        <x:v>C</x:v>
      </x:c>
      <x:c r="C402" s="72" t="n">
        <x:f>ROUND((P402*0.20+Q402*0.18+R402*0.20+S402*0.15+T402*0.12+U402*0.10+V402*0.05)*20,0)</x:f>
        <x:v>75</x:v>
      </x:c>
      <x:c r="D402" s="29" t="str">
        <x:v>商业、管理与创新</x:v>
      </x:c>
      <x:c r="E402" s="29" t="str">
        <x:v>设计、HCI 与创意技术</x:v>
      </x:c>
      <x:c r="F402" s="29" t="str">
        <x:v>steveblank.com</x:v>
      </x:c>
      <x:c r="G402" s="29" t="str">
        <x:v>Steve Blank</x:v>
      </x:c>
      <x:c r="H402" s="29" t="str">
        <x:v>独立博客 / 长文</x:v>
      </x:c>
      <x:c r="I402" s="29" t="str">
        <x:v>en</x:v>
      </x:c>
      <x:c r="J402" s="29" t="str">
        <x:v>观点源</x:v>
      </x:c>
      <x:c r="K402" s="29" t="str">
        <x:v>Open</x:v>
      </x:c>
      <x:c r="L402" s="29" t="str">
        <x:v>不定期</x:v>
      </x:c>
      <x:c r="M402" s="29" t="str">
        <x:v>https://steveblank.com</x:v>
      </x:c>
      <x:c r="N402" s="29" t="str">
        <x:v>https://steveblank.com/feed/</x:v>
      </x:c>
      <x:c r="O402" s="29" t="str">
        <x:v>有效</x:v>
      </x:c>
      <x:c r="P402" s="72" t="n">
        <x:v>3</x:v>
      </x:c>
      <x:c r="Q402" s="72" t="n">
        <x:v>5</x:v>
      </x:c>
      <x:c r="R402" s="72" t="n">
        <x:v>3</x:v>
      </x:c>
      <x:c r="S402" s="72" t="n">
        <x:v>5</x:v>
      </x:c>
      <x:c r="T402" s="72" t="n">
        <x:v>3</x:v>
      </x:c>
      <x:c r="U402" s="72" t="n">
        <x:v>3</x:v>
      </x:c>
      <x:c r="V402" s="72" t="n">
        <x:v>5</x:v>
      </x:c>
      <x:c r="W402" s="29" t="str">
        <x:v>界面/设计原则、作品拆解、创意技术</x:v>
      </x:c>
      <x:c r="X402" s="29" t="str">
        <x:v>2025 年 Hacker News 高热个人博客。作者背景：Entrepreneur and educator。</x:v>
      </x:c>
      <x:c r="Y402" s="29" t="str">
        <x:v>独立作者源；事实、数字和因果需回到论文、文档或数据。观点须明确归因。</x:v>
      </x:c>
      <x:c r="Z402" s="75" t="b">
        <x:v>1</x:v>
      </x:c>
      <x:c r="AA402" s="29" t="n">
        <x:v>73</x:v>
      </x:c>
      <x:c r="AB402" s="29" t="str">
        <x:v>Karpathy 分享的 HN 2025 RSS 冷启动集</x:v>
      </x:c>
      <x:c r="AC402" s="29" t="str">
        <x:v>https://gist.github.com/emschwartz/e6d2bf860ccc367fe37ff953ba6de66b</x:v>
      </x:c>
      <x:c r="AD402" s="29" t="str">
        <x:v>2026-08-17</x:v>
      </x:c>
      <x:c r="AE402" s="29" t="n">
        <x:v>200</x:v>
      </x:c>
      <x:c r="AF402" s="29" t="str">
        <x:v>https://steveblank.com/feed/</x:v>
      </x:c>
      <x:c r="AG402" s="29" t="str">
        <x:v>startups, entrepreneurship, lean startup methodology</x:v>
      </x:c>
    </x:row>
    <x:row r="403" ht="44" customHeight="1">
      <x:c r="A403" s="29" t="str">
        <x:v>SRC-399</x:v>
      </x:c>
      <x:c r="B403" s="29" t="str">
        <x:f>IF(C403&gt;=93,"S",IF(C403&gt;=90,"A",IF(C403&gt;=80,"B","C")))</x:f>
        <x:v>C</x:v>
      </x:c>
      <x:c r="C403" s="72" t="n">
        <x:f>ROUND((P403*0.20+Q403*0.18+R403*0.20+S403*0.15+T403*0.12+U403*0.10+V403*0.05)*20,0)</x:f>
        <x:v>75</x:v>
      </x:c>
      <x:c r="D403" s="29" t="str">
        <x:v>成长与学习</x:v>
      </x:c>
      <x:c r="E403" s="29" t="str">
        <x:v>产品、增长与职业</x:v>
      </x:c>
      <x:c r="F403" s="29" t="str">
        <x:v>Lenny's Newsletter</x:v>
      </x:c>
      <x:c r="G403" s="29" t="str"/>
      <x:c r="H403" s="29" t="str">
        <x:v>产品管理、增长、公司建设、职业问答与从业者访谈</x:v>
      </x:c>
      <x:c r="I403" s="29" t="str">
        <x:v>en</x:v>
      </x:c>
      <x:c r="J403" s="29" t="str">
        <x:v>观点源</x:v>
      </x:c>
      <x:c r="K403" s="29" t="str">
        <x:v>Freemium</x:v>
      </x:c>
      <x:c r="L403" s="29" t="str">
        <x:v>每周约2至4篇或播客</x:v>
      </x:c>
      <x:c r="M403" s="29" t="str">
        <x:v>https://www.lennysnewsletter.com/</x:v>
      </x:c>
      <x:c r="N403" s="29" t="str">
        <x:v>https://www.lennysnewsletter.com/feed</x:v>
      </x:c>
      <x:c r="O403" s="29" t="str">
        <x:v>有效</x:v>
      </x:c>
      <x:c r="P403" s="72" t="n">
        <x:v>3</x:v>
      </x:c>
      <x:c r="Q403" s="72" t="n">
        <x:v>5</x:v>
      </x:c>
      <x:c r="R403" s="72" t="n">
        <x:v>3</x:v>
      </x:c>
      <x:c r="S403" s="72" t="n">
        <x:v>5</x:v>
      </x:c>
      <x:c r="T403" s="72" t="n">
        <x:v>3</x:v>
      </x:c>
      <x:c r="U403" s="72" t="n">
        <x:v>4</x:v>
      </x:c>
      <x:c r="V403" s="72" t="n">
        <x:v>3</x:v>
      </x:c>
      <x:c r="W403" s="29" t="str">
        <x:v>围绕一个产品问题总结多位一线操盘者的共识与分歧。</x:v>
      </x:c>
      <x:c r="X403" s="29" t="str">
        <x:v>以大型从业者网络和案例访谈见长，适合提炼产品团队的可执行方法。</x:v>
      </x:c>
      <x:c r="Y403" s="29" t="str">
        <x:v>2026-08-17：官方Substack RSS返回200和有效XML；案例成功经验需警惕选择偏差。</x:v>
      </x:c>
      <x:c r="Z403" s="75" t="b">
        <x:v>0</x:v>
      </x:c>
      <x:c r="AA403" s="29"/>
      <x:c r="AB403" s="29" t="str">
        <x:v>扩展调研：成长、学习、商业与管理</x:v>
      </x:c>
      <x:c r="AC403" s="29" t="str">
        <x:v>https://www.lennysnewsletter.com/feed</x:v>
      </x:c>
      <x:c r="AD403" s="29" t="str">
        <x:v>2026-08-17</x:v>
      </x:c>
      <x:c r="AE403" s="29" t="n">
        <x:v>200</x:v>
      </x:c>
      <x:c r="AF403" s="29" t="str">
        <x:v>https://www.lennysnewsletter.com/feed</x:v>
      </x:c>
      <x:c r="AG403" s="29" t="str"/>
    </x:row>
    <x:row r="404" ht="44" customHeight="1">
      <x:c r="A404" s="29" t="str">
        <x:v>SRC-400</x:v>
      </x:c>
      <x:c r="B404" s="29" t="str">
        <x:f>IF(C404&gt;=93,"S",IF(C404&gt;=90,"A",IF(C404&gt;=80,"B","C")))</x:f>
        <x:v>C</x:v>
      </x:c>
      <x:c r="C404" s="72" t="n">
        <x:f>ROUND((P404*0.20+Q404*0.18+R404*0.20+S404*0.15+T404*0.12+U404*0.10+V404*0.05)*20,0)</x:f>
        <x:v>71</x:v>
      </x:c>
      <x:c r="D404" s="29" t="str">
        <x:v>人文与跨学科</x:v>
      </x:c>
      <x:c r="E404" s="29" t="str">
        <x:v>生态、土地与文化</x:v>
      </x:c>
      <x:c r="F404" s="29" t="str">
        <x:v>Emergence Magazine</x:v>
      </x:c>
      <x:c r="G404" s="29" t="str"/>
      <x:c r="H404" s="29" t="str">
        <x:v>散文、摄影、音频与访谈</x:v>
      </x:c>
      <x:c r="I404" s="29" t="str">
        <x:v>en</x:v>
      </x:c>
      <x:c r="J404" s="29" t="str">
        <x:v>灵感源</x:v>
      </x:c>
      <x:c r="K404" s="29" t="str">
        <x:v>Open</x:v>
      </x:c>
      <x:c r="L404" s="29" t="str">
        <x:v>周更至双周更</x:v>
      </x:c>
      <x:c r="M404" s="29" t="str">
        <x:v>https://emergencemagazine.org/</x:v>
      </x:c>
      <x:c r="N404" s="29" t="str">
        <x:v>https://emergencemagazine.org/feed/</x:v>
      </x:c>
      <x:c r="O404" s="29" t="str">
        <x:v>有效</x:v>
      </x:c>
      <x:c r="P404" s="72" t="n">
        <x:v>2</x:v>
      </x:c>
      <x:c r="Q404" s="72" t="n">
        <x:v>5</x:v>
      </x:c>
      <x:c r="R404" s="72" t="n">
        <x:v>2</x:v>
      </x:c>
      <x:c r="S404" s="72" t="n">
        <x:v>4</x:v>
      </x:c>
      <x:c r="T404" s="72" t="n">
        <x:v>5</x:v>
      </x:c>
      <x:c r="U404" s="72" t="n">
        <x:v>4</x:v>
      </x:c>
      <x:c r="V404" s="72" t="n">
        <x:v>5</x:v>
      </x:c>
      <x:c r="W404" s="29" t="str">
        <x:v>自然观察、土地故事和摄影驱动的叙事帖。</x:v>
      </x:c>
      <x:c r="X404" s="29" t="str">
        <x:v>将生态、原住民知识、艺术与哲学并置，适合构建慢知识和人与环境关系的叙事。</x:v>
      </x:c>
      <x:c r="Y404" s="29" t="str">
        <x:v>2026-08-17：Feed 端点返回 application/rss+xml。</x:v>
      </x:c>
      <x:c r="Z404" s="75" t="b">
        <x:v>0</x:v>
      </x:c>
      <x:c r="AA404" s="29"/>
      <x:c r="AB404" s="29" t="str">
        <x:v>扩展调研：人文、历史、哲学与设计</x:v>
      </x:c>
      <x:c r="AC404" s="29" t="str">
        <x:v>https://emergencemagazine.org/</x:v>
      </x:c>
      <x:c r="AD404" s="29" t="str">
        <x:v>2026-08-17</x:v>
      </x:c>
      <x:c r="AE404" s="29" t="n">
        <x:v>200</x:v>
      </x:c>
      <x:c r="AF404" s="29" t="str">
        <x:v>https://emergencemagazine.org/feed/</x:v>
      </x:c>
      <x:c r="AG404" s="29" t="str"/>
    </x:row>
    <x:row r="405" ht="44" customHeight="1">
      <x:c r="A405" s="29" t="str">
        <x:v>SRC-401</x:v>
      </x:c>
      <x:c r="B405" s="29" t="str">
        <x:f>IF(C405&gt;=93,"S",IF(C405&gt;=90,"A",IF(C405&gt;=80,"B","C")))</x:f>
        <x:v>C</x:v>
      </x:c>
      <x:c r="C405" s="72" t="n">
        <x:f>ROUND((P405*0.20+Q405*0.18+R405*0.20+S405*0.15+T405*0.12+U405*0.10+V405*0.05)*20,0)</x:f>
        <x:v>71</x:v>
      </x:c>
      <x:c r="D405" s="29" t="str">
        <x:v>历史与考古</x:v>
      </x:c>
      <x:c r="E405" s="29" t="str">
        <x:v>公共领域、艺术与思想史</x:v>
      </x:c>
      <x:c r="F405" s="29" t="str">
        <x:v>The Public Domain Review</x:v>
      </x:c>
      <x:c r="G405" s="29" t="str"/>
      <x:c r="H405" s="29" t="str">
        <x:v>历史随笔、图像馆藏、原始文献策展</x:v>
      </x:c>
      <x:c r="I405" s="29" t="str">
        <x:v>en</x:v>
      </x:c>
      <x:c r="J405" s="29" t="str">
        <x:v>灵感源</x:v>
      </x:c>
      <x:c r="K405" s="29" t="str">
        <x:v>Open</x:v>
      </x:c>
      <x:c r="L405" s="29" t="str">
        <x:v>每周约1至4篇</x:v>
      </x:c>
      <x:c r="M405" s="29" t="str">
        <x:v>https://publicdomainreview.org/</x:v>
      </x:c>
      <x:c r="N405" s="29" t="str">
        <x:v>https://publicdomainreview.org/rss.xml</x:v>
      </x:c>
      <x:c r="O405" s="29" t="str">
        <x:v>有效</x:v>
      </x:c>
      <x:c r="P405" s="72" t="n">
        <x:v>2</x:v>
      </x:c>
      <x:c r="Q405" s="72" t="n">
        <x:v>5</x:v>
      </x:c>
      <x:c r="R405" s="72" t="n">
        <x:v>2</x:v>
      </x:c>
      <x:c r="S405" s="72" t="n">
        <x:v>4</x:v>
      </x:c>
      <x:c r="T405" s="72" t="n">
        <x:v>5</x:v>
      </x:c>
      <x:c r="U405" s="72" t="n">
        <x:v>4</x:v>
      </x:c>
      <x:c r="V405" s="72" t="n">
        <x:v>5</x:v>
      </x:c>
      <x:c r="W405" s="29" t="str">
        <x:v>古图轮播、历史冷知识和旧观念如何影响今天。</x:v>
      </x:c>
      <x:c r="X405" s="29" t="str">
        <x:v>从公共领域档案中策展高质量图像与文本，常能直接追到博物馆或图书馆原始记录。</x:v>
      </x:c>
      <x:c r="Y405" s="29" t="str">
        <x:v>2026-08-17：RSS 端点返回 application/xml。使用图像前仍需核对单件权利声明。</x:v>
      </x:c>
      <x:c r="Z405" s="75" t="b">
        <x:v>0</x:v>
      </x:c>
      <x:c r="AA405" s="29"/>
      <x:c r="AB405" s="29" t="str">
        <x:v>扩展调研：人文、历史、哲学与设计</x:v>
      </x:c>
      <x:c r="AC405" s="29" t="str">
        <x:v>https://publicdomainreview.org/</x:v>
      </x:c>
      <x:c r="AD405" s="29" t="str">
        <x:v>2026-08-17</x:v>
      </x:c>
      <x:c r="AE405" s="29" t="n">
        <x:v>200</x:v>
      </x:c>
      <x:c r="AF405" s="29" t="str">
        <x:v>https://publicdomainreview.org/rss.xml</x:v>
      </x:c>
      <x:c r="AG405" s="29" t="str"/>
    </x:row>
    <x:row r="406" ht="44" customHeight="1">
      <x:c r="A406" s="29" t="str">
        <x:v>SRC-402</x:v>
      </x:c>
      <x:c r="B406" s="29" t="str">
        <x:f>IF(C406&gt;=93,"S",IF(C406&gt;=90,"A",IF(C406&gt;=80,"B","C")))</x:f>
        <x:v>C</x:v>
      </x:c>
      <x:c r="C406" s="72" t="n">
        <x:f>ROUND((P406*0.20+Q406*0.18+R406*0.20+S406*0.15+T406*0.12+U406*0.10+V406*0.05)*20,0)</x:f>
        <x:v>71</x:v>
      </x:c>
      <x:c r="D406" s="29" t="str">
        <x:v>地球、地理与城市</x:v>
      </x:c>
      <x:c r="E406" s="29" t="str">
        <x:v>建筑/城市</x:v>
      </x:c>
      <x:c r="F406" s="29" t="str">
        <x:v>DamiLee</x:v>
      </x:c>
      <x:c r="G406" s="29" t="str"/>
      <x:c r="H406" s="29" t="str">
        <x:v>视频 / 频道</x:v>
      </x:c>
      <x:c r="I406" s="29" t="str">
        <x:v>en</x:v>
      </x:c>
      <x:c r="J406" s="29" t="str">
        <x:v>灵感源</x:v>
      </x:c>
      <x:c r="K406" s="29" t="str">
        <x:v>Open</x:v>
      </x:c>
      <x:c r="L406" s="29" t="str">
        <x:v>以频道更新为准</x:v>
      </x:c>
      <x:c r="M406" s="29" t="str">
        <x:v>https://www.youtube.com/channel/UCJ_2hNMxOzNjviJBiLWHMqg</x:v>
      </x:c>
      <x:c r="N406" s="29" t="str">
        <x:v>https://www.youtube.com/feeds/videos.xml?channel_id=UCJ_2hNMxOzNjviJBiLWHMqg</x:v>
      </x:c>
      <x:c r="O406" s="29" t="str">
        <x:v>有效</x:v>
      </x:c>
      <x:c r="P406" s="72" t="n">
        <x:v>2</x:v>
      </x:c>
      <x:c r="Q406" s="72" t="n">
        <x:v>5</x:v>
      </x:c>
      <x:c r="R406" s="72" t="n">
        <x:v>2</x:v>
      </x:c>
      <x:c r="S406" s="72" t="n">
        <x:v>4</x:v>
      </x:c>
      <x:c r="T406" s="72" t="n">
        <x:v>5</x:v>
      </x:c>
      <x:c r="U406" s="72" t="n">
        <x:v>4</x:v>
      </x:c>
      <x:c r="V406" s="72" t="n">
        <x:v>5</x:v>
      </x:c>
      <x:c r="W406" s="29" t="str">
        <x:v>视觉拆解、作品/方法介绍、叙事结构复盘</x:v>
      </x:c>
      <x:c r="X406" s="29" t="str">
        <x:v>高质量建筑/城市视频创作者，适合快速建立背景、观察叙事结构并发现可传播选题。</x:v>
      </x:c>
      <x:c r="Y406" s="29" t="str">
        <x:v>可借鉴表达与案例；图片、片段和作品版权需单独核验。</x:v>
      </x:c>
      <x:c r="Z406" s="75" t="b">
        <x:v>0</x:v>
      </x:c>
      <x:c r="AA406" s="29"/>
      <x:c r="AB406" s="29" t="str">
        <x:v>YouTube 高质量创作者</x:v>
      </x:c>
      <x:c r="AC406" s="29" t="str">
        <x:v>https://www.youtube.com/@DamiLeeArch</x:v>
      </x:c>
      <x:c r="AD406" s="29" t="str">
        <x:v>2026-08-17</x:v>
      </x:c>
      <x:c r="AE406" s="29" t="n">
        <x:v>200</x:v>
      </x:c>
      <x:c r="AF406" s="29" t="str">
        <x:v>https://www.youtube.com/feeds/videos.xml?channel_id=UCJ_2hNMxOzNjviJBiLWHMqg</x:v>
      </x:c>
      <x:c r="AG406" s="29" t="str"/>
    </x:row>
    <x:row r="407" ht="44" customHeight="1">
      <x:c r="A407" s="29" t="str">
        <x:v>SRC-403</x:v>
      </x:c>
      <x:c r="B407" s="29" t="str">
        <x:f>IF(C407&gt;=93,"S",IF(C407&gt;=90,"A",IF(C407&gt;=80,"B","C")))</x:f>
        <x:v>C</x:v>
      </x:c>
      <x:c r="C407" s="72" t="n">
        <x:f>ROUND((P407*0.20+Q407*0.18+R407*0.20+S407*0.15+T407*0.12+U407*0.10+V407*0.05)*20,0)</x:f>
        <x:v>71</x:v>
      </x:c>
      <x:c r="D407" s="29" t="str">
        <x:v>天文与太空</x:v>
      </x:c>
      <x:c r="E407" s="29" t="str">
        <x:v>天文图像与科普</x:v>
      </x:c>
      <x:c r="F407" s="29" t="str">
        <x:v>Astronomy Picture of the Day</x:v>
      </x:c>
      <x:c r="G407" s="29" t="str"/>
      <x:c r="H407" s="29" t="str">
        <x:v>每日天文图和简短科学说明</x:v>
      </x:c>
      <x:c r="I407" s="29" t="str">
        <x:v>en</x:v>
      </x:c>
      <x:c r="J407" s="29" t="str">
        <x:v>灵感源</x:v>
      </x:c>
      <x:c r="K407" s="29" t="str">
        <x:v>Open</x:v>
      </x:c>
      <x:c r="L407" s="29" t="str">
        <x:v>每日</x:v>
      </x:c>
      <x:c r="M407" s="29" t="str">
        <x:v>https://apod.nasa.gov/apod/astropix.html</x:v>
      </x:c>
      <x:c r="N407" s="29" t="str">
        <x:v>https://apod.nasa.gov/apod.rss</x:v>
      </x:c>
      <x:c r="O407" s="29" t="str">
        <x:v>有效</x:v>
      </x:c>
      <x:c r="P407" s="72" t="n">
        <x:v>2</x:v>
      </x:c>
      <x:c r="Q407" s="72" t="n">
        <x:v>5</x:v>
      </x:c>
      <x:c r="R407" s="72" t="n">
        <x:v>2</x:v>
      </x:c>
      <x:c r="S407" s="72" t="n">
        <x:v>4</x:v>
      </x:c>
      <x:c r="T407" s="72" t="n">
        <x:v>5</x:v>
      </x:c>
      <x:c r="U407" s="72" t="n">
        <x:v>4</x:v>
      </x:c>
      <x:c r="V407" s="72" t="n">
        <x:v>5</x:v>
      </x:c>
      <x:c r="W407" s="29" t="str">
        <x:v>每日宇宙图、天文冷知识、视觉钩子</x:v>
      </x:c>
      <x:c r="X407" s="29" t="str">
        <x:v>天然适合视觉传播，科学解释短而准确。</x:v>
      </x:c>
      <x:c r="Y407" s="29" t="str">
        <x:v>RSS端点已核验；每张图片版权可能不同，必须查看当日署名。</x:v>
      </x:c>
      <x:c r="Z407" s="75" t="b">
        <x:v>0</x:v>
      </x:c>
      <x:c r="AA407" s="29"/>
      <x:c r="AB407" s="29" t="str">
        <x:v>扩展调研：科技、科学与数据</x:v>
      </x:c>
      <x:c r="AC407" s="29" t="str">
        <x:v>https://apod.nasa.gov/apod.rss</x:v>
      </x:c>
      <x:c r="AD407" s="29" t="str">
        <x:v>2026-08-17</x:v>
      </x:c>
      <x:c r="AE407" s="29" t="n">
        <x:v>200</x:v>
      </x:c>
      <x:c r="AF407" s="29" t="str">
        <x:v>https://apod.nasa.gov/apod.rss</x:v>
      </x:c>
      <x:c r="AG407" s="29" t="str"/>
    </x:row>
    <x:row r="408" ht="44" customHeight="1">
      <x:c r="A408" s="29" t="str">
        <x:v>SRC-404</x:v>
      </x:c>
      <x:c r="B408" s="29" t="str">
        <x:f>IF(C408&gt;=93,"S",IF(C408&gt;=90,"A",IF(C408&gt;=80,"B","C")))</x:f>
        <x:v>C</x:v>
      </x:c>
      <x:c r="C408" s="72" t="n">
        <x:f>ROUND((P408*0.20+Q408*0.18+R408*0.20+S408*0.15+T408*0.12+U408*0.10+V408*0.05)*20,0)</x:f>
        <x:v>71</x:v>
      </x:c>
      <x:c r="D408" s="29" t="str">
        <x:v>数据与可视化</x:v>
      </x:c>
      <x:c r="E408" s="29" t="str">
        <x:v>工程可视化</x:v>
      </x:c>
      <x:c r="F408" s="29" t="str">
        <x:v>Branch Education</x:v>
      </x:c>
      <x:c r="G408" s="29" t="str"/>
      <x:c r="H408" s="29" t="str">
        <x:v>视频 / 频道</x:v>
      </x:c>
      <x:c r="I408" s="29" t="str">
        <x:v>en</x:v>
      </x:c>
      <x:c r="J408" s="29" t="str">
        <x:v>灵感源</x:v>
      </x:c>
      <x:c r="K408" s="29" t="str">
        <x:v>Open</x:v>
      </x:c>
      <x:c r="L408" s="29" t="str">
        <x:v>以频道更新为准</x:v>
      </x:c>
      <x:c r="M408" s="29" t="str">
        <x:v>https://www.youtube.com/channel/UCdp4_l1vPmpN-gDbUwhaRUQ</x:v>
      </x:c>
      <x:c r="N408" s="29" t="str">
        <x:v>https://www.youtube.com/feeds/videos.xml?channel_id=UCdp4_l1vPmpN-gDbUwhaRUQ</x:v>
      </x:c>
      <x:c r="O408" s="29" t="str">
        <x:v>有效</x:v>
      </x:c>
      <x:c r="P408" s="72" t="n">
        <x:v>2</x:v>
      </x:c>
      <x:c r="Q408" s="72" t="n">
        <x:v>5</x:v>
      </x:c>
      <x:c r="R408" s="72" t="n">
        <x:v>2</x:v>
      </x:c>
      <x:c r="S408" s="72" t="n">
        <x:v>4</x:v>
      </x:c>
      <x:c r="T408" s="72" t="n">
        <x:v>5</x:v>
      </x:c>
      <x:c r="U408" s="72" t="n">
        <x:v>4</x:v>
      </x:c>
      <x:c r="V408" s="72" t="n">
        <x:v>5</x:v>
      </x:c>
      <x:c r="W408" s="29" t="str">
        <x:v>视觉拆解、作品/方法介绍、叙事结构复盘</x:v>
      </x:c>
      <x:c r="X408" s="29" t="str">
        <x:v>高质量工程可视化视频创作者，适合快速建立背景、观察叙事结构并发现可传播选题。</x:v>
      </x:c>
      <x:c r="Y408" s="29" t="str">
        <x:v>可借鉴表达与案例；图片、片段和作品版权需单独核验。</x:v>
      </x:c>
      <x:c r="Z408" s="75" t="b">
        <x:v>0</x:v>
      </x:c>
      <x:c r="AA408" s="29"/>
      <x:c r="AB408" s="29" t="str">
        <x:v>YouTube 高质量创作者</x:v>
      </x:c>
      <x:c r="AC408" s="29" t="str">
        <x:v>https://www.youtube.com/@BranchEducation</x:v>
      </x:c>
      <x:c r="AD408" s="29" t="str">
        <x:v>2026-08-17</x:v>
      </x:c>
      <x:c r="AE408" s="29" t="n">
        <x:v>200</x:v>
      </x:c>
      <x:c r="AF408" s="29" t="str">
        <x:v>https://www.youtube.com/feeds/videos.xml?channel_id=UCdp4_l1vPmpN-gDbUwhaRUQ</x:v>
      </x:c>
      <x:c r="AG408" s="29" t="str"/>
    </x:row>
    <x:row r="409" ht="44" customHeight="1">
      <x:c r="A409" s="29" t="str">
        <x:v>SRC-405</x:v>
      </x:c>
      <x:c r="B409" s="29" t="str">
        <x:f>IF(C409&gt;=93,"S",IF(C409&gt;=90,"A",IF(C409&gt;=80,"B","C")))</x:f>
        <x:v>C</x:v>
      </x:c>
      <x:c r="C409" s="72" t="n">
        <x:f>ROUND((P409*0.20+Q409*0.18+R409*0.20+S409*0.15+T409*0.12+U409*0.10+V409*0.05)*20,0)</x:f>
        <x:v>71</x:v>
      </x:c>
      <x:c r="D409" s="29" t="str">
        <x:v>数据与可视化</x:v>
      </x:c>
      <x:c r="E409" s="29" t="str">
        <x:v>视觉新闻与图表规范</x:v>
      </x:c>
      <x:c r="F409" s="29" t="str">
        <x:v>Datawrapper Blog</x:v>
      </x:c>
      <x:c r="G409" s="29" t="str"/>
      <x:c r="H409" s="29" t="str">
        <x:v>Weekly Chart、地图、色彩、图表规范与周报</x:v>
      </x:c>
      <x:c r="I409" s="29" t="str">
        <x:v>en</x:v>
      </x:c>
      <x:c r="J409" s="29" t="str">
        <x:v>灵感源</x:v>
      </x:c>
      <x:c r="K409" s="29" t="str">
        <x:v>Open</x:v>
      </x:c>
      <x:c r="L409" s="29" t="str">
        <x:v>每周2至5篇</x:v>
      </x:c>
      <x:c r="M409" s="29" t="str">
        <x:v>https://www.datawrapper.de/blog</x:v>
      </x:c>
      <x:c r="N409" s="29" t="str">
        <x:v>https://www.datawrapper.de/blog/feed.xml</x:v>
      </x:c>
      <x:c r="O409" s="29" t="str">
        <x:v>有效</x:v>
      </x:c>
      <x:c r="P409" s="72" t="n">
        <x:v>2</x:v>
      </x:c>
      <x:c r="Q409" s="72" t="n">
        <x:v>5</x:v>
      </x:c>
      <x:c r="R409" s="72" t="n">
        <x:v>2</x:v>
      </x:c>
      <x:c r="S409" s="72" t="n">
        <x:v>4</x:v>
      </x:c>
      <x:c r="T409" s="72" t="n">
        <x:v>5</x:v>
      </x:c>
      <x:c r="U409" s="72" t="n">
        <x:v>4</x:v>
      </x:c>
      <x:c r="V409" s="72" t="n">
        <x:v>5</x:v>
      </x:c>
      <x:c r="W409" s="29" t="str">
        <x:v>图表改造、每周佳作、配色与地图</x:v>
      </x:c>
      <x:c r="X409" s="29" t="str">
        <x:v>实操性强，Data Vis Dispatch也是优质二级发现层。</x:v>
      </x:c>
      <x:c r="Y409" s="29" t="str">
        <x:v>旧blog.datawrapper.de Feed已核验重定向到此新地址。</x:v>
      </x:c>
      <x:c r="Z409" s="75" t="b">
        <x:v>0</x:v>
      </x:c>
      <x:c r="AA409" s="29"/>
      <x:c r="AB409" s="29" t="str">
        <x:v>扩展调研：科技、科学与数据</x:v>
      </x:c>
      <x:c r="AC409" s="29" t="str">
        <x:v>https://www.datawrapper.de/blog/feed.xml</x:v>
      </x:c>
      <x:c r="AD409" s="29" t="str">
        <x:v>2026-08-17</x:v>
      </x:c>
      <x:c r="AE409" s="29" t="n">
        <x:v>200</x:v>
      </x:c>
      <x:c r="AF409" s="29" t="str">
        <x:v>https://www.datawrapper.de/blog/feed.xml</x:v>
      </x:c>
      <x:c r="AG409" s="29" t="str"/>
    </x:row>
    <x:row r="410" ht="44" customHeight="1">
      <x:c r="A410" s="29" t="str">
        <x:v>SRC-406</x:v>
      </x:c>
      <x:c r="B410" s="29" t="str">
        <x:f>IF(C410&gt;=93,"S",IF(C410&gt;=90,"A",IF(C410&gt;=80,"B","C")))</x:f>
        <x:v>C</x:v>
      </x:c>
      <x:c r="C410" s="72" t="n">
        <x:f>ROUND((P410*0.20+Q410*0.18+R410*0.20+S410*0.15+T410*0.12+U410*0.10+V410*0.05)*20,0)</x:f>
        <x:v>71</x:v>
      </x:c>
      <x:c r="D410" s="29" t="str">
        <x:v>数据与可视化</x:v>
      </x:c>
      <x:c r="E410" s="29" t="str">
        <x:v>优秀可视化案例库</x:v>
      </x:c>
      <x:c r="F410" s="29" t="str">
        <x:v>Information is Beautiful Awards</x:v>
      </x:c>
      <x:c r="G410" s="29" t="str"/>
      <x:c r="H410" s="29" t="str">
        <x:v>奖项与作品档案</x:v>
      </x:c>
      <x:c r="I410" s="29" t="str">
        <x:v>en</x:v>
      </x:c>
      <x:c r="J410" s="29" t="str">
        <x:v>灵感源</x:v>
      </x:c>
      <x:c r="K410" s="29" t="str">
        <x:v>Open</x:v>
      </x:c>
      <x:c r="L410" s="29" t="str">
        <x:v>年度</x:v>
      </x:c>
      <x:c r="M410" s="29" t="str">
        <x:v>https://www.informationisbeautifulawards.com/</x:v>
      </x:c>
      <x:c r="N410" s="29" t="str"/>
      <x:c r="O410" s="29" t="str">
        <x:v>无RSS/API入口</x:v>
      </x:c>
      <x:c r="P410" s="72" t="n">
        <x:v>2</x:v>
      </x:c>
      <x:c r="Q410" s="72" t="n">
        <x:v>5</x:v>
      </x:c>
      <x:c r="R410" s="72" t="n">
        <x:v>2</x:v>
      </x:c>
      <x:c r="S410" s="72" t="n">
        <x:v>4</x:v>
      </x:c>
      <x:c r="T410" s="72" t="n">
        <x:v>5</x:v>
      </x:c>
      <x:c r="U410" s="72" t="n">
        <x:v>4</x:v>
      </x:c>
      <x:c r="V410" s="72" t="n">
        <x:v>5</x:v>
      </x:c>
      <x:c r="W410" s="29" t="str">
        <x:v>视觉趋势、案例拆解</x:v>
      </x:c>
      <x:c r="X410" s="29" t="str">
        <x:v>按年度和类别浏览高水平数据叙事项目。</x:v>
      </x:c>
      <x:c r="Y410" s="29" t="str">
        <x:v>作品是灵感与线索，事实需回查项目数据和方法。</x:v>
      </x:c>
      <x:c r="Z410" s="75" t="b">
        <x:v>0</x:v>
      </x:c>
      <x:c r="AA410" s="29"/>
      <x:c r="AB410" s="29" t="str">
        <x:v>扩展调研：数据库、资料库与平台</x:v>
      </x:c>
      <x:c r="AC410" s="29" t="str">
        <x:v>https://www.informationisbeautifulawards.com/</x:v>
      </x:c>
      <x:c r="AD410" s="29" t="str">
        <x:v>2026-08-17</x:v>
      </x:c>
      <x:c r="AE410" s="29"/>
      <x:c r="AF410" s="29" t="str"/>
      <x:c r="AG410" s="29" t="str"/>
    </x:row>
    <x:row r="411" ht="44" customHeight="1">
      <x:c r="A411" s="29" t="str">
        <x:v>SRC-407</x:v>
      </x:c>
      <x:c r="B411" s="29" t="str">
        <x:f>IF(C411&gt;=93,"S",IF(C411&gt;=90,"A",IF(C411&gt;=80,"B","C")))</x:f>
        <x:v>C</x:v>
      </x:c>
      <x:c r="C411" s="72" t="n">
        <x:f>ROUND((P411*0.20+Q411*0.18+R411*0.20+S411*0.15+T411*0.12+U411*0.10+V411*0.05)*20,0)</x:f>
        <x:v>71</x:v>
      </x:c>
      <x:c r="D411" s="29" t="str">
        <x:v>数据与可视化</x:v>
      </x:c>
      <x:c r="E411" s="29" t="str">
        <x:v>可视化专业社群</x:v>
      </x:c>
      <x:c r="F411" s="29" t="str">
        <x:v>Nightingale</x:v>
      </x:c>
      <x:c r="G411" s="29" t="str"/>
      <x:c r="H411" s="29" t="str">
        <x:v>Data Visualization Society社区文章、案例和方法</x:v>
      </x:c>
      <x:c r="I411" s="29" t="str">
        <x:v>en</x:v>
      </x:c>
      <x:c r="J411" s="29" t="str">
        <x:v>灵感源</x:v>
      </x:c>
      <x:c r="K411" s="29" t="str">
        <x:v>Open</x:v>
      </x:c>
      <x:c r="L411" s="29" t="str">
        <x:v>每周数篇</x:v>
      </x:c>
      <x:c r="M411" s="29" t="str">
        <x:v>https://nightingaledvs.com/</x:v>
      </x:c>
      <x:c r="N411" s="29" t="str">
        <x:v>https://nightingaledvs.com/feed/</x:v>
      </x:c>
      <x:c r="O411" s="29" t="str">
        <x:v>有效</x:v>
      </x:c>
      <x:c r="P411" s="72" t="n">
        <x:v>2</x:v>
      </x:c>
      <x:c r="Q411" s="72" t="n">
        <x:v>5</x:v>
      </x:c>
      <x:c r="R411" s="72" t="n">
        <x:v>2</x:v>
      </x:c>
      <x:c r="S411" s="72" t="n">
        <x:v>4</x:v>
      </x:c>
      <x:c r="T411" s="72" t="n">
        <x:v>5</x:v>
      </x:c>
      <x:c r="U411" s="72" t="n">
        <x:v>4</x:v>
      </x:c>
      <x:c r="V411" s="72" t="n">
        <x:v>5</x:v>
      </x:c>
      <x:c r="W411" s="29" t="str">
        <x:v>可视化方法、行业观点、历史图表</x:v>
      </x:c>
      <x:c r="X411" s="29" t="str">
        <x:v>作者多元，覆盖伦理、历史、技术与职业。</x:v>
      </x:c>
      <x:c r="Y411" s="29" t="str">
        <x:v>RSS端点已核验。</x:v>
      </x:c>
      <x:c r="Z411" s="75" t="b">
        <x:v>0</x:v>
      </x:c>
      <x:c r="AA411" s="29"/>
      <x:c r="AB411" s="29" t="str">
        <x:v>扩展调研：科技、科学与数据</x:v>
      </x:c>
      <x:c r="AC411" s="29" t="str">
        <x:v>https://nightingaledvs.com/feed/</x:v>
      </x:c>
      <x:c r="AD411" s="29" t="str">
        <x:v>2026-08-17</x:v>
      </x:c>
      <x:c r="AE411" s="29" t="n">
        <x:v>200</x:v>
      </x:c>
      <x:c r="AF411" s="29" t="str">
        <x:v>https://nightingaledvs.com/feed/</x:v>
      </x:c>
      <x:c r="AG411" s="29" t="str"/>
    </x:row>
    <x:row r="412" ht="44" customHeight="1">
      <x:c r="A412" s="29" t="str">
        <x:v>SRC-408</x:v>
      </x:c>
      <x:c r="B412" s="29" t="str">
        <x:f>IF(C412&gt;=93,"S",IF(C412&gt;=90,"A",IF(C412&gt;=80,"B","C")))</x:f>
        <x:v>C</x:v>
      </x:c>
      <x:c r="C412" s="72" t="n">
        <x:f>ROUND((P412*0.20+Q412*0.18+R412*0.20+S412*0.15+T412*0.12+U412*0.10+V412*0.05)*20,0)</x:f>
        <x:v>71</x:v>
      </x:c>
      <x:c r="D412" s="29" t="str">
        <x:v>数据与可视化</x:v>
      </x:c>
      <x:c r="E412" s="29" t="str">
        <x:v>交互可视化与数据应用</x:v>
      </x:c>
      <x:c r="F412" s="29" t="str">
        <x:v>Observable Blog</x:v>
      </x:c>
      <x:c r="G412" s="29" t="str"/>
      <x:c r="H412" s="29" t="str">
        <x:v>交互可视化、数据分析、Notebook与代码示例</x:v>
      </x:c>
      <x:c r="I412" s="29" t="str">
        <x:v>en</x:v>
      </x:c>
      <x:c r="J412" s="29" t="str">
        <x:v>灵感源</x:v>
      </x:c>
      <x:c r="K412" s="29" t="str">
        <x:v>Open</x:v>
      </x:c>
      <x:c r="L412" s="29" t="str">
        <x:v>每周1至3篇</x:v>
      </x:c>
      <x:c r="M412" s="29" t="str">
        <x:v>https://observablehq.com/</x:v>
      </x:c>
      <x:c r="N412" s="29" t="str">
        <x:v>https://observablehq.com/blog/feed.rss</x:v>
      </x:c>
      <x:c r="O412" s="29" t="str">
        <x:v>有效</x:v>
      </x:c>
      <x:c r="P412" s="72" t="n">
        <x:v>2</x:v>
      </x:c>
      <x:c r="Q412" s="72" t="n">
        <x:v>5</x:v>
      </x:c>
      <x:c r="R412" s="72" t="n">
        <x:v>2</x:v>
      </x:c>
      <x:c r="S412" s="72" t="n">
        <x:v>4</x:v>
      </x:c>
      <x:c r="T412" s="72" t="n">
        <x:v>5</x:v>
      </x:c>
      <x:c r="U412" s="72" t="n">
        <x:v>4</x:v>
      </x:c>
      <x:c r="V412" s="72" t="n">
        <x:v>5</x:v>
      </x:c>
      <x:c r="W412" s="29" t="str">
        <x:v>交互Demo、代码可视化、分析教程；交互图表、可复现分析</x:v>
      </x:c>
      <x:c r="X412" s="29" t="str">
        <x:v>可直接连接运行示例和代码，适合从素材走到作品。</x:v>
      </x:c>
      <x:c r="Y412" s="29" t="str">
        <x:v>当前有效端点为blog/feed.rss，已核验为RSS。；使用前核对数据口径、更新时间、许可与引用格式。</x:v>
      </x:c>
      <x:c r="Z412" s="75" t="b">
        <x:v>0</x:v>
      </x:c>
      <x:c r="AA412" s="29"/>
      <x:c r="AB412" s="29" t="str">
        <x:v>扩展调研：科技、科学与数据；扩展调研：数据库、资料库与平台</x:v>
      </x:c>
      <x:c r="AC412" s="29" t="str">
        <x:v>https://observablehq.com/blog/feed.rss；https://observablehq.com/</x:v>
      </x:c>
      <x:c r="AD412" s="29" t="str">
        <x:v>2026-08-17</x:v>
      </x:c>
      <x:c r="AE412" s="29" t="n">
        <x:v>200</x:v>
      </x:c>
      <x:c r="AF412" s="29" t="str">
        <x:v>https://observablehq.com/blog/feed.rss</x:v>
      </x:c>
      <x:c r="AG412" s="29" t="str"/>
    </x:row>
    <x:row r="413" ht="44" customHeight="1">
      <x:c r="A413" s="29" t="str">
        <x:v>SRC-409</x:v>
      </x:c>
      <x:c r="B413" s="29" t="str">
        <x:f>IF(C413&gt;=93,"S",IF(C413&gt;=90,"A",IF(C413&gt;=80,"B","C")))</x:f>
        <x:v>C</x:v>
      </x:c>
      <x:c r="C413" s="72" t="n">
        <x:f>ROUND((P413*0.20+Q413*0.18+R413*0.20+S413*0.15+T413*0.12+U413*0.10+V413*0.05)*20,0)</x:f>
        <x:v>71</x:v>
      </x:c>
      <x:c r="D413" s="29" t="str">
        <x:v>数据与可视化</x:v>
      </x:c>
      <x:c r="E413" s="29" t="str">
        <x:v>开源图表生成</x:v>
      </x:c>
      <x:c r="F413" s="29" t="str">
        <x:v>RAWGraphs</x:v>
      </x:c>
      <x:c r="G413" s="29" t="str"/>
      <x:c r="H413" s="29" t="str">
        <x:v>开源可视化工具</x:v>
      </x:c>
      <x:c r="I413" s="29" t="str">
        <x:v>en</x:v>
      </x:c>
      <x:c r="J413" s="29" t="str">
        <x:v>灵感源</x:v>
      </x:c>
      <x:c r="K413" s="29" t="str">
        <x:v>Open</x:v>
      </x:c>
      <x:c r="L413" s="29" t="str">
        <x:v>持续更新</x:v>
      </x:c>
      <x:c r="M413" s="29" t="str">
        <x:v>https://www.rawgraphs.io/</x:v>
      </x:c>
      <x:c r="N413" s="29" t="str"/>
      <x:c r="O413" s="29" t="str">
        <x:v>无RSS/API入口</x:v>
      </x:c>
      <x:c r="P413" s="72" t="n">
        <x:v>2</x:v>
      </x:c>
      <x:c r="Q413" s="72" t="n">
        <x:v>5</x:v>
      </x:c>
      <x:c r="R413" s="72" t="n">
        <x:v>2</x:v>
      </x:c>
      <x:c r="S413" s="72" t="n">
        <x:v>4</x:v>
      </x:c>
      <x:c r="T413" s="72" t="n">
        <x:v>5</x:v>
      </x:c>
      <x:c r="U413" s="72" t="n">
        <x:v>4</x:v>
      </x:c>
      <x:c r="V413" s="72" t="n">
        <x:v>5</x:v>
      </x:c>
      <x:c r="W413" s="29" t="str">
        <x:v>桑基、层级与关系图</x:v>
      </x:c>
      <x:c r="X413" s="29" t="str">
        <x:v>快速把表格数据转成非常规图表并导出矢量。</x:v>
      </x:c>
      <x:c r="Y413" s="29" t="str">
        <x:v>使用前核对数据口径、更新时间、许可与引用格式。</x:v>
      </x:c>
      <x:c r="Z413" s="75" t="b">
        <x:v>0</x:v>
      </x:c>
      <x:c r="AA413" s="29"/>
      <x:c r="AB413" s="29" t="str">
        <x:v>扩展调研：数据库、资料库与平台</x:v>
      </x:c>
      <x:c r="AC413" s="29" t="str">
        <x:v>https://www.rawgraphs.io/</x:v>
      </x:c>
      <x:c r="AD413" s="29" t="str">
        <x:v>2026-08-17</x:v>
      </x:c>
      <x:c r="AE413" s="29"/>
      <x:c r="AF413" s="29" t="str"/>
      <x:c r="AG413" s="29" t="str"/>
    </x:row>
    <x:row r="414" ht="44" customHeight="1">
      <x:c r="A414" s="29" t="str">
        <x:v>SRC-410</x:v>
      </x:c>
      <x:c r="B414" s="29" t="str">
        <x:f>IF(C414&gt;=93,"S",IF(C414&gt;=90,"A",IF(C414&gt;=80,"B","C")))</x:f>
        <x:v>C</x:v>
      </x:c>
      <x:c r="C414" s="72" t="n">
        <x:f>ROUND((P414*0.20+Q414*0.18+R414*0.20+S414*0.15+T414*0.12+U414*0.10+V414*0.05)*20,0)</x:f>
        <x:v>71</x:v>
      </x:c>
      <x:c r="D414" s="29" t="str">
        <x:v>数据与可视化</x:v>
      </x:c>
      <x:c r="E414" s="29" t="str">
        <x:v>公开交互可视化社区</x:v>
      </x:c>
      <x:c r="F414" s="29" t="str">
        <x:v>Tableau Public</x:v>
      </x:c>
      <x:c r="G414" s="29" t="str"/>
      <x:c r="H414" s="29" t="str">
        <x:v>可视化发布平台</x:v>
      </x:c>
      <x:c r="I414" s="29" t="str">
        <x:v>multilingual</x:v>
      </x:c>
      <x:c r="J414" s="29" t="str">
        <x:v>灵感源</x:v>
      </x:c>
      <x:c r="K414" s="29" t="str">
        <x:v>Open</x:v>
      </x:c>
      <x:c r="L414" s="29" t="str">
        <x:v>持续更新</x:v>
      </x:c>
      <x:c r="M414" s="29" t="str">
        <x:v>https://public.tableau.com/</x:v>
      </x:c>
      <x:c r="N414" s="29" t="str"/>
      <x:c r="O414" s="29" t="str">
        <x:v>无RSS/API入口</x:v>
      </x:c>
      <x:c r="P414" s="72" t="n">
        <x:v>2</x:v>
      </x:c>
      <x:c r="Q414" s="72" t="n">
        <x:v>5</x:v>
      </x:c>
      <x:c r="R414" s="72" t="n">
        <x:v>2</x:v>
      </x:c>
      <x:c r="S414" s="72" t="n">
        <x:v>4</x:v>
      </x:c>
      <x:c r="T414" s="72" t="n">
        <x:v>5</x:v>
      </x:c>
      <x:c r="U414" s="72" t="n">
        <x:v>4</x:v>
      </x:c>
      <x:c r="V414" s="72" t="n">
        <x:v>5</x:v>
      </x:c>
      <x:c r="W414" s="29" t="str">
        <x:v>图表灵感、交互结构</x:v>
      </x:c>
      <x:c r="X414" s="29" t="str">
        <x:v>发现交互仪表板和可视化技法，适合作为结构灵感。</x:v>
      </x:c>
      <x:c r="Y414" s="29" t="str">
        <x:v>不要把作者计算字段当一手证据；回查其数据源和许可。</x:v>
      </x:c>
      <x:c r="Z414" s="75" t="b">
        <x:v>0</x:v>
      </x:c>
      <x:c r="AA414" s="29"/>
      <x:c r="AB414" s="29" t="str">
        <x:v>扩展调研：数据库、资料库与平台</x:v>
      </x:c>
      <x:c r="AC414" s="29" t="str">
        <x:v>https://public.tableau.com/</x:v>
      </x:c>
      <x:c r="AD414" s="29" t="str">
        <x:v>2026-08-17</x:v>
      </x:c>
      <x:c r="AE414" s="29"/>
      <x:c r="AF414" s="29" t="str"/>
      <x:c r="AG414" s="29" t="str"/>
    </x:row>
    <x:row r="415" ht="44" customHeight="1">
      <x:c r="A415" s="29" t="str">
        <x:v>SRC-411</x:v>
      </x:c>
      <x:c r="B415" s="29" t="str">
        <x:f>IF(C415&gt;=93,"S",IF(C415&gt;=90,"A",IF(C415&gt;=80,"B","C")))</x:f>
        <x:v>C</x:v>
      </x:c>
      <x:c r="C415" s="72" t="n">
        <x:f>ROUND((P415*0.20+Q415*0.18+R415*0.20+S415*0.15+T415*0.12+U415*0.10+V415*0.05)*20,0)</x:f>
        <x:v>71</x:v>
      </x:c>
      <x:c r="D415" s="29" t="str">
        <x:v>数据与可视化</x:v>
      </x:c>
      <x:c r="E415" s="29" t="str">
        <x:v>交互数据叙事</x:v>
      </x:c>
      <x:c r="F415" s="29" t="str">
        <x:v>The Pudding</x:v>
      </x:c>
      <x:c r="G415" s="29" t="str"/>
      <x:c r="H415" s="29" t="str">
        <x:v>文化、社会、语言和音乐的交互数据故事</x:v>
      </x:c>
      <x:c r="I415" s="29" t="str">
        <x:v>en</x:v>
      </x:c>
      <x:c r="J415" s="29" t="str">
        <x:v>灵感源</x:v>
      </x:c>
      <x:c r="K415" s="29" t="str">
        <x:v>Open</x:v>
      </x:c>
      <x:c r="L415" s="29" t="str">
        <x:v>每月1至4篇，不规律</x:v>
      </x:c>
      <x:c r="M415" s="29" t="str">
        <x:v>https://pudding.cool/</x:v>
      </x:c>
      <x:c r="N415" s="29" t="str">
        <x:v>https://pudding.cool/rss.xml</x:v>
      </x:c>
      <x:c r="O415" s="29" t="str">
        <x:v>有效</x:v>
      </x:c>
      <x:c r="P415" s="72" t="n">
        <x:v>2</x:v>
      </x:c>
      <x:c r="Q415" s="72" t="n">
        <x:v>5</x:v>
      </x:c>
      <x:c r="R415" s="72" t="n">
        <x:v>2</x:v>
      </x:c>
      <x:c r="S415" s="72" t="n">
        <x:v>4</x:v>
      </x:c>
      <x:c r="T415" s="72" t="n">
        <x:v>5</x:v>
      </x:c>
      <x:c r="U415" s="72" t="n">
        <x:v>4</x:v>
      </x:c>
      <x:c r="V415" s="72" t="n">
        <x:v>5</x:v>
      </x:c>
      <x:c r="W415" s="29" t="str">
        <x:v>互动故事、文化数据、叙事拆解</x:v>
      </x:c>
      <x:c r="X415" s="29" t="str">
        <x:v>视觉叙事和交互体验标杆，题材有天然传播性。</x:v>
      </x:c>
      <x:c r="Y415" s="29" t="str">
        <x:v>RSS端点已核验。</x:v>
      </x:c>
      <x:c r="Z415" s="75" t="b">
        <x:v>0</x:v>
      </x:c>
      <x:c r="AA415" s="29"/>
      <x:c r="AB415" s="29" t="str">
        <x:v>扩展调研：科技、科学与数据</x:v>
      </x:c>
      <x:c r="AC415" s="29" t="str">
        <x:v>https://pudding.cool/rss.xml</x:v>
      </x:c>
      <x:c r="AD415" s="29" t="str">
        <x:v>2026-08-17</x:v>
      </x:c>
      <x:c r="AE415" s="29" t="n">
        <x:v>200</x:v>
      </x:c>
      <x:c r="AF415" s="29" t="str">
        <x:v>https://pudding.cool/rss.xml</x:v>
      </x:c>
      <x:c r="AG415" s="29" t="str"/>
    </x:row>
    <x:row r="416" ht="44" customHeight="1">
      <x:c r="A416" s="29" t="str">
        <x:v>SRC-412</x:v>
      </x:c>
      <x:c r="B416" s="29" t="str">
        <x:f>IF(C416&gt;=93,"S",IF(C416&gt;=90,"A",IF(C416&gt;=80,"B","C")))</x:f>
        <x:v>C</x:v>
      </x:c>
      <x:c r="C416" s="72" t="n">
        <x:f>ROUND((P416*0.20+Q416*0.18+R416*0.20+S416*0.15+T416*0.12+U416*0.10+V416*0.05)*20,0)</x:f>
        <x:v>71</x:v>
      </x:c>
      <x:c r="D416" s="29" t="str">
        <x:v>艺术、设计与建筑</x:v>
      </x:c>
      <x:c r="E416" s="29" t="str">
        <x:v>当代艺术、工艺与摄影</x:v>
      </x:c>
      <x:c r="F416" s="29" t="str">
        <x:v>Colossal</x:v>
      </x:c>
      <x:c r="G416" s="29" t="str"/>
      <x:c r="H416" s="29" t="str">
        <x:v>视觉项目、艺术家介绍、展览与作品图集</x:v>
      </x:c>
      <x:c r="I416" s="29" t="str">
        <x:v>en</x:v>
      </x:c>
      <x:c r="J416" s="29" t="str">
        <x:v>灵感源</x:v>
      </x:c>
      <x:c r="K416" s="29" t="str">
        <x:v>Open</x:v>
      </x:c>
      <x:c r="L416" s="29" t="str">
        <x:v>每日约2至5篇</x:v>
      </x:c>
      <x:c r="M416" s="29" t="str">
        <x:v>https://www.thisiscolossal.com/</x:v>
      </x:c>
      <x:c r="N416" s="29" t="str">
        <x:v>https://www.thisiscolossal.com/feed/</x:v>
      </x:c>
      <x:c r="O416" s="29" t="str">
        <x:v>有效</x:v>
      </x:c>
      <x:c r="P416" s="72" t="n">
        <x:v>2</x:v>
      </x:c>
      <x:c r="Q416" s="72" t="n">
        <x:v>5</x:v>
      </x:c>
      <x:c r="R416" s="72" t="n">
        <x:v>2</x:v>
      </x:c>
      <x:c r="S416" s="72" t="n">
        <x:v>4</x:v>
      </x:c>
      <x:c r="T416" s="72" t="n">
        <x:v>5</x:v>
      </x:c>
      <x:c r="U416" s="72" t="n">
        <x:v>4</x:v>
      </x:c>
      <x:c r="V416" s="72" t="n">
        <x:v>5</x:v>
      </x:c>
      <x:c r="W416" s="29" t="str">
        <x:v>视觉钩子加艺术家方法加作品背景。</x:v>
      </x:c>
      <x:c r="X416" s="29" t="str">
        <x:v>视觉呈现强、更新稳定，是发现装置、工艺、摄影和新锐艺术家的高效入口。</x:v>
      </x:c>
      <x:c r="Y416" s="29" t="str">
        <x:v>2026-08-17：Feed 端点返回 application/rss+xml。图片转载需回到艺术家或机构授权。</x:v>
      </x:c>
      <x:c r="Z416" s="75" t="b">
        <x:v>0</x:v>
      </x:c>
      <x:c r="AA416" s="29"/>
      <x:c r="AB416" s="29" t="str">
        <x:v>扩展调研：人文、历史、哲学与设计</x:v>
      </x:c>
      <x:c r="AC416" s="29" t="str">
        <x:v>https://www.thisiscolossal.com/</x:v>
      </x:c>
      <x:c r="AD416" s="29" t="str">
        <x:v>2026-08-17</x:v>
      </x:c>
      <x:c r="AE416" s="29" t="n">
        <x:v>200</x:v>
      </x:c>
      <x:c r="AF416" s="29" t="str">
        <x:v>https://www.thisiscolossal.com/feed/</x:v>
      </x:c>
      <x:c r="AG416" s="29" t="str"/>
    </x:row>
    <x:row r="417" ht="44" customHeight="1">
      <x:c r="A417" s="29" t="str">
        <x:v>SRC-413</x:v>
      </x:c>
      <x:c r="B417" s="29" t="str">
        <x:f>IF(C417&gt;=93,"S",IF(C417&gt;=90,"A",IF(C417&gt;=80,"B","C")))</x:f>
        <x:v>C</x:v>
      </x:c>
      <x:c r="C417" s="72" t="n">
        <x:f>ROUND((P417*0.20+Q417*0.18+R417*0.20+S417*0.15+T417*0.12+U417*0.10+V417*0.05)*20,0)</x:f>
        <x:v>71</x:v>
      </x:c>
      <x:c r="D417" s="29" t="str">
        <x:v>艺术、设计与建筑</x:v>
      </x:c>
      <x:c r="E417" s="29" t="str">
        <x:v>平面设计、插画与创意职业</x:v>
      </x:c>
      <x:c r="F417" s="29" t="str">
        <x:v>Creative Boom</x:v>
      </x:c>
      <x:c r="G417" s="29" t="str"/>
      <x:c r="H417" s="29" t="str">
        <x:v>作品报道、创作者访谈、职业建议</x:v>
      </x:c>
      <x:c r="I417" s="29" t="str">
        <x:v>en</x:v>
      </x:c>
      <x:c r="J417" s="29" t="str">
        <x:v>灵感源</x:v>
      </x:c>
      <x:c r="K417" s="29" t="str">
        <x:v>Open</x:v>
      </x:c>
      <x:c r="L417" s="29" t="str">
        <x:v>每日更新</x:v>
      </x:c>
      <x:c r="M417" s="29" t="str">
        <x:v>https://www.creativeboom.com/</x:v>
      </x:c>
      <x:c r="N417" s="29" t="str">
        <x:v>https://www.creativeboom.com/feed/</x:v>
      </x:c>
      <x:c r="O417" s="29" t="str">
        <x:v>有效</x:v>
      </x:c>
      <x:c r="P417" s="72" t="n">
        <x:v>2</x:v>
      </x:c>
      <x:c r="Q417" s="72" t="n">
        <x:v>5</x:v>
      </x:c>
      <x:c r="R417" s="72" t="n">
        <x:v>2</x:v>
      </x:c>
      <x:c r="S417" s="72" t="n">
        <x:v>4</x:v>
      </x:c>
      <x:c r="T417" s="72" t="n">
        <x:v>5</x:v>
      </x:c>
      <x:c r="U417" s="72" t="n">
        <x:v>4</x:v>
      </x:c>
      <x:c r="V417" s="72" t="n">
        <x:v>5</x:v>
      </x:c>
      <x:c r="W417" s="29" t="str">
        <x:v>设计趋势、创作者访谈和职业建议清单。</x:v>
      </x:c>
      <x:c r="X417" s="29" t="str">
        <x:v>兼顾视觉项目与创作者职业实践，适合从作品延伸到过程和方法。</x:v>
      </x:c>
      <x:c r="Y417" s="29" t="str">
        <x:v>2026-08-17：Feed 端点返回 text/xml。</x:v>
      </x:c>
      <x:c r="Z417" s="75" t="b">
        <x:v>0</x:v>
      </x:c>
      <x:c r="AA417" s="29"/>
      <x:c r="AB417" s="29" t="str">
        <x:v>扩展调研：人文、历史、哲学与设计</x:v>
      </x:c>
      <x:c r="AC417" s="29" t="str">
        <x:v>https://www.creativeboom.com/</x:v>
      </x:c>
      <x:c r="AD417" s="29" t="str">
        <x:v>2026-08-17</x:v>
      </x:c>
      <x:c r="AE417" s="29" t="n">
        <x:v>200</x:v>
      </x:c>
      <x:c r="AF417" s="29" t="str">
        <x:v>https://www.creativeboom.com/feed/</x:v>
      </x:c>
      <x:c r="AG417" s="29" t="str"/>
    </x:row>
    <x:row r="418" ht="44" customHeight="1">
      <x:c r="A418" s="29" t="str">
        <x:v>SRC-414</x:v>
      </x:c>
      <x:c r="B418" s="29" t="str">
        <x:f>IF(C418&gt;=93,"S",IF(C418&gt;=90,"A",IF(C418&gt;=80,"B","C")))</x:f>
        <x:v>C</x:v>
      </x:c>
      <x:c r="C418" s="72" t="n">
        <x:f>ROUND((P418*0.20+Q418*0.18+R418*0.20+S418*0.15+T418*0.12+U418*0.10+V418*0.05)*20,0)</x:f>
        <x:v>71</x:v>
      </x:c>
      <x:c r="D418" s="29" t="str">
        <x:v>艺术、设计与建筑</x:v>
      </x:c>
      <x:c r="E418" s="29" t="str">
        <x:v>产品、家具、室内与现代建筑</x:v>
      </x:c>
      <x:c r="F418" s="29" t="str">
        <x:v>Design Milk</x:v>
      </x:c>
      <x:c r="G418" s="29" t="str"/>
      <x:c r="H418" s="29" t="str">
        <x:v>产品报道、空间案例、设计趋势</x:v>
      </x:c>
      <x:c r="I418" s="29" t="str">
        <x:v>en</x:v>
      </x:c>
      <x:c r="J418" s="29" t="str">
        <x:v>灵感源</x:v>
      </x:c>
      <x:c r="K418" s="29" t="str">
        <x:v>Open</x:v>
      </x:c>
      <x:c r="L418" s="29" t="str">
        <x:v>每日多篇</x:v>
      </x:c>
      <x:c r="M418" s="29" t="str">
        <x:v>https://design-milk.com/</x:v>
      </x:c>
      <x:c r="N418" s="29" t="str">
        <x:v>https://design-milk.com/feed/</x:v>
      </x:c>
      <x:c r="O418" s="29" t="str">
        <x:v>有效</x:v>
      </x:c>
      <x:c r="P418" s="72" t="n">
        <x:v>2</x:v>
      </x:c>
      <x:c r="Q418" s="72" t="n">
        <x:v>5</x:v>
      </x:c>
      <x:c r="R418" s="72" t="n">
        <x:v>2</x:v>
      </x:c>
      <x:c r="S418" s="72" t="n">
        <x:v>4</x:v>
      </x:c>
      <x:c r="T418" s="72" t="n">
        <x:v>5</x:v>
      </x:c>
      <x:c r="U418" s="72" t="n">
        <x:v>4</x:v>
      </x:c>
      <x:c r="V418" s="72" t="n">
        <x:v>5</x:v>
      </x:c>
      <x:c r="W418" s="29" t="str">
        <x:v>产品合集、材料趋势和空间灵感；筛除商业软文。</x:v>
      </x:c>
      <x:c r="X418" s="29" t="str">
        <x:v>视觉更新快，适合追产品、家具、材料和空间趋势。</x:v>
      </x:c>
      <x:c r="Y418" s="29" t="str">
        <x:v>2026-08-17：Feed 端点返回 text/xml。</x:v>
      </x:c>
      <x:c r="Z418" s="75" t="b">
        <x:v>0</x:v>
      </x:c>
      <x:c r="AA418" s="29"/>
      <x:c r="AB418" s="29" t="str">
        <x:v>扩展调研：人文、历史、哲学与设计</x:v>
      </x:c>
      <x:c r="AC418" s="29" t="str">
        <x:v>https://design-milk.com/</x:v>
      </x:c>
      <x:c r="AD418" s="29" t="str">
        <x:v>2026-08-17</x:v>
      </x:c>
      <x:c r="AE418" s="29" t="n">
        <x:v>200</x:v>
      </x:c>
      <x:c r="AF418" s="29" t="str">
        <x:v>https://design-milk.com/feed/</x:v>
      </x:c>
      <x:c r="AG418" s="29" t="str"/>
    </x:row>
    <x:row r="419" ht="44" customHeight="1">
      <x:c r="A419" s="29" t="str">
        <x:v>SRC-415</x:v>
      </x:c>
      <x:c r="B419" s="29" t="str">
        <x:f>IF(C419&gt;=93,"S",IF(C419&gt;=90,"A",IF(C419&gt;=80,"B","C")))</x:f>
        <x:v>C</x:v>
      </x:c>
      <x:c r="C419" s="72" t="n">
        <x:f>ROUND((P419*0.20+Q419*0.18+R419*0.20+S419*0.15+T419*0.12+U419*0.10+V419*0.05)*20,0)</x:f>
        <x:v>71</x:v>
      </x:c>
      <x:c r="D419" s="29" t="str">
        <x:v>艺术、设计与建筑</x:v>
      </x:c>
      <x:c r="E419" s="29" t="str">
        <x:v>电影/视觉叙事</x:v>
      </x:c>
      <x:c r="F419" s="29" t="str">
        <x:v>Every Frame a Painting</x:v>
      </x:c>
      <x:c r="G419" s="29" t="str"/>
      <x:c r="H419" s="29" t="str">
        <x:v>视频 / 频道</x:v>
      </x:c>
      <x:c r="I419" s="29" t="str">
        <x:v>en</x:v>
      </x:c>
      <x:c r="J419" s="29" t="str">
        <x:v>灵感源</x:v>
      </x:c>
      <x:c r="K419" s="29" t="str">
        <x:v>Open</x:v>
      </x:c>
      <x:c r="L419" s="29" t="str">
        <x:v>以频道更新为准</x:v>
      </x:c>
      <x:c r="M419" s="29" t="str">
        <x:v>https://www.youtube.com/channel/UCjFqcJQXGZ6T6sxyFB-5i6A</x:v>
      </x:c>
      <x:c r="N419" s="29" t="str">
        <x:v>https://www.youtube.com/feeds/videos.xml?channel_id=UCjFqcJQXGZ6T6sxyFB-5i6A</x:v>
      </x:c>
      <x:c r="O419" s="29" t="str">
        <x:v>有效</x:v>
      </x:c>
      <x:c r="P419" s="72" t="n">
        <x:v>2</x:v>
      </x:c>
      <x:c r="Q419" s="72" t="n">
        <x:v>5</x:v>
      </x:c>
      <x:c r="R419" s="72" t="n">
        <x:v>2</x:v>
      </x:c>
      <x:c r="S419" s="72" t="n">
        <x:v>4</x:v>
      </x:c>
      <x:c r="T419" s="72" t="n">
        <x:v>5</x:v>
      </x:c>
      <x:c r="U419" s="72" t="n">
        <x:v>4</x:v>
      </x:c>
      <x:c r="V419" s="72" t="n">
        <x:v>5</x:v>
      </x:c>
      <x:c r="W419" s="29" t="str">
        <x:v>视觉拆解、作品/方法介绍、叙事结构复盘</x:v>
      </x:c>
      <x:c r="X419" s="29" t="str">
        <x:v>高质量电影/视觉叙事视频创作者，适合快速建立背景、观察叙事结构并发现可传播选题。</x:v>
      </x:c>
      <x:c r="Y419" s="29" t="str">
        <x:v>可借鉴表达与案例；图片、片段和作品版权需单独核验。</x:v>
      </x:c>
      <x:c r="Z419" s="75" t="b">
        <x:v>0</x:v>
      </x:c>
      <x:c r="AA419" s="29"/>
      <x:c r="AB419" s="29" t="str">
        <x:v>YouTube 高质量创作者</x:v>
      </x:c>
      <x:c r="AC419" s="29" t="str">
        <x:v>https://www.youtube.com/@everyframeapainting</x:v>
      </x:c>
      <x:c r="AD419" s="29" t="str">
        <x:v>2026-08-17</x:v>
      </x:c>
      <x:c r="AE419" s="29" t="n">
        <x:v>200</x:v>
      </x:c>
      <x:c r="AF419" s="29" t="str">
        <x:v>https://www.youtube.com/feeds/videos.xml?channel_id=UCjFqcJQXGZ6T6sxyFB-5i6A</x:v>
      </x:c>
      <x:c r="AG419" s="29" t="str"/>
    </x:row>
    <x:row r="420" ht="44" customHeight="1">
      <x:c r="A420" s="29" t="str">
        <x:v>SRC-416</x:v>
      </x:c>
      <x:c r="B420" s="29" t="str">
        <x:f>IF(C420&gt;=93,"S",IF(C420&gt;=90,"A",IF(C420&gt;=80,"B","C")))</x:f>
        <x:v>C</x:v>
      </x:c>
      <x:c r="C420" s="72" t="n">
        <x:f>ROUND((P420*0.20+Q420*0.18+R420*0.20+S420*0.15+T420*0.12+U420*0.10+V420*0.05)*20,0)</x:f>
        <x:v>71</x:v>
      </x:c>
      <x:c r="D420" s="29" t="str">
        <x:v>艺术、设计与建筑</x:v>
      </x:c>
      <x:c r="E420" s="29" t="str">
        <x:v>网页设计</x:v>
      </x:c>
      <x:c r="F420" s="29" t="str">
        <x:v>Flux Academy</x:v>
      </x:c>
      <x:c r="G420" s="29" t="str"/>
      <x:c r="H420" s="29" t="str">
        <x:v>视频 / 频道</x:v>
      </x:c>
      <x:c r="I420" s="29" t="str">
        <x:v>en</x:v>
      </x:c>
      <x:c r="J420" s="29" t="str">
        <x:v>灵感源</x:v>
      </x:c>
      <x:c r="K420" s="29" t="str">
        <x:v>Open</x:v>
      </x:c>
      <x:c r="L420" s="29" t="str">
        <x:v>以频道更新为准</x:v>
      </x:c>
      <x:c r="M420" s="29" t="str">
        <x:v>https://www.youtube.com/channel/UCN7dywl5wDxTu1RM3eJ_h9Q</x:v>
      </x:c>
      <x:c r="N420" s="29" t="str">
        <x:v>https://www.youtube.com/feeds/videos.xml?channel_id=UCN7dywl5wDxTu1RM3eJ_h9Q</x:v>
      </x:c>
      <x:c r="O420" s="29" t="str">
        <x:v>有效</x:v>
      </x:c>
      <x:c r="P420" s="72" t="n">
        <x:v>2</x:v>
      </x:c>
      <x:c r="Q420" s="72" t="n">
        <x:v>5</x:v>
      </x:c>
      <x:c r="R420" s="72" t="n">
        <x:v>2</x:v>
      </x:c>
      <x:c r="S420" s="72" t="n">
        <x:v>4</x:v>
      </x:c>
      <x:c r="T420" s="72" t="n">
        <x:v>5</x:v>
      </x:c>
      <x:c r="U420" s="72" t="n">
        <x:v>4</x:v>
      </x:c>
      <x:c r="V420" s="72" t="n">
        <x:v>5</x:v>
      </x:c>
      <x:c r="W420" s="29" t="str">
        <x:v>视觉拆解、作品/方法介绍、叙事结构复盘</x:v>
      </x:c>
      <x:c r="X420" s="29" t="str">
        <x:v>高质量网页设计视频创作者，适合快速建立背景、观察叙事结构并发现可传播选题。</x:v>
      </x:c>
      <x:c r="Y420" s="29" t="str">
        <x:v>可借鉴表达与案例；图片、片段和作品版权需单独核验。</x:v>
      </x:c>
      <x:c r="Z420" s="75" t="b">
        <x:v>0</x:v>
      </x:c>
      <x:c r="AA420" s="29"/>
      <x:c r="AB420" s="29" t="str">
        <x:v>YouTube 高质量创作者</x:v>
      </x:c>
      <x:c r="AC420" s="29" t="str">
        <x:v>https://www.youtube.com/@FluxAcademy</x:v>
      </x:c>
      <x:c r="AD420" s="29" t="str">
        <x:v>2026-08-17</x:v>
      </x:c>
      <x:c r="AE420" s="29" t="n">
        <x:v>200</x:v>
      </x:c>
      <x:c r="AF420" s="29" t="str">
        <x:v>https://www.youtube.com/feeds/videos.xml?channel_id=UCN7dywl5wDxTu1RM3eJ_h9Q</x:v>
      </x:c>
      <x:c r="AG420" s="29" t="str"/>
    </x:row>
    <x:row r="421" ht="44" customHeight="1">
      <x:c r="A421" s="29" t="str">
        <x:v>SRC-417</x:v>
      </x:c>
      <x:c r="B421" s="29" t="str">
        <x:f>IF(C421&gt;=93,"S",IF(C421&gt;=90,"A",IF(C421&gt;=80,"B","C")))</x:f>
        <x:v>C</x:v>
      </x:c>
      <x:c r="C421" s="72" t="n">
        <x:f>ROUND((P421*0.20+Q421*0.18+R421*0.20+S421*0.15+T421*0.12+U421*0.10+V421*0.05)*20,0)</x:f>
        <x:v>71</x:v>
      </x:c>
      <x:c r="D421" s="29" t="str">
        <x:v>艺术、设计与建筑</x:v>
      </x:c>
      <x:c r="E421" s="29" t="str">
        <x:v>真实项目字体案例</x:v>
      </x:c>
      <x:c r="F421" s="29" t="str">
        <x:v>Fonts In Use</x:v>
      </x:c>
      <x:c r="G421" s="29" t="str"/>
      <x:c r="H421" s="29" t="str">
        <x:v>设计案例库 / RSS</x:v>
      </x:c>
      <x:c r="I421" s="29" t="str">
        <x:v>en</x:v>
      </x:c>
      <x:c r="J421" s="29" t="str">
        <x:v>灵感源</x:v>
      </x:c>
      <x:c r="K421" s="29" t="str">
        <x:v>Open</x:v>
      </x:c>
      <x:c r="L421" s="29" t="str">
        <x:v>每周</x:v>
      </x:c>
      <x:c r="M421" s="29" t="str">
        <x:v>https://fontsinuse.com/</x:v>
      </x:c>
      <x:c r="N421" s="29" t="str">
        <x:v>https://fontsinuse.com/main.rss</x:v>
      </x:c>
      <x:c r="O421" s="29" t="str">
        <x:v>有效</x:v>
      </x:c>
      <x:c r="P421" s="72" t="n">
        <x:v>2</x:v>
      </x:c>
      <x:c r="Q421" s="72" t="n">
        <x:v>5</x:v>
      </x:c>
      <x:c r="R421" s="72" t="n">
        <x:v>2</x:v>
      </x:c>
      <x:c r="S421" s="72" t="n">
        <x:v>4</x:v>
      </x:c>
      <x:c r="T421" s="72" t="n">
        <x:v>5</x:v>
      </x:c>
      <x:c r="U421" s="72" t="n">
        <x:v>4</x:v>
      </x:c>
      <x:c r="V421" s="72" t="n">
        <x:v>5</x:v>
      </x:c>
      <x:c r="W421" s="29" t="str">
        <x:v>字体故事、品牌视觉拆解</x:v>
      </x:c>
      <x:c r="X421" s="29" t="str">
        <x:v>按字体、行业和年代查看真实应用，适合字体与品牌拆解。</x:v>
      </x:c>
      <x:c r="Y421" s="29" t="str">
        <x:v>使用前核对数据口径、更新时间、许可与引用格式。</x:v>
      </x:c>
      <x:c r="Z421" s="75" t="b">
        <x:v>0</x:v>
      </x:c>
      <x:c r="AA421" s="29"/>
      <x:c r="AB421" s="29" t="str">
        <x:v>扩展调研：数据库、资料库与平台</x:v>
      </x:c>
      <x:c r="AC421" s="29" t="str">
        <x:v>https://fontsinuse.com/</x:v>
      </x:c>
      <x:c r="AD421" s="29" t="str">
        <x:v>2026-08-17</x:v>
      </x:c>
      <x:c r="AE421" s="29" t="n">
        <x:v>200</x:v>
      </x:c>
      <x:c r="AF421" s="29" t="str">
        <x:v>https://fontsinuse.com/main.rss</x:v>
      </x:c>
      <x:c r="AG421" s="29" t="str"/>
    </x:row>
    <x:row r="422" ht="44" customHeight="1">
      <x:c r="A422" s="29" t="str">
        <x:v>SRC-418</x:v>
      </x:c>
      <x:c r="B422" s="29" t="str">
        <x:f>IF(C422&gt;=93,"S",IF(C422&gt;=90,"A",IF(C422&gt;=80,"B","C")))</x:f>
        <x:v>C</x:v>
      </x:c>
      <x:c r="C422" s="72" t="n">
        <x:f>ROUND((P422*0.20+Q422*0.18+R422*0.20+S422*0.15+T422*0.12+U422*0.10+V422*0.05)*20,0)</x:f>
        <x:v>71</x:v>
      </x:c>
      <x:c r="D422" s="29" t="str">
        <x:v>艺术、设计与建筑</x:v>
      </x:c>
      <x:c r="E422" s="29" t="str">
        <x:v>艺术史</x:v>
      </x:c>
      <x:c r="F422" s="29" t="str">
        <x:v>Great Art Explained</x:v>
      </x:c>
      <x:c r="G422" s="29" t="str"/>
      <x:c r="H422" s="29" t="str">
        <x:v>视频 / 频道</x:v>
      </x:c>
      <x:c r="I422" s="29" t="str">
        <x:v>en</x:v>
      </x:c>
      <x:c r="J422" s="29" t="str">
        <x:v>灵感源</x:v>
      </x:c>
      <x:c r="K422" s="29" t="str">
        <x:v>Open</x:v>
      </x:c>
      <x:c r="L422" s="29" t="str">
        <x:v>以频道更新为准</x:v>
      </x:c>
      <x:c r="M422" s="29" t="str">
        <x:v>https://www.youtube.com/channel/UCePDFpCr78_qmVtpoB1Axaw</x:v>
      </x:c>
      <x:c r="N422" s="29" t="str">
        <x:v>https://www.youtube.com/feeds/videos.xml?channel_id=UCePDFpCr78_qmVtpoB1Axaw</x:v>
      </x:c>
      <x:c r="O422" s="29" t="str">
        <x:v>有效</x:v>
      </x:c>
      <x:c r="P422" s="72" t="n">
        <x:v>2</x:v>
      </x:c>
      <x:c r="Q422" s="72" t="n">
        <x:v>5</x:v>
      </x:c>
      <x:c r="R422" s="72" t="n">
        <x:v>2</x:v>
      </x:c>
      <x:c r="S422" s="72" t="n">
        <x:v>4</x:v>
      </x:c>
      <x:c r="T422" s="72" t="n">
        <x:v>5</x:v>
      </x:c>
      <x:c r="U422" s="72" t="n">
        <x:v>4</x:v>
      </x:c>
      <x:c r="V422" s="72" t="n">
        <x:v>5</x:v>
      </x:c>
      <x:c r="W422" s="29" t="str">
        <x:v>视觉拆解、作品/方法介绍、叙事结构复盘</x:v>
      </x:c>
      <x:c r="X422" s="29" t="str">
        <x:v>高质量艺术史视频创作者，适合快速建立背景、观察叙事结构并发现可传播选题。</x:v>
      </x:c>
      <x:c r="Y422" s="29" t="str">
        <x:v>可借鉴表达与案例；图片、片段和作品版权需单独核验。</x:v>
      </x:c>
      <x:c r="Z422" s="75" t="b">
        <x:v>0</x:v>
      </x:c>
      <x:c r="AA422" s="29"/>
      <x:c r="AB422" s="29" t="str">
        <x:v>YouTube 高质量创作者</x:v>
      </x:c>
      <x:c r="AC422" s="29" t="str">
        <x:v>https://www.youtube.com/@GreatArtExplained</x:v>
      </x:c>
      <x:c r="AD422" s="29" t="str">
        <x:v>2026-08-17</x:v>
      </x:c>
      <x:c r="AE422" s="29" t="n">
        <x:v>200</x:v>
      </x:c>
      <x:c r="AF422" s="29" t="str">
        <x:v>https://www.youtube.com/feeds/videos.xml?channel_id=UCePDFpCr78_qmVtpoB1Axaw</x:v>
      </x:c>
      <x:c r="AG422" s="29" t="str"/>
    </x:row>
    <x:row r="423" ht="44" customHeight="1">
      <x:c r="A423" s="29" t="str">
        <x:v>SRC-419</x:v>
      </x:c>
      <x:c r="B423" s="29" t="str">
        <x:f>IF(C423&gt;=93,"S",IF(C423&gt;=90,"A",IF(C423&gt;=80,"B","C")))</x:f>
        <x:v>C</x:v>
      </x:c>
      <x:c r="C423" s="72" t="n">
        <x:f>ROUND((P423*0.20+Q423*0.18+R423*0.20+S423*0.15+T423*0.12+U423*0.10+V423*0.05)*20,0)</x:f>
        <x:v>71</x:v>
      </x:c>
      <x:c r="D423" s="29" t="str">
        <x:v>艺术、设计与建筑</x:v>
      </x:c>
      <x:c r="E423" s="29" t="str">
        <x:v>艺术/文化评论</x:v>
      </x:c>
      <x:c r="F423" s="29" t="str">
        <x:v>Nerdwriter1</x:v>
      </x:c>
      <x:c r="G423" s="29" t="str"/>
      <x:c r="H423" s="29" t="str">
        <x:v>视频 / 频道</x:v>
      </x:c>
      <x:c r="I423" s="29" t="str">
        <x:v>en</x:v>
      </x:c>
      <x:c r="J423" s="29" t="str">
        <x:v>灵感源</x:v>
      </x:c>
      <x:c r="K423" s="29" t="str">
        <x:v>Open</x:v>
      </x:c>
      <x:c r="L423" s="29" t="str">
        <x:v>以频道更新为准</x:v>
      </x:c>
      <x:c r="M423" s="29" t="str">
        <x:v>https://www.youtube.com/channel/UCJkMlOu7faDgqh4PfzbpLdg</x:v>
      </x:c>
      <x:c r="N423" s="29" t="str">
        <x:v>https://www.youtube.com/feeds/videos.xml?channel_id=UCJkMlOu7faDgqh4PfzbpLdg</x:v>
      </x:c>
      <x:c r="O423" s="29" t="str">
        <x:v>有效</x:v>
      </x:c>
      <x:c r="P423" s="72" t="n">
        <x:v>2</x:v>
      </x:c>
      <x:c r="Q423" s="72" t="n">
        <x:v>5</x:v>
      </x:c>
      <x:c r="R423" s="72" t="n">
        <x:v>2</x:v>
      </x:c>
      <x:c r="S423" s="72" t="n">
        <x:v>4</x:v>
      </x:c>
      <x:c r="T423" s="72" t="n">
        <x:v>5</x:v>
      </x:c>
      <x:c r="U423" s="72" t="n">
        <x:v>4</x:v>
      </x:c>
      <x:c r="V423" s="72" t="n">
        <x:v>5</x:v>
      </x:c>
      <x:c r="W423" s="29" t="str">
        <x:v>视觉拆解、作品/方法介绍、叙事结构复盘</x:v>
      </x:c>
      <x:c r="X423" s="29" t="str">
        <x:v>高质量艺术/文化评论视频创作者，适合快速建立背景、观察叙事结构并发现可传播选题。</x:v>
      </x:c>
      <x:c r="Y423" s="29" t="str">
        <x:v>可借鉴表达与案例；图片、片段和作品版权需单独核验。</x:v>
      </x:c>
      <x:c r="Z423" s="75" t="b">
        <x:v>0</x:v>
      </x:c>
      <x:c r="AA423" s="29"/>
      <x:c r="AB423" s="29" t="str">
        <x:v>YouTube 高质量创作者</x:v>
      </x:c>
      <x:c r="AC423" s="29" t="str">
        <x:v>https://www.youtube.com/@Nerdwriter1</x:v>
      </x:c>
      <x:c r="AD423" s="29" t="str">
        <x:v>2026-08-17</x:v>
      </x:c>
      <x:c r="AE423" s="29" t="n">
        <x:v>200</x:v>
      </x:c>
      <x:c r="AF423" s="29" t="str">
        <x:v>https://www.youtube.com/feeds/videos.xml?channel_id=UCJkMlOu7faDgqh4PfzbpLdg</x:v>
      </x:c>
      <x:c r="AG423" s="29" t="str"/>
    </x:row>
    <x:row r="424" ht="44" customHeight="1">
      <x:c r="A424" s="29" t="str">
        <x:v>SRC-420</x:v>
      </x:c>
      <x:c r="B424" s="29" t="str">
        <x:f>IF(C424&gt;=93,"S",IF(C424&gt;=90,"A",IF(C424&gt;=80,"B","C")))</x:f>
        <x:v>C</x:v>
      </x:c>
      <x:c r="C424" s="72" t="n">
        <x:f>ROUND((P424*0.20+Q424*0.18+R424*0.20+S424*0.15+T424*0.12+U424*0.10+V424*0.05)*20,0)</x:f>
        <x:v>71</x:v>
      </x:c>
      <x:c r="D424" s="29" t="str">
        <x:v>艺术、设计与建筑</x:v>
      </x:c>
      <x:c r="E424" s="29" t="str">
        <x:v>日本艺术、设计与工艺</x:v>
      </x:c>
      <x:c r="F424" s="29" t="str">
        <x:v>Spoon &amp; Tamago</x:v>
      </x:c>
      <x:c r="G424" s="29" t="str"/>
      <x:c r="H424" s="29" t="str">
        <x:v>日本创作者、工艺、建筑与设计项目</x:v>
      </x:c>
      <x:c r="I424" s="29" t="str">
        <x:v>en</x:v>
      </x:c>
      <x:c r="J424" s="29" t="str">
        <x:v>灵感源</x:v>
      </x:c>
      <x:c r="K424" s="29" t="str">
        <x:v>Open</x:v>
      </x:c>
      <x:c r="L424" s="29" t="str">
        <x:v>每周约2至5篇</x:v>
      </x:c>
      <x:c r="M424" s="29" t="str">
        <x:v>https://www.spoon-tamago.com/</x:v>
      </x:c>
      <x:c r="N424" s="29" t="str">
        <x:v>https://spoon-tamago.com/feed/</x:v>
      </x:c>
      <x:c r="O424" s="29" t="str">
        <x:v>受限/反爬</x:v>
      </x:c>
      <x:c r="P424" s="72" t="n">
        <x:v>2</x:v>
      </x:c>
      <x:c r="Q424" s="72" t="n">
        <x:v>5</x:v>
      </x:c>
      <x:c r="R424" s="72" t="n">
        <x:v>2</x:v>
      </x:c>
      <x:c r="S424" s="72" t="n">
        <x:v>4</x:v>
      </x:c>
      <x:c r="T424" s="72" t="n">
        <x:v>5</x:v>
      </x:c>
      <x:c r="U424" s="72" t="n">
        <x:v>4</x:v>
      </x:c>
      <x:c r="V424" s="72" t="n">
        <x:v>5</x:v>
      </x:c>
      <x:c r="W424" s="29" t="str">
        <x:v>工艺过程、微型设计和地域文化。</x:v>
      </x:c>
      <x:c r="X424" s="29" t="str">
        <x:v>发现日本本土艺术家、设计师与工艺项目的稳定英文入口。</x:v>
      </x:c>
      <x:c r="Y424" s="29" t="str">
        <x:v>2026-08-17：Feed 被公开 OPML 目录持续收录；站点反爬导致直接请求 403，导入时复验。；端点未返回可识别的 RSS/Atom XML；可能是反爬、登录页或旧地址。</x:v>
      </x:c>
      <x:c r="Z424" s="75" t="b">
        <x:v>0</x:v>
      </x:c>
      <x:c r="AA424" s="29"/>
      <x:c r="AB424" s="29" t="str">
        <x:v>扩展调研：人文、历史、哲学与设计</x:v>
      </x:c>
      <x:c r="AC424" s="29" t="str">
        <x:v>https://www.spoon-tamago.com/</x:v>
      </x:c>
      <x:c r="AD424" s="29" t="str">
        <x:v>2026-08-17</x:v>
      </x:c>
      <x:c r="AE424" s="29" t="n">
        <x:v>403</x:v>
      </x:c>
      <x:c r="AF424" s="29" t="str">
        <x:v>https://spoon-tamago.com/feed/</x:v>
      </x:c>
      <x:c r="AG424" s="29" t="str"/>
    </x:row>
    <x:row r="425" ht="44" customHeight="1">
      <x:c r="A425" s="29" t="str">
        <x:v>SRC-421</x:v>
      </x:c>
      <x:c r="B425" s="29" t="str">
        <x:f>IF(C425&gt;=93,"S",IF(C425&gt;=90,"A",IF(C425&gt;=80,"B","C")))</x:f>
        <x:v>C</x:v>
      </x:c>
      <x:c r="C425" s="72" t="n">
        <x:f>ROUND((P425*0.20+Q425*0.18+R425*0.20+S425*0.15+T425*0.12+U425*0.10+V425*0.05)*20,0)</x:f>
        <x:v>71</x:v>
      </x:c>
      <x:c r="D425" s="29" t="str">
        <x:v>艺术、设计与建筑</x:v>
      </x:c>
      <x:c r="E425" s="29" t="str">
        <x:v>建筑/设计</x:v>
      </x:c>
      <x:c r="F425" s="29" t="str">
        <x:v>Stewart Hicks</x:v>
      </x:c>
      <x:c r="G425" s="29" t="str"/>
      <x:c r="H425" s="29" t="str">
        <x:v>视频 / 频道</x:v>
      </x:c>
      <x:c r="I425" s="29" t="str">
        <x:v>en</x:v>
      </x:c>
      <x:c r="J425" s="29" t="str">
        <x:v>灵感源</x:v>
      </x:c>
      <x:c r="K425" s="29" t="str">
        <x:v>Open</x:v>
      </x:c>
      <x:c r="L425" s="29" t="str">
        <x:v>以频道更新为准</x:v>
      </x:c>
      <x:c r="M425" s="29" t="str">
        <x:v>https://www.youtube.com/channel/UCYAm24PkejQR2xMgJgn7xwg</x:v>
      </x:c>
      <x:c r="N425" s="29" t="str">
        <x:v>https://www.youtube.com/feeds/videos.xml?channel_id=UCYAm24PkejQR2xMgJgn7xwg</x:v>
      </x:c>
      <x:c r="O425" s="29" t="str">
        <x:v>有效</x:v>
      </x:c>
      <x:c r="P425" s="72" t="n">
        <x:v>2</x:v>
      </x:c>
      <x:c r="Q425" s="72" t="n">
        <x:v>5</x:v>
      </x:c>
      <x:c r="R425" s="72" t="n">
        <x:v>2</x:v>
      </x:c>
      <x:c r="S425" s="72" t="n">
        <x:v>4</x:v>
      </x:c>
      <x:c r="T425" s="72" t="n">
        <x:v>5</x:v>
      </x:c>
      <x:c r="U425" s="72" t="n">
        <x:v>4</x:v>
      </x:c>
      <x:c r="V425" s="72" t="n">
        <x:v>5</x:v>
      </x:c>
      <x:c r="W425" s="29" t="str">
        <x:v>视觉拆解、作品/方法介绍、叙事结构复盘</x:v>
      </x:c>
      <x:c r="X425" s="29" t="str">
        <x:v>高质量建筑/设计视频创作者，适合快速建立背景、观察叙事结构并发现可传播选题。</x:v>
      </x:c>
      <x:c r="Y425" s="29" t="str">
        <x:v>可借鉴表达与案例；图片、片段和作品版权需单独核验。</x:v>
      </x:c>
      <x:c r="Z425" s="75" t="b">
        <x:v>0</x:v>
      </x:c>
      <x:c r="AA425" s="29"/>
      <x:c r="AB425" s="29" t="str">
        <x:v>YouTube 高质量创作者</x:v>
      </x:c>
      <x:c r="AC425" s="29" t="str">
        <x:v>https://www.youtube.com/@stewarthicks</x:v>
      </x:c>
      <x:c r="AD425" s="29" t="str">
        <x:v>2026-08-17</x:v>
      </x:c>
      <x:c r="AE425" s="29" t="n">
        <x:v>200</x:v>
      </x:c>
      <x:c r="AF425" s="29" t="str">
        <x:v>https://www.youtube.com/feeds/videos.xml?channel_id=UCYAm24PkejQR2xMgJgn7xwg</x:v>
      </x:c>
      <x:c r="AG425" s="29" t="str"/>
    </x:row>
    <x:row r="426" ht="44" customHeight="1">
      <x:c r="A426" s="29" t="str">
        <x:v>SRC-422</x:v>
      </x:c>
      <x:c r="B426" s="29" t="str">
        <x:f>IF(C426&gt;=93,"S",IF(C426&gt;=90,"A",IF(C426&gt;=80,"B","C")))</x:f>
        <x:v>C</x:v>
      </x:c>
      <x:c r="C426" s="72" t="n">
        <x:f>ROUND((P426*0.20+Q426*0.18+R426*0.20+S426*0.15+T426*0.12+U426*0.10+V426*0.05)*20,0)</x:f>
        <x:v>71</x:v>
      </x:c>
      <x:c r="D426" s="29" t="str">
        <x:v>艺术、设计与建筑</x:v>
      </x:c>
      <x:c r="E426" s="29" t="str">
        <x:v>当代艺术</x:v>
      </x:c>
      <x:c r="F426" s="29" t="str">
        <x:v>The Art Assignment</x:v>
      </x:c>
      <x:c r="G426" s="29" t="str"/>
      <x:c r="H426" s="29" t="str">
        <x:v>视频 / 频道</x:v>
      </x:c>
      <x:c r="I426" s="29" t="str">
        <x:v>en</x:v>
      </x:c>
      <x:c r="J426" s="29" t="str">
        <x:v>灵感源</x:v>
      </x:c>
      <x:c r="K426" s="29" t="str">
        <x:v>Open</x:v>
      </x:c>
      <x:c r="L426" s="29" t="str">
        <x:v>以频道更新为准</x:v>
      </x:c>
      <x:c r="M426" s="29" t="str">
        <x:v>https://www.youtube.com/channel/UCmQThz1OLYt8mb2PU540LOA</x:v>
      </x:c>
      <x:c r="N426" s="29" t="str">
        <x:v>https://www.youtube.com/feeds/videos.xml?channel_id=UCmQThz1OLYt8mb2PU540LOA</x:v>
      </x:c>
      <x:c r="O426" s="29" t="str">
        <x:v>有效</x:v>
      </x:c>
      <x:c r="P426" s="72" t="n">
        <x:v>2</x:v>
      </x:c>
      <x:c r="Q426" s="72" t="n">
        <x:v>5</x:v>
      </x:c>
      <x:c r="R426" s="72" t="n">
        <x:v>2</x:v>
      </x:c>
      <x:c r="S426" s="72" t="n">
        <x:v>4</x:v>
      </x:c>
      <x:c r="T426" s="72" t="n">
        <x:v>5</x:v>
      </x:c>
      <x:c r="U426" s="72" t="n">
        <x:v>4</x:v>
      </x:c>
      <x:c r="V426" s="72" t="n">
        <x:v>5</x:v>
      </x:c>
      <x:c r="W426" s="29" t="str">
        <x:v>视觉拆解、作品/方法介绍、叙事结构复盘</x:v>
      </x:c>
      <x:c r="X426" s="29" t="str">
        <x:v>高质量当代艺术视频创作者，适合快速建立背景、观察叙事结构并发现可传播选题。</x:v>
      </x:c>
      <x:c r="Y426" s="29" t="str">
        <x:v>可借鉴表达与案例；图片、片段和作品版权需单独核验。</x:v>
      </x:c>
      <x:c r="Z426" s="75" t="b">
        <x:v>0</x:v>
      </x:c>
      <x:c r="AA426" s="29"/>
      <x:c r="AB426" s="29" t="str">
        <x:v>YouTube 高质量创作者</x:v>
      </x:c>
      <x:c r="AC426" s="29" t="str">
        <x:v>https://www.youtube.com/@theartassignment</x:v>
      </x:c>
      <x:c r="AD426" s="29" t="str">
        <x:v>2026-08-17</x:v>
      </x:c>
      <x:c r="AE426" s="29" t="n">
        <x:v>200</x:v>
      </x:c>
      <x:c r="AF426" s="29" t="str">
        <x:v>https://www.youtube.com/feeds/videos.xml?channel_id=UCmQThz1OLYt8mb2PU540LOA</x:v>
      </x:c>
      <x:c r="AG426" s="29" t="str"/>
    </x:row>
    <x:row r="427" ht="44" customHeight="1">
      <x:c r="A427" s="29" t="str">
        <x:v>SRC-423</x:v>
      </x:c>
      <x:c r="B427" s="29" t="str">
        <x:f>IF(C427&gt;=93,"S",IF(C427&gt;=90,"A",IF(C427&gt;=80,"B","C")))</x:f>
        <x:v>C</x:v>
      </x:c>
      <x:c r="C427" s="72" t="n">
        <x:f>ROUND((P427*0.20+Q427*0.18+R427*0.20+S427*0.15+T427*0.12+U427*0.10+V427*0.05)*20,0)</x:f>
        <x:v>71</x:v>
      </x:c>
      <x:c r="D427" s="29" t="str">
        <x:v>艺术、设计与建筑</x:v>
      </x:c>
      <x:c r="E427" s="29" t="str">
        <x:v>设计/创意商业</x:v>
      </x:c>
      <x:c r="F427" s="29" t="str">
        <x:v>The Futur</x:v>
      </x:c>
      <x:c r="G427" s="29" t="str"/>
      <x:c r="H427" s="29" t="str">
        <x:v>视频 / 频道</x:v>
      </x:c>
      <x:c r="I427" s="29" t="str">
        <x:v>en</x:v>
      </x:c>
      <x:c r="J427" s="29" t="str">
        <x:v>灵感源</x:v>
      </x:c>
      <x:c r="K427" s="29" t="str">
        <x:v>Open</x:v>
      </x:c>
      <x:c r="L427" s="29" t="str">
        <x:v>以频道更新为准</x:v>
      </x:c>
      <x:c r="M427" s="29" t="str">
        <x:v>https://www.youtube.com/channel/UC-b3c7kxa5vU-bnmaROgvog</x:v>
      </x:c>
      <x:c r="N427" s="29" t="str">
        <x:v>https://www.youtube.com/feeds/videos.xml?channel_id=UC-b3c7kxa5vU-bnmaROgvog</x:v>
      </x:c>
      <x:c r="O427" s="29" t="str">
        <x:v>有效</x:v>
      </x:c>
      <x:c r="P427" s="72" t="n">
        <x:v>2</x:v>
      </x:c>
      <x:c r="Q427" s="72" t="n">
        <x:v>5</x:v>
      </x:c>
      <x:c r="R427" s="72" t="n">
        <x:v>2</x:v>
      </x:c>
      <x:c r="S427" s="72" t="n">
        <x:v>4</x:v>
      </x:c>
      <x:c r="T427" s="72" t="n">
        <x:v>5</x:v>
      </x:c>
      <x:c r="U427" s="72" t="n">
        <x:v>4</x:v>
      </x:c>
      <x:c r="V427" s="72" t="n">
        <x:v>5</x:v>
      </x:c>
      <x:c r="W427" s="29" t="str">
        <x:v>视觉拆解、作品/方法介绍、叙事结构复盘</x:v>
      </x:c>
      <x:c r="X427" s="29" t="str">
        <x:v>高质量设计/创意商业视频创作者，适合快速建立背景、观察叙事结构并发现可传播选题。</x:v>
      </x:c>
      <x:c r="Y427" s="29" t="str">
        <x:v>可借鉴表达与案例；图片、片段和作品版权需单独核验。</x:v>
      </x:c>
      <x:c r="Z427" s="75" t="b">
        <x:v>0</x:v>
      </x:c>
      <x:c r="AA427" s="29"/>
      <x:c r="AB427" s="29" t="str">
        <x:v>YouTube 高质量创作者</x:v>
      </x:c>
      <x:c r="AC427" s="29" t="str">
        <x:v>https://www.youtube.com/@thefutur</x:v>
      </x:c>
      <x:c r="AD427" s="29" t="str">
        <x:v>2026-08-17</x:v>
      </x:c>
      <x:c r="AE427" s="29" t="n">
        <x:v>200</x:v>
      </x:c>
      <x:c r="AF427" s="29" t="str">
        <x:v>https://www.youtube.com/feeds/videos.xml?channel_id=UC-b3c7kxa5vU-bnmaROgvog</x:v>
      </x:c>
      <x:c r="AG427" s="29" t="str"/>
    </x:row>
    <x:row r="428" ht="44" customHeight="1">
      <x:c r="A428" s="29" t="str">
        <x:v>SRC-424</x:v>
      </x:c>
      <x:c r="B428" s="29" t="str">
        <x:f>IF(C428&gt;=93,"S",IF(C428&gt;=90,"A",IF(C428&gt;=80,"B","C")))</x:f>
        <x:v>C</x:v>
      </x:c>
      <x:c r="C428" s="72" t="n">
        <x:f>ROUND((P428*0.20+Q428*0.18+R428*0.20+S428*0.15+T428*0.12+U428*0.10+V428*0.05)*20,0)</x:f>
        <x:v>71</x:v>
      </x:c>
      <x:c r="D428" s="29" t="str">
        <x:v>艺术、设计与建筑</x:v>
      </x:c>
      <x:c r="E428" s="29" t="str">
        <x:v>中文影像/科技</x:v>
      </x:c>
      <x:c r="F428" s="29" t="str">
        <x:v>影视飓风 MediaStorm</x:v>
      </x:c>
      <x:c r="G428" s="29" t="str"/>
      <x:c r="H428" s="29" t="str">
        <x:v>视频 / 频道</x:v>
      </x:c>
      <x:c r="I428" s="29" t="str">
        <x:v>zh</x:v>
      </x:c>
      <x:c r="J428" s="29" t="str">
        <x:v>灵感源</x:v>
      </x:c>
      <x:c r="K428" s="29" t="str">
        <x:v>Open</x:v>
      </x:c>
      <x:c r="L428" s="29" t="str">
        <x:v>以频道更新为准</x:v>
      </x:c>
      <x:c r="M428" s="29" t="str">
        <x:v>https://www.youtube.com/channel/UCa91Shr2Old7rhvdBSPnVBw</x:v>
      </x:c>
      <x:c r="N428" s="29" t="str">
        <x:v>https://www.youtube.com/feeds/videos.xml?channel_id=UCa91Shr2Old7rhvdBSPnVBw</x:v>
      </x:c>
      <x:c r="O428" s="29" t="str">
        <x:v>有效</x:v>
      </x:c>
      <x:c r="P428" s="72" t="n">
        <x:v>2</x:v>
      </x:c>
      <x:c r="Q428" s="72" t="n">
        <x:v>5</x:v>
      </x:c>
      <x:c r="R428" s="72" t="n">
        <x:v>2</x:v>
      </x:c>
      <x:c r="S428" s="72" t="n">
        <x:v>4</x:v>
      </x:c>
      <x:c r="T428" s="72" t="n">
        <x:v>5</x:v>
      </x:c>
      <x:c r="U428" s="72" t="n">
        <x:v>4</x:v>
      </x:c>
      <x:c r="V428" s="72" t="n">
        <x:v>5</x:v>
      </x:c>
      <x:c r="W428" s="29" t="str">
        <x:v>视觉拆解、作品/方法介绍、叙事结构复盘</x:v>
      </x:c>
      <x:c r="X428" s="29" t="str">
        <x:v>高质量中文影像/科技视频创作者，适合快速建立背景、观察叙事结构并发现可传播选题。</x:v>
      </x:c>
      <x:c r="Y428" s="29" t="str">
        <x:v>可借鉴表达与案例；图片、片段和作品版权需单独核验。</x:v>
      </x:c>
      <x:c r="Z428" s="75" t="b">
        <x:v>0</x:v>
      </x:c>
      <x:c r="AA428" s="29"/>
      <x:c r="AB428" s="29" t="str">
        <x:v>YouTube 高质量创作者</x:v>
      </x:c>
      <x:c r="AC428" s="29" t="str">
        <x:v>https://www.youtube.com/@mediastorm</x:v>
      </x:c>
      <x:c r="AD428" s="29" t="str">
        <x:v>2026-08-17</x:v>
      </x:c>
      <x:c r="AE428" s="29" t="n">
        <x:v>200</x:v>
      </x:c>
      <x:c r="AF428" s="29" t="str">
        <x:v>https://www.youtube.com/feeds/videos.xml?channel_id=UCa91Shr2Old7rhvdBSPnVBw</x:v>
      </x:c>
      <x:c r="AG428" s="29" t="str"/>
    </x:row>
    <x:row r="429" ht="44" customHeight="1">
      <x:c r="A429" s="29" t="str">
        <x:v>SRC-425</x:v>
      </x:c>
      <x:c r="B429" s="29" t="str">
        <x:f>IF(C429&gt;=93,"S",IF(C429&gt;=90,"A",IF(C429&gt;=80,"B","C")))</x:f>
        <x:v>C</x:v>
      </x:c>
      <x:c r="C429" s="72" t="n">
        <x:f>ROUND((P429*0.20+Q429*0.18+R429*0.20+S429*0.15+T429*0.12+U429*0.10+V429*0.05)*20,0)</x:f>
        <x:v>70</x:v>
      </x:c>
      <x:c r="D429" s="29" t="str">
        <x:v>AI、科技与工程</x:v>
      </x:c>
      <x:c r="E429" s="29" t="str">
        <x:v>论文代码与基准数据库</x:v>
      </x:c>
      <x:c r="F429" s="29" t="str">
        <x:v>Papers with Code</x:v>
      </x:c>
      <x:c r="G429" s="29" t="str"/>
      <x:c r="H429" s="29" t="str">
        <x:v>论文、代码、数据集、Benchmark、SOTA表</x:v>
      </x:c>
      <x:c r="I429" s="29" t="str">
        <x:v>en</x:v>
      </x:c>
      <x:c r="J429" s="29" t="str">
        <x:v>线索源</x:v>
      </x:c>
      <x:c r="K429" s="29" t="str">
        <x:v>Open</x:v>
      </x:c>
      <x:c r="L429" s="29" t="str">
        <x:v>持续更新</x:v>
      </x:c>
      <x:c r="M429" s="29" t="str">
        <x:v>https://paperswithcode.com/</x:v>
      </x:c>
      <x:c r="N429" s="29" t="str"/>
      <x:c r="O429" s="29" t="str">
        <x:v>无RSS/API入口</x:v>
      </x:c>
      <x:c r="P429" s="72" t="n">
        <x:v>3</x:v>
      </x:c>
      <x:c r="Q429" s="72" t="n">
        <x:v>3</x:v>
      </x:c>
      <x:c r="R429" s="72" t="n">
        <x:v>2</x:v>
      </x:c>
      <x:c r="S429" s="72" t="n">
        <x:v>4</x:v>
      </x:c>
      <x:c r="T429" s="72" t="n">
        <x:v>5</x:v>
      </x:c>
      <x:c r="U429" s="72" t="n">
        <x:v>5</x:v>
      </x:c>
      <x:c r="V429" s="72" t="n">
        <x:v>5</x:v>
      </x:c>
      <x:c r="W429" s="29" t="str">
        <x:v>Benchmark对比、代码资源包、复现路线</x:v>
      </x:c>
      <x:c r="X429" s="29" t="str">
        <x:v>快速连接论文、实现和基准，适合作为复现入口。</x:v>
      </x:c>
      <x:c r="Y429" s="29" t="str">
        <x:v>未核验到官方统一RSS；SOTA数字须回原论文和官方代码库复核。</x:v>
      </x:c>
      <x:c r="Z429" s="75" t="b">
        <x:v>0</x:v>
      </x:c>
      <x:c r="AA429" s="29"/>
      <x:c r="AB429" s="29" t="str">
        <x:v>扩展调研：科技、科学与数据</x:v>
      </x:c>
      <x:c r="AC429" s="29" t="str">
        <x:v>https://paperswithcode.com/</x:v>
      </x:c>
      <x:c r="AD429" s="29" t="str">
        <x:v>2026-08-17</x:v>
      </x:c>
      <x:c r="AE429" s="29"/>
      <x:c r="AF429" s="29" t="str"/>
      <x:c r="AG429" s="29" t="str"/>
    </x:row>
    <x:row r="430" ht="44" customHeight="1">
      <x:c r="A430" s="29" t="str">
        <x:v>SRC-426</x:v>
      </x:c>
      <x:c r="B430" s="29" t="str">
        <x:f>IF(C430&gt;=93,"S",IF(C430&gt;=90,"A",IF(C430&gt;=80,"B","C")))</x:f>
        <x:v>C</x:v>
      </x:c>
      <x:c r="C430" s="72" t="n">
        <x:f>ROUND((P430*0.20+Q430*0.18+R430*0.20+S430*0.15+T430*0.12+U430*0.10+V430*0.05)*20,0)</x:f>
        <x:v>70</x:v>
      </x:c>
      <x:c r="D430" s="29" t="str">
        <x:v>历史与考古</x:v>
      </x:c>
      <x:c r="E430" s="29" t="str">
        <x:v>美国文化遗产聚合</x:v>
      </x:c>
      <x:c r="F430" s="29" t="str">
        <x:v>Digital Public Library of America</x:v>
      </x:c>
      <x:c r="G430" s="29" t="str"/>
      <x:c r="H430" s="29" t="str">
        <x:v>文化遗产平台 / API</x:v>
      </x:c>
      <x:c r="I430" s="29" t="str">
        <x:v>en</x:v>
      </x:c>
      <x:c r="J430" s="29" t="str">
        <x:v>线索源</x:v>
      </x:c>
      <x:c r="K430" s="29" t="str">
        <x:v>Open</x:v>
      </x:c>
      <x:c r="L430" s="29" t="str">
        <x:v>持续更新</x:v>
      </x:c>
      <x:c r="M430" s="29" t="str">
        <x:v>https://dp.la/</x:v>
      </x:c>
      <x:c r="N430" s="29" t="str">
        <x:v>https://pro.dp.la/developers/api-codex</x:v>
      </x:c>
      <x:c r="O430" s="29" t="str">
        <x:v>API入口</x:v>
      </x:c>
      <x:c r="P430" s="72" t="n">
        <x:v>3</x:v>
      </x:c>
      <x:c r="Q430" s="72" t="n">
        <x:v>3</x:v>
      </x:c>
      <x:c r="R430" s="72" t="n">
        <x:v>2</x:v>
      </x:c>
      <x:c r="S430" s="72" t="n">
        <x:v>4</x:v>
      </x:c>
      <x:c r="T430" s="72" t="n">
        <x:v>5</x:v>
      </x:c>
      <x:c r="U430" s="72" t="n">
        <x:v>5</x:v>
      </x:c>
      <x:c r="V430" s="72" t="n">
        <x:v>5</x:v>
      </x:c>
      <x:c r="W430" s="29" t="str">
        <x:v>美国史素材、跨馆藏集合</x:v>
      </x:c>
      <x:c r="X430" s="29" t="str">
        <x:v>跨机构检索照片、手稿、地图和口述史。</x:v>
      </x:c>
      <x:c r="Y430" s="29" t="str">
        <x:v>使用前核对数据口径、更新时间、许可与引用格式。；未按 RSS/Atom 校验。</x:v>
      </x:c>
      <x:c r="Z430" s="75" t="b">
        <x:v>0</x:v>
      </x:c>
      <x:c r="AA430" s="29"/>
      <x:c r="AB430" s="29" t="str">
        <x:v>扩展调研：数据库、资料库与平台</x:v>
      </x:c>
      <x:c r="AC430" s="29" t="str">
        <x:v>https://dp.la/</x:v>
      </x:c>
      <x:c r="AD430" s="29" t="str">
        <x:v>2026-08-17</x:v>
      </x:c>
      <x:c r="AE430" s="29"/>
      <x:c r="AF430" s="29" t="str">
        <x:v>https://pro.dp.la/developers/api-codex</x:v>
      </x:c>
      <x:c r="AG430" s="29" t="str"/>
    </x:row>
    <x:row r="431" ht="44" customHeight="1">
      <x:c r="A431" s="29" t="str">
        <x:v>SRC-427</x:v>
      </x:c>
      <x:c r="B431" s="29" t="str">
        <x:f>IF(C431&gt;=93,"S",IF(C431&gt;=90,"A",IF(C431&gt;=80,"B","C")))</x:f>
        <x:v>C</x:v>
      </x:c>
      <x:c r="C431" s="72" t="n">
        <x:f>ROUND((P431*0.20+Q431*0.18+R431*0.20+S431*0.15+T431*0.12+U431*0.10+V431*0.05)*20,0)</x:f>
        <x:v>70</x:v>
      </x:c>
      <x:c r="D431" s="29" t="str">
        <x:v>历史与考古</x:v>
      </x:c>
      <x:c r="E431" s="29" t="str">
        <x:v>欧洲文化遗产聚合</x:v>
      </x:c>
      <x:c r="F431" s="29" t="str">
        <x:v>Europeana</x:v>
      </x:c>
      <x:c r="G431" s="29" t="str"/>
      <x:c r="H431" s="29" t="str">
        <x:v>文化遗产平台 / API</x:v>
      </x:c>
      <x:c r="I431" s="29" t="str">
        <x:v>multilingual</x:v>
      </x:c>
      <x:c r="J431" s="29" t="str">
        <x:v>线索源</x:v>
      </x:c>
      <x:c r="K431" s="29" t="str">
        <x:v>Open</x:v>
      </x:c>
      <x:c r="L431" s="29" t="str">
        <x:v>持续更新</x:v>
      </x:c>
      <x:c r="M431" s="29" t="str">
        <x:v>https://www.europeana.eu/</x:v>
      </x:c>
      <x:c r="N431" s="29" t="str">
        <x:v>https://api.europeana.eu/</x:v>
      </x:c>
      <x:c r="O431" s="29" t="str">
        <x:v>API入口</x:v>
      </x:c>
      <x:c r="P431" s="72" t="n">
        <x:v>3</x:v>
      </x:c>
      <x:c r="Q431" s="72" t="n">
        <x:v>3</x:v>
      </x:c>
      <x:c r="R431" s="72" t="n">
        <x:v>2</x:v>
      </x:c>
      <x:c r="S431" s="72" t="n">
        <x:v>4</x:v>
      </x:c>
      <x:c r="T431" s="72" t="n">
        <x:v>5</x:v>
      </x:c>
      <x:c r="U431" s="72" t="n">
        <x:v>5</x:v>
      </x:c>
      <x:c r="V431" s="72" t="n">
        <x:v>5</x:v>
      </x:c>
      <x:c r="W431" s="29" t="str">
        <x:v>跨馆藏选题、欧洲文化史</x:v>
      </x:c>
      <x:c r="X431" s="29" t="str">
        <x:v>聚合欧洲博物馆、图书馆和档案馆的图像与元数据。</x:v>
      </x:c>
      <x:c r="Y431" s="29" t="str">
        <x:v>以原持有机构条目的版权标签为准。；未按 RSS/Atom 校验。</x:v>
      </x:c>
      <x:c r="Z431" s="75" t="b">
        <x:v>0</x:v>
      </x:c>
      <x:c r="AA431" s="29"/>
      <x:c r="AB431" s="29" t="str">
        <x:v>扩展调研：数据库、资料库与平台</x:v>
      </x:c>
      <x:c r="AC431" s="29" t="str">
        <x:v>https://www.europeana.eu/</x:v>
      </x:c>
      <x:c r="AD431" s="29" t="str">
        <x:v>2026-08-17</x:v>
      </x:c>
      <x:c r="AE431" s="29"/>
      <x:c r="AF431" s="29" t="str">
        <x:v>https://api.europeana.eu/</x:v>
      </x:c>
      <x:c r="AG431" s="29" t="str"/>
    </x:row>
    <x:row r="432" ht="44" customHeight="1">
      <x:c r="A432" s="29" t="str">
        <x:v>SRC-428</x:v>
      </x:c>
      <x:c r="B432" s="29" t="str">
        <x:f>IF(C432&gt;=93,"S",IF(C432&gt;=90,"A",IF(C432&gt;=80,"B","C")))</x:f>
        <x:v>C</x:v>
      </x:c>
      <x:c r="C432" s="72" t="n">
        <x:f>ROUND((P432*0.20+Q432*0.18+R432*0.20+S432*0.15+T432*0.12+U432*0.10+V432*0.05)*20,0)</x:f>
        <x:v>70</x:v>
      </x:c>
      <x:c r="D432" s="29" t="str">
        <x:v>商业、管理与创新</x:v>
      </x:c>
      <x:c r="E432" s="29" t="str">
        <x:v>科技投资与产业分析</x:v>
      </x:c>
      <x:c r="F432" s="29" t="str">
        <x:v>a16z</x:v>
      </x:c>
      <x:c r="G432" s="29" t="str"/>
      <x:c r="H432" s="29" t="str">
        <x:v>投资论文、市场地图、创业方法、播客和公司案例</x:v>
      </x:c>
      <x:c r="I432" s="29" t="str">
        <x:v>en</x:v>
      </x:c>
      <x:c r="J432" s="29" t="str">
        <x:v>线索源</x:v>
      </x:c>
      <x:c r="K432" s="29" t="str">
        <x:v>Open</x:v>
      </x:c>
      <x:c r="L432" s="29" t="str">
        <x:v>每周多篇</x:v>
      </x:c>
      <x:c r="M432" s="29" t="str">
        <x:v>https://a16z.com/</x:v>
      </x:c>
      <x:c r="N432" s="29" t="str"/>
      <x:c r="O432" s="29" t="str">
        <x:v>无RSS/API入口</x:v>
      </x:c>
      <x:c r="P432" s="72" t="n">
        <x:v>3</x:v>
      </x:c>
      <x:c r="Q432" s="72" t="n">
        <x:v>3</x:v>
      </x:c>
      <x:c r="R432" s="72" t="n">
        <x:v>2</x:v>
      </x:c>
      <x:c r="S432" s="72" t="n">
        <x:v>4</x:v>
      </x:c>
      <x:c r="T432" s="72" t="n">
        <x:v>5</x:v>
      </x:c>
      <x:c r="U432" s="72" t="n">
        <x:v>5</x:v>
      </x:c>
      <x:c r="V432" s="72" t="n">
        <x:v>5</x:v>
      </x:c>
      <x:c r="W432" s="29" t="str">
        <x:v>用市场地图发现赛道，再以独立数据校验规模和趋势。</x:v>
      </x:c>
      <x:c r="X432" s="29" t="str">
        <x:v>覆盖AI、软件、金融科技、生物科技和创业生态，常发布原创框架与市场材料。</x:v>
      </x:c>
      <x:c r="Y432" s="29" t="str">
        <x:v>2026-08-17：官网返回200；旧/feed/为404，按平台收录。属于投资机构观点，涉及其投资组合时必须披露并交叉核验。</x:v>
      </x:c>
      <x:c r="Z432" s="75" t="b">
        <x:v>0</x:v>
      </x:c>
      <x:c r="AA432" s="29"/>
      <x:c r="AB432" s="29" t="str">
        <x:v>扩展调研：成长、学习、商业与管理</x:v>
      </x:c>
      <x:c r="AC432" s="29" t="str">
        <x:v>https://a16z.com/</x:v>
      </x:c>
      <x:c r="AD432" s="29" t="str">
        <x:v>2026-08-17</x:v>
      </x:c>
      <x:c r="AE432" s="29"/>
      <x:c r="AF432" s="29" t="str"/>
      <x:c r="AG432" s="29" t="str"/>
    </x:row>
    <x:row r="433" ht="44" customHeight="1">
      <x:c r="A433" s="29" t="str">
        <x:v>SRC-429</x:v>
      </x:c>
      <x:c r="B433" s="29" t="str">
        <x:f>IF(C433&gt;=93,"S",IF(C433&gt;=90,"A",IF(C433&gt;=80,"B","C")))</x:f>
        <x:v>C</x:v>
      </x:c>
      <x:c r="C433" s="72" t="n">
        <x:f>ROUND((P433*0.20+Q433*0.18+R433*0.20+S433*0.15+T433*0.12+U433*0.10+V433*0.05)*20,0)</x:f>
        <x:v>70</x:v>
      </x:c>
      <x:c r="D433" s="29" t="str">
        <x:v>商业、管理与创新</x:v>
      </x:c>
      <x:c r="E433" s="29" t="str">
        <x:v>经济学文献数据库</x:v>
      </x:c>
      <x:c r="F433" s="29" t="str">
        <x:v>IDEAS/RePEc</x:v>
      </x:c>
      <x:c r="G433" s="29" t="str"/>
      <x:c r="H433" s="29" t="str">
        <x:v>学术文献数据库</x:v>
      </x:c>
      <x:c r="I433" s="29" t="str">
        <x:v>en</x:v>
      </x:c>
      <x:c r="J433" s="29" t="str">
        <x:v>线索源</x:v>
      </x:c>
      <x:c r="K433" s="29" t="str">
        <x:v>Open</x:v>
      </x:c>
      <x:c r="L433" s="29" t="str">
        <x:v>持续更新</x:v>
      </x:c>
      <x:c r="M433" s="29" t="str">
        <x:v>https://ideas.repec.org/</x:v>
      </x:c>
      <x:c r="N433" s="29" t="str"/>
      <x:c r="O433" s="29" t="str">
        <x:v>无RSS/API入口</x:v>
      </x:c>
      <x:c r="P433" s="72" t="n">
        <x:v>3</x:v>
      </x:c>
      <x:c r="Q433" s="72" t="n">
        <x:v>3</x:v>
      </x:c>
      <x:c r="R433" s="72" t="n">
        <x:v>2</x:v>
      </x:c>
      <x:c r="S433" s="72" t="n">
        <x:v>4</x:v>
      </x:c>
      <x:c r="T433" s="72" t="n">
        <x:v>5</x:v>
      </x:c>
      <x:c r="U433" s="72" t="n">
        <x:v>5</x:v>
      </x:c>
      <x:c r="V433" s="72" t="n">
        <x:v>5</x:v>
      </x:c>
      <x:c r="W433" s="29" t="str">
        <x:v>经济学溯源、作者与机构发现</x:v>
      </x:c>
      <x:c r="X433" s="29" t="str">
        <x:v>覆盖工作论文、期刊、作者与机构排名。</x:v>
      </x:c>
      <x:c r="Y433" s="29" t="str">
        <x:v>使用前核对数据口径、更新时间、许可与引用格式。</x:v>
      </x:c>
      <x:c r="Z433" s="75" t="b">
        <x:v>0</x:v>
      </x:c>
      <x:c r="AA433" s="29"/>
      <x:c r="AB433" s="29" t="str">
        <x:v>扩展调研：数据库、资料库与平台</x:v>
      </x:c>
      <x:c r="AC433" s="29" t="str">
        <x:v>https://ideas.repec.org/</x:v>
      </x:c>
      <x:c r="AD433" s="29" t="str">
        <x:v>2026-08-17</x:v>
      </x:c>
      <x:c r="AE433" s="29"/>
      <x:c r="AF433" s="29" t="str"/>
      <x:c r="AG433" s="29" t="str"/>
    </x:row>
    <x:row r="434" ht="44" customHeight="1">
      <x:c r="A434" s="29" t="str">
        <x:v>SRC-430</x:v>
      </x:c>
      <x:c r="B434" s="29" t="str">
        <x:f>IF(C434&gt;=93,"S",IF(C434&gt;=90,"A",IF(C434&gt;=80,"B","C")))</x:f>
        <x:v>C</x:v>
      </x:c>
      <x:c r="C434" s="72" t="n">
        <x:f>ROUND((P434*0.20+Q434*0.18+R434*0.20+S434*0.15+T434*0.12+U434*0.10+V434*0.05)*20,0)</x:f>
        <x:v>70</x:v>
      </x:c>
      <x:c r="D434" s="29" t="str">
        <x:v>地球、地理与城市</x:v>
      </x:c>
      <x:c r="E434" s="29" t="str">
        <x:v>人道主义开放数据</x:v>
      </x:c>
      <x:c r="F434" s="29" t="str">
        <x:v>Humanitarian Data Exchange</x:v>
      </x:c>
      <x:c r="G434" s="29" t="str"/>
      <x:c r="H434" s="29" t="str">
        <x:v>数据门户 / API</x:v>
      </x:c>
      <x:c r="I434" s="29" t="str">
        <x:v>en</x:v>
      </x:c>
      <x:c r="J434" s="29" t="str">
        <x:v>线索源</x:v>
      </x:c>
      <x:c r="K434" s="29" t="str">
        <x:v>Open</x:v>
      </x:c>
      <x:c r="L434" s="29" t="str">
        <x:v>持续更新</x:v>
      </x:c>
      <x:c r="M434" s="29" t="str">
        <x:v>https://data.humdata.org/</x:v>
      </x:c>
      <x:c r="N434" s="29" t="str">
        <x:v>https://data.humdata.org/api/3</x:v>
      </x:c>
      <x:c r="O434" s="29" t="str">
        <x:v>API入口</x:v>
      </x:c>
      <x:c r="P434" s="72" t="n">
        <x:v>3</x:v>
      </x:c>
      <x:c r="Q434" s="72" t="n">
        <x:v>3</x:v>
      </x:c>
      <x:c r="R434" s="72" t="n">
        <x:v>2</x:v>
      </x:c>
      <x:c r="S434" s="72" t="n">
        <x:v>4</x:v>
      </x:c>
      <x:c r="T434" s="72" t="n">
        <x:v>5</x:v>
      </x:c>
      <x:c r="U434" s="72" t="n">
        <x:v>5</x:v>
      </x:c>
      <x:c r="V434" s="72" t="n">
        <x:v>5</x:v>
      </x:c>
      <x:c r="W434" s="29" t="str">
        <x:v>危机背景、地图与资源缺口</x:v>
      </x:c>
      <x:c r="X434" s="29" t="str">
        <x:v>危机、人口、边界和基础设施数据的权威聚合入口。</x:v>
      </x:c>
      <x:c r="Y434" s="29" t="str">
        <x:v>冲突与灾害数据可能滞后或敏感；阅读数据责任与方法说明。；未按 RSS/Atom 校验。</x:v>
      </x:c>
      <x:c r="Z434" s="75" t="b">
        <x:v>0</x:v>
      </x:c>
      <x:c r="AA434" s="29"/>
      <x:c r="AB434" s="29" t="str">
        <x:v>扩展调研：数据库、资料库与平台</x:v>
      </x:c>
      <x:c r="AC434" s="29" t="str">
        <x:v>https://data.humdata.org/</x:v>
      </x:c>
      <x:c r="AD434" s="29" t="str">
        <x:v>2026-08-17</x:v>
      </x:c>
      <x:c r="AE434" s="29"/>
      <x:c r="AF434" s="29" t="str">
        <x:v>https://data.humdata.org/api/3</x:v>
      </x:c>
      <x:c r="AG434" s="29" t="str"/>
    </x:row>
    <x:row r="435" ht="44" customHeight="1">
      <x:c r="A435" s="29" t="str">
        <x:v>SRC-431</x:v>
      </x:c>
      <x:c r="B435" s="29" t="str">
        <x:f>IF(C435&gt;=93,"S",IF(C435&gt;=90,"A",IF(C435&gt;=80,"B","C")))</x:f>
        <x:v>C</x:v>
      </x:c>
      <x:c r="C435" s="72" t="n">
        <x:f>ROUND((P435*0.20+Q435*0.18+R435*0.20+S435*0.15+T435*0.12+U435*0.10+V435*0.05)*20,0)</x:f>
        <x:v>70</x:v>
      </x:c>
      <x:c r="D435" s="29" t="str">
        <x:v>心理、认知与情商</x:v>
      </x:c>
      <x:c r="E435" s="29" t="str">
        <x:v>心理、哲学与生活实践</x:v>
      </x:c>
      <x:c r="F435" s="29" t="str">
        <x:v>Psyche</x:v>
      </x:c>
      <x:c r="G435" s="29" t="str"/>
      <x:c r="H435" s="29" t="str">
        <x:v>编辑策划长文与实践指南</x:v>
      </x:c>
      <x:c r="I435" s="29" t="str">
        <x:v>英文</x:v>
      </x:c>
      <x:c r="J435" s="29" t="str">
        <x:v>灵感源</x:v>
      </x:c>
      <x:c r="K435" s="29" t="str">
        <x:v>开放</x:v>
      </x:c>
      <x:c r="L435" s="29" t="str">
        <x:v>每周多篇</x:v>
      </x:c>
      <x:c r="M435" s="29" t="str">
        <x:v>https://psyche.co/</x:v>
      </x:c>
      <x:c r="N435" s="29" t="str">
        <x:v>https://psyche.co/feed.rss</x:v>
      </x:c>
      <x:c r="O435" s="29" t="str">
        <x:v>有效</x:v>
      </x:c>
      <x:c r="P435" s="72" t="n">
        <x:v>2</x:v>
      </x:c>
      <x:c r="Q435" s="72" t="n">
        <x:v>5</x:v>
      </x:c>
      <x:c r="R435" s="72" t="n">
        <x:v>2</x:v>
      </x:c>
      <x:c r="S435" s="72" t="n">
        <x:v>4</x:v>
      </x:c>
      <x:c r="T435" s="72" t="n">
        <x:v>5</x:v>
      </x:c>
      <x:c r="U435" s="72" t="n">
        <x:v>4</x:v>
      </x:c>
      <x:c r="V435" s="72" t="n">
        <x:v>4</x:v>
      </x:c>
      <x:c r="W435" s="29" t="str">
        <x:v>一个心理误区加三条研究支持的行动建议。；获取概念框架、写作角度和实践问题；科学主张不单独依赖该来源。</x:v>
      </x:c>
      <x:c r="X435" s="29" t="str">
        <x:v>以心理学、哲学和人文视角解释心智与生活，适合作为跨学科表达和叙事素材。</x:v>
      </x:c>
      <x:c r="Y435" s="29" t="str">
        <x:v>2026-08-17：官网页明确提供 RSS，端点返回 application/rss+xml。；2026-08-17：主页 200；官方 RSS 200，XML 已确认。</x:v>
      </x:c>
      <x:c r="Z435" s="75" t="b">
        <x:v>0</x:v>
      </x:c>
      <x:c r="AA435" s="29"/>
      <x:c r="AB435" s="29" t="str">
        <x:v>扩展调研：人文、历史、哲学与设计；扩展调研：心理、认知与情商</x:v>
      </x:c>
      <x:c r="AC435" s="29" t="str">
        <x:v>https://psyche.co/；https://psyche.co/about</x:v>
      </x:c>
      <x:c r="AD435" s="29" t="str">
        <x:v>2026-08-17</x:v>
      </x:c>
      <x:c r="AE435" s="29" t="n">
        <x:v>200</x:v>
      </x:c>
      <x:c r="AF435" s="29" t="str">
        <x:v>https://psyche.co/feed.rss</x:v>
      </x:c>
      <x:c r="AG435" s="29" t="str"/>
    </x:row>
    <x:row r="436" ht="44" customHeight="1">
      <x:c r="A436" s="29" t="str">
        <x:v>SRC-432</x:v>
      </x:c>
      <x:c r="B436" s="29" t="str">
        <x:f>IF(C436&gt;=93,"S",IF(C436&gt;=90,"A",IF(C436&gt;=80,"B","C")))</x:f>
        <x:v>C</x:v>
      </x:c>
      <x:c r="C436" s="72" t="n">
        <x:f>ROUND((P436*0.20+Q436*0.18+R436*0.20+S436*0.15+T436*0.12+U436*0.10+V436*0.05)*20,0)</x:f>
        <x:v>70</x:v>
      </x:c>
      <x:c r="D436" s="29" t="str">
        <x:v>数据与可视化</x:v>
      </x:c>
      <x:c r="E436" s="29" t="str">
        <x:v>美国政府开放数据目录</x:v>
      </x:c>
      <x:c r="F436" s="29" t="str">
        <x:v>Data.gov</x:v>
      </x:c>
      <x:c r="G436" s="29" t="str"/>
      <x:c r="H436" s="29" t="str">
        <x:v>政府数据目录 / API</x:v>
      </x:c>
      <x:c r="I436" s="29" t="str">
        <x:v>en</x:v>
      </x:c>
      <x:c r="J436" s="29" t="str">
        <x:v>线索源</x:v>
      </x:c>
      <x:c r="K436" s="29" t="str">
        <x:v>Open</x:v>
      </x:c>
      <x:c r="L436" s="29" t="str">
        <x:v>持续更新</x:v>
      </x:c>
      <x:c r="M436" s="29" t="str">
        <x:v>https://data.gov/</x:v>
      </x:c>
      <x:c r="N436" s="29" t="str">
        <x:v>https://catalog.data.gov/api/3/</x:v>
      </x:c>
      <x:c r="O436" s="29" t="str">
        <x:v>API入口</x:v>
      </x:c>
      <x:c r="P436" s="72" t="n">
        <x:v>3</x:v>
      </x:c>
      <x:c r="Q436" s="72" t="n">
        <x:v>3</x:v>
      </x:c>
      <x:c r="R436" s="72" t="n">
        <x:v>2</x:v>
      </x:c>
      <x:c r="S436" s="72" t="n">
        <x:v>4</x:v>
      </x:c>
      <x:c r="T436" s="72" t="n">
        <x:v>5</x:v>
      </x:c>
      <x:c r="U436" s="72" t="n">
        <x:v>5</x:v>
      </x:c>
      <x:c r="V436" s="72" t="n">
        <x:v>5</x:v>
      </x:c>
      <x:c r="W436" s="29" t="str">
        <x:v>公共政策、环境、交通与城市数据</x:v>
      </x:c>
      <x:c r="X436" s="29" t="str">
        <x:v>跨机构发现原始政府数据集的统一入口。</x:v>
      </x:c>
      <x:c r="Y436" s="29" t="str">
        <x:v>使用前核对数据口径、更新时间、许可与引用格式。；未按 RSS/Atom 校验。</x:v>
      </x:c>
      <x:c r="Z436" s="75" t="b">
        <x:v>0</x:v>
      </x:c>
      <x:c r="AA436" s="29"/>
      <x:c r="AB436" s="29" t="str">
        <x:v>扩展调研：数据库、资料库与平台</x:v>
      </x:c>
      <x:c r="AC436" s="29" t="str">
        <x:v>https://data.gov/</x:v>
      </x:c>
      <x:c r="AD436" s="29" t="str">
        <x:v>2026-08-17</x:v>
      </x:c>
      <x:c r="AE436" s="29"/>
      <x:c r="AF436" s="29" t="str">
        <x:v>https://catalog.data.gov/api/3/</x:v>
      </x:c>
      <x:c r="AG436" s="29" t="str"/>
    </x:row>
    <x:row r="437" ht="44" customHeight="1">
      <x:c r="A437" s="29" t="str">
        <x:v>SRC-433</x:v>
      </x:c>
      <x:c r="B437" s="29" t="str">
        <x:f>IF(C437&gt;=93,"S",IF(C437&gt;=90,"A",IF(C437&gt;=80,"B","C")))</x:f>
        <x:v>C</x:v>
      </x:c>
      <x:c r="C437" s="72" t="n">
        <x:f>ROUND((P437*0.20+Q437*0.18+R437*0.20+S437*0.15+T437*0.12+U437*0.10+V437*0.05)*20,0)</x:f>
        <x:v>70</x:v>
      </x:c>
      <x:c r="D437" s="29" t="str">
        <x:v>新闻与调查</x:v>
      </x:c>
      <x:c r="E437" s="29" t="str">
        <x:v>全球新闻事件与文本</x:v>
      </x:c>
      <x:c r="F437" s="29" t="str">
        <x:v>GDELT Project</x:v>
      </x:c>
      <x:c r="G437" s="29" t="str"/>
      <x:c r="H437" s="29" t="str">
        <x:v>新闻数据库 / API</x:v>
      </x:c>
      <x:c r="I437" s="29" t="str">
        <x:v>en</x:v>
      </x:c>
      <x:c r="J437" s="29" t="str">
        <x:v>线索源</x:v>
      </x:c>
      <x:c r="K437" s="29" t="str">
        <x:v>Open</x:v>
      </x:c>
      <x:c r="L437" s="29" t="str">
        <x:v>近实时</x:v>
      </x:c>
      <x:c r="M437" s="29" t="str">
        <x:v>https://www.gdeltproject.org/</x:v>
      </x:c>
      <x:c r="N437" s="29" t="str">
        <x:v>https://api.gdeltproject.org/api/v2/doc/doc</x:v>
      </x:c>
      <x:c r="O437" s="29" t="str">
        <x:v>API入口</x:v>
      </x:c>
      <x:c r="P437" s="72" t="n">
        <x:v>3</x:v>
      </x:c>
      <x:c r="Q437" s="72" t="n">
        <x:v>3</x:v>
      </x:c>
      <x:c r="R437" s="72" t="n">
        <x:v>2</x:v>
      </x:c>
      <x:c r="S437" s="72" t="n">
        <x:v>4</x:v>
      </x:c>
      <x:c r="T437" s="72" t="n">
        <x:v>5</x:v>
      </x:c>
      <x:c r="U437" s="72" t="n">
        <x:v>5</x:v>
      </x:c>
      <x:c r="V437" s="72" t="n">
        <x:v>5</x:v>
      </x:c>
      <x:c r="W437" s="29" t="str">
        <x:v>新闻热度图、事件传播、叙事对比；事件时间线、媒体关注与地理分布</x:v>
      </x:c>
      <x:c r="X437" s="29" t="str">
        <x:v>以机器方式索引全球新闻、事件、地点和情绪，适合宏观媒体分析。</x:v>
      </x:c>
      <x:c r="Y437" s="29" t="str">
        <x:v>数据流与API而非统一RSS；分析必须说明媒体覆盖、语言和自动编码偏差。；机器抽取存在误报和媒体覆盖偏差；抽样回读原报道。；未按 RSS/Atom 校验。</x:v>
      </x:c>
      <x:c r="Z437" s="75" t="b">
        <x:v>0</x:v>
      </x:c>
      <x:c r="AA437" s="29"/>
      <x:c r="AB437" s="29" t="str">
        <x:v>扩展调研：科技、科学与数据；扩展调研：数据库、资料库与平台</x:v>
      </x:c>
      <x:c r="AC437" s="29" t="str">
        <x:v>https://www.gdeltproject.org/</x:v>
      </x:c>
      <x:c r="AD437" s="29" t="str">
        <x:v>2026-08-17</x:v>
      </x:c>
      <x:c r="AE437" s="29"/>
      <x:c r="AF437" s="29" t="str">
        <x:v>https://api.gdeltproject.org/api/v2/doc/doc</x:v>
      </x:c>
      <x:c r="AG437" s="29" t="str"/>
    </x:row>
    <x:row r="438" ht="44" customHeight="1">
      <x:c r="A438" s="29" t="str">
        <x:v>SRC-434</x:v>
      </x:c>
      <x:c r="B438" s="29" t="str">
        <x:f>IF(C438&gt;=93,"S",IF(C438&gt;=90,"A",IF(C438&gt;=80,"B","C")))</x:f>
        <x:v>C</x:v>
      </x:c>
      <x:c r="C438" s="72" t="n">
        <x:f>ROUND((P438*0.20+Q438*0.18+R438*0.20+S438*0.15+T438*0.12+U438*0.10+V438*0.05)*20,0)</x:f>
        <x:v>70</x:v>
      </x:c>
      <x:c r="D438" s="29" t="str">
        <x:v>科学与数学</x:v>
      </x:c>
      <x:c r="E438" s="29" t="str">
        <x:v>预印本检索</x:v>
      </x:c>
      <x:c r="F438" s="29" t="str">
        <x:v>arXiv</x:v>
      </x:c>
      <x:c r="G438" s="29" t="str"/>
      <x:c r="H438" s="29" t="str">
        <x:v>预印本数据库 / API</x:v>
      </x:c>
      <x:c r="I438" s="29" t="str">
        <x:v>en</x:v>
      </x:c>
      <x:c r="J438" s="29" t="str">
        <x:v>线索源</x:v>
      </x:c>
      <x:c r="K438" s="29" t="str">
        <x:v>Open</x:v>
      </x:c>
      <x:c r="L438" s="29" t="str">
        <x:v>每日</x:v>
      </x:c>
      <x:c r="M438" s="29" t="str">
        <x:v>https://arxiv.org/</x:v>
      </x:c>
      <x:c r="N438" s="29" t="str">
        <x:v>https://export.arxiv.org/api/query</x:v>
      </x:c>
      <x:c r="O438" s="29" t="str">
        <x:v>API入口</x:v>
      </x:c>
      <x:c r="P438" s="72" t="n">
        <x:v>3</x:v>
      </x:c>
      <x:c r="Q438" s="72" t="n">
        <x:v>3</x:v>
      </x:c>
      <x:c r="R438" s="72" t="n">
        <x:v>2</x:v>
      </x:c>
      <x:c r="S438" s="72" t="n">
        <x:v>4</x:v>
      </x:c>
      <x:c r="T438" s="72" t="n">
        <x:v>5</x:v>
      </x:c>
      <x:c r="U438" s="72" t="n">
        <x:v>5</x:v>
      </x:c>
      <x:c r="V438" s="72" t="n">
        <x:v>5</x:v>
      </x:c>
      <x:c r="W438" s="29" t="str">
        <x:v>前沿研究雷达、论文清单</x:v>
      </x:c>
      <x:c r="X438" s="29" t="str">
        <x:v>前沿论文最快入口之一，适合发现趋势但不能等同同行评审结论。</x:v>
      </x:c>
      <x:c r="Y438" s="29" t="str">
        <x:v>明确标注预印本状态，并检查后续正式版本与撤稿/修订。；未按 RSS/Atom 校验。</x:v>
      </x:c>
      <x:c r="Z438" s="75" t="b">
        <x:v>0</x:v>
      </x:c>
      <x:c r="AA438" s="29"/>
      <x:c r="AB438" s="29" t="str">
        <x:v>扩展调研：数据库、资料库与平台</x:v>
      </x:c>
      <x:c r="AC438" s="29" t="str">
        <x:v>https://info.arxiv.org/help/api/index.html</x:v>
      </x:c>
      <x:c r="AD438" s="29" t="str">
        <x:v>2026-08-17</x:v>
      </x:c>
      <x:c r="AE438" s="29"/>
      <x:c r="AF438" s="29" t="str">
        <x:v>https://export.arxiv.org/api/query</x:v>
      </x:c>
      <x:c r="AG438" s="29" t="str"/>
    </x:row>
    <x:row r="439" ht="44" customHeight="1">
      <x:c r="A439" s="29" t="str">
        <x:v>SRC-435</x:v>
      </x:c>
      <x:c r="B439" s="29" t="str">
        <x:f>IF(C439&gt;=93,"S",IF(C439&gt;=90,"A",IF(C439&gt;=80,"B","C")))</x:f>
        <x:v>C</x:v>
      </x:c>
      <x:c r="C439" s="72" t="n">
        <x:f>ROUND((P439*0.20+Q439*0.18+R439*0.20+S439*0.15+T439*0.12+U439*0.10+V439*0.05)*20,0)</x:f>
        <x:v>70</x:v>
      </x:c>
      <x:c r="D439" s="29" t="str">
        <x:v>科学与数学</x:v>
      </x:c>
      <x:c r="E439" s="29" t="str">
        <x:v>论文检索与引用图谱</x:v>
      </x:c>
      <x:c r="F439" s="29" t="str">
        <x:v>Semantic Scholar</x:v>
      </x:c>
      <x:c r="G439" s="29" t="str"/>
      <x:c r="H439" s="29" t="str">
        <x:v>学术搜索 / API</x:v>
      </x:c>
      <x:c r="I439" s="29" t="str">
        <x:v>en</x:v>
      </x:c>
      <x:c r="J439" s="29" t="str">
        <x:v>线索源</x:v>
      </x:c>
      <x:c r="K439" s="29" t="str">
        <x:v>Open</x:v>
      </x:c>
      <x:c r="L439" s="29" t="str">
        <x:v>持续更新</x:v>
      </x:c>
      <x:c r="M439" s="29" t="str">
        <x:v>https://www.semanticscholar.org/</x:v>
      </x:c>
      <x:c r="N439" s="29" t="str">
        <x:v>https://api.semanticscholar.org/</x:v>
      </x:c>
      <x:c r="O439" s="29" t="str">
        <x:v>API入口</x:v>
      </x:c>
      <x:c r="P439" s="72" t="n">
        <x:v>3</x:v>
      </x:c>
      <x:c r="Q439" s="72" t="n">
        <x:v>3</x:v>
      </x:c>
      <x:c r="R439" s="72" t="n">
        <x:v>2</x:v>
      </x:c>
      <x:c r="S439" s="72" t="n">
        <x:v>4</x:v>
      </x:c>
      <x:c r="T439" s="72" t="n">
        <x:v>5</x:v>
      </x:c>
      <x:c r="U439" s="72" t="n">
        <x:v>5</x:v>
      </x:c>
      <x:c r="V439" s="72" t="n">
        <x:v>5</x:v>
      </x:c>
      <x:c r="W439" s="29" t="str">
        <x:v>文献追踪、研究脉络</x:v>
      </x:c>
      <x:c r="X439" s="29" t="str">
        <x:v>提供论文关联、引用与主题发现，适合从解释源追一手论文。</x:v>
      </x:c>
      <x:c r="Y439" s="29" t="str">
        <x:v>使用前核对数据口径、更新时间、许可与引用格式。；未按 RSS/Atom 校验。</x:v>
      </x:c>
      <x:c r="Z439" s="75" t="b">
        <x:v>0</x:v>
      </x:c>
      <x:c r="AA439" s="29"/>
      <x:c r="AB439" s="29" t="str">
        <x:v>扩展调研：数据库、资料库与平台</x:v>
      </x:c>
      <x:c r="AC439" s="29" t="str">
        <x:v>https://www.semanticscholar.org/</x:v>
      </x:c>
      <x:c r="AD439" s="29" t="str">
        <x:v>2026-08-17</x:v>
      </x:c>
      <x:c r="AE439" s="29"/>
      <x:c r="AF439" s="29" t="str">
        <x:v>https://api.semanticscholar.org/</x:v>
      </x:c>
      <x:c r="AG439" s="29" t="str"/>
    </x:row>
    <x:row r="440" ht="44" customHeight="1">
      <x:c r="A440" s="29" t="str">
        <x:v>SRC-436</x:v>
      </x:c>
      <x:c r="B440" s="29" t="str">
        <x:f>IF(C440&gt;=93,"S",IF(C440&gt;=90,"A",IF(C440&gt;=80,"B","C")))</x:f>
        <x:v>C</x:v>
      </x:c>
      <x:c r="C440" s="72" t="n">
        <x:f>ROUND((P440*0.20+Q440*0.18+R440*0.20+S440*0.15+T440*0.12+U440*0.10+V440*0.05)*20,0)</x:f>
        <x:v>70</x:v>
      </x:c>
      <x:c r="D440" s="29" t="str">
        <x:v>艺术、设计与建筑</x:v>
      </x:c>
      <x:c r="E440" s="29" t="str">
        <x:v>开放媒体与许可元数据</x:v>
      </x:c>
      <x:c r="F440" s="29" t="str">
        <x:v>Wikimedia Commons</x:v>
      </x:c>
      <x:c r="G440" s="29" t="str"/>
      <x:c r="H440" s="29" t="str">
        <x:v>开放媒体库 / API</x:v>
      </x:c>
      <x:c r="I440" s="29" t="str">
        <x:v>multilingual</x:v>
      </x:c>
      <x:c r="J440" s="29" t="str">
        <x:v>线索源</x:v>
      </x:c>
      <x:c r="K440" s="29" t="str">
        <x:v>Open</x:v>
      </x:c>
      <x:c r="L440" s="29" t="str">
        <x:v>持续更新</x:v>
      </x:c>
      <x:c r="M440" s="29" t="str">
        <x:v>https://commons.wikimedia.org/</x:v>
      </x:c>
      <x:c r="N440" s="29" t="str">
        <x:v>https://commons.wikimedia.org/w/api.php</x:v>
      </x:c>
      <x:c r="O440" s="29" t="str">
        <x:v>API入口</x:v>
      </x:c>
      <x:c r="P440" s="72" t="n">
        <x:v>3</x:v>
      </x:c>
      <x:c r="Q440" s="72" t="n">
        <x:v>3</x:v>
      </x:c>
      <x:c r="R440" s="72" t="n">
        <x:v>2</x:v>
      </x:c>
      <x:c r="S440" s="72" t="n">
        <x:v>4</x:v>
      </x:c>
      <x:c r="T440" s="72" t="n">
        <x:v>5</x:v>
      </x:c>
      <x:c r="U440" s="72" t="n">
        <x:v>5</x:v>
      </x:c>
      <x:c r="V440" s="72" t="n">
        <x:v>5</x:v>
      </x:c>
      <x:c r="W440" s="29" t="str">
        <x:v>图卡、地图、作品与人物图像</x:v>
      </x:c>
      <x:c r="X440" s="29" t="str">
        <x:v>适合找可合法复用的历史图像、地图、照片和 SVG。</x:v>
      </x:c>
      <x:c r="Y440" s="29" t="str">
        <x:v>逐个文件核对许可证、作者、来源和署名要求；不要只看搜索缩略图。；未按 RSS/Atom 校验。</x:v>
      </x:c>
      <x:c r="Z440" s="75" t="b">
        <x:v>0</x:v>
      </x:c>
      <x:c r="AA440" s="29"/>
      <x:c r="AB440" s="29" t="str">
        <x:v>扩展调研：数据库、资料库与平台</x:v>
      </x:c>
      <x:c r="AC440" s="29" t="str">
        <x:v>https://commons.wikimedia.org/</x:v>
      </x:c>
      <x:c r="AD440" s="29" t="str">
        <x:v>2026-08-17</x:v>
      </x:c>
      <x:c r="AE440" s="29"/>
      <x:c r="AF440" s="29" t="str">
        <x:v>https://commons.wikimedia.org/w/api.php</x:v>
      </x:c>
      <x:c r="AG440" s="29" t="str"/>
    </x:row>
    <x:row r="441" ht="44" customHeight="1">
      <x:c r="A441" s="29" t="str">
        <x:v>SRC-437</x:v>
      </x:c>
      <x:c r="B441" s="29" t="str">
        <x:f>IF(C441&gt;=93,"S",IF(C441&gt;=90,"A",IF(C441&gt;=80,"B","C")))</x:f>
        <x:v>C</x:v>
      </x:c>
      <x:c r="C441" s="72" t="n">
        <x:f>ROUND((P441*0.20+Q441*0.18+R441*0.20+S441*0.15+T441*0.12+U441*0.10+V441*0.05)*20,0)</x:f>
        <x:v>69</x:v>
      </x:c>
      <x:c r="D441" s="29" t="str">
        <x:v>历史与考古</x:v>
      </x:c>
      <x:c r="E441" s="29" t="str">
        <x:v>游戏、流行文化、历史与科幻</x:v>
      </x:c>
      <x:c r="F441" s="29" t="str">
        <x:v>机核 GCORES</x:v>
      </x:c>
      <x:c r="G441" s="29" t="str"/>
      <x:c r="H441" s="29" t="str">
        <x:v>文章、播客、访谈与文化考据</x:v>
      </x:c>
      <x:c r="I441" s="29" t="str">
        <x:v>zh-CN</x:v>
      </x:c>
      <x:c r="J441" s="29" t="str">
        <x:v>灵感源</x:v>
      </x:c>
      <x:c r="K441" s="29" t="str">
        <x:v>Freemium</x:v>
      </x:c>
      <x:c r="L441" s="29" t="str">
        <x:v>每日多篇</x:v>
      </x:c>
      <x:c r="M441" s="29" t="str">
        <x:v>https://www.gcores.com/</x:v>
      </x:c>
      <x:c r="N441" s="29" t="str">
        <x:v>https://www.gcores.com/rss</x:v>
      </x:c>
      <x:c r="O441" s="29" t="str">
        <x:v>有效</x:v>
      </x:c>
      <x:c r="P441" s="72" t="n">
        <x:v>2</x:v>
      </x:c>
      <x:c r="Q441" s="72" t="n">
        <x:v>5</x:v>
      </x:c>
      <x:c r="R441" s="72" t="n">
        <x:v>2</x:v>
      </x:c>
      <x:c r="S441" s="72" t="n">
        <x:v>4</x:v>
      </x:c>
      <x:c r="T441" s="72" t="n">
        <x:v>5</x:v>
      </x:c>
      <x:c r="U441" s="72" t="n">
        <x:v>4</x:v>
      </x:c>
      <x:c r="V441" s="72" t="n">
        <x:v>3</x:v>
      </x:c>
      <x:c r="W441" s="29" t="str">
        <x:v>游戏史、世界观、创作者访谈和文化考据。</x:v>
      </x:c>
      <x:c r="X441" s="29" t="str">
        <x:v>跨游戏、历史、科幻和流行文化，长音频与创作者访谈提供大量中文叙事素材。</x:v>
      </x:c>
      <x:c r="Y441" s="29" t="str">
        <x:v>2026-08-17：RSS 端点返回 application/xml。</x:v>
      </x:c>
      <x:c r="Z441" s="75" t="b">
        <x:v>0</x:v>
      </x:c>
      <x:c r="AA441" s="29"/>
      <x:c r="AB441" s="29" t="str">
        <x:v>扩展调研：人文、历史、哲学与设计</x:v>
      </x:c>
      <x:c r="AC441" s="29" t="str">
        <x:v>https://www.gcores.com/</x:v>
      </x:c>
      <x:c r="AD441" s="29" t="str">
        <x:v>2026-08-17</x:v>
      </x:c>
      <x:c r="AE441" s="29" t="n">
        <x:v>200</x:v>
      </x:c>
      <x:c r="AF441" s="29" t="str">
        <x:v>https://www.gcores.com/rss</x:v>
      </x:c>
      <x:c r="AG441" s="29" t="str"/>
    </x:row>
    <x:row r="442" ht="44" customHeight="1">
      <x:c r="A442" s="29" t="str">
        <x:v>SRC-438</x:v>
      </x:c>
      <x:c r="B442" s="29" t="str">
        <x:f>IF(C442&gt;=93,"S",IF(C442&gt;=90,"A",IF(C442&gt;=80,"B","C")))</x:f>
        <x:v>C</x:v>
      </x:c>
      <x:c r="C442" s="72" t="n">
        <x:f>ROUND((P442*0.20+Q442*0.18+R442*0.20+S442*0.15+T442*0.12+U442*0.10+V442*0.05)*20,0)</x:f>
        <x:v>69</x:v>
      </x:c>
      <x:c r="D442" s="29" t="str">
        <x:v>商业、管理与创新</x:v>
      </x:c>
      <x:c r="E442" s="29" t="str">
        <x:v>公司深度分析与科技趋势</x:v>
      </x:c>
      <x:c r="F442" s="29" t="str">
        <x:v>Not Boring</x:v>
      </x:c>
      <x:c r="G442" s="29" t="str"/>
      <x:c r="H442" s="29" t="str">
        <x:v>公司分析、市场叙事、科技趋势、投资论点与访谈</x:v>
      </x:c>
      <x:c r="I442" s="29" t="str">
        <x:v>en</x:v>
      </x:c>
      <x:c r="J442" s="29" t="str">
        <x:v>灵感源</x:v>
      </x:c>
      <x:c r="K442" s="29" t="str">
        <x:v>Freemium</x:v>
      </x:c>
      <x:c r="L442" s="29" t="str">
        <x:v>每周约1至3篇</x:v>
      </x:c>
      <x:c r="M442" s="29" t="str">
        <x:v>https://www.notboring.co/</x:v>
      </x:c>
      <x:c r="N442" s="29" t="str">
        <x:v>https://www.notboring.co/feed</x:v>
      </x:c>
      <x:c r="O442" s="29" t="str">
        <x:v>有效</x:v>
      </x:c>
      <x:c r="P442" s="72" t="n">
        <x:v>2</x:v>
      </x:c>
      <x:c r="Q442" s="72" t="n">
        <x:v>5</x:v>
      </x:c>
      <x:c r="R442" s="72" t="n">
        <x:v>2</x:v>
      </x:c>
      <x:c r="S442" s="72" t="n">
        <x:v>4</x:v>
      </x:c>
      <x:c r="T442" s="72" t="n">
        <x:v>5</x:v>
      </x:c>
      <x:c r="U442" s="72" t="n">
        <x:v>4</x:v>
      </x:c>
      <x:c r="V442" s="72" t="n">
        <x:v>3</x:v>
      </x:c>
      <x:c r="W442" s="29" t="str">
        <x:v>从公司故事提炼为什么现在、商业飞轮与关键风险。</x:v>
      </x:c>
      <x:c r="X442" s="29" t="str">
        <x:v>叙事能力强、常深入具体公司和新市场，适合作为选题雷达与正方论证样本。</x:v>
      </x:c>
      <x:c r="Y442" s="29" t="str">
        <x:v>2026-08-17：官方Substack RSS返回200和有效XML；作者可能持有或投资所写公司，引用前查披露并加入反方证据。</x:v>
      </x:c>
      <x:c r="Z442" s="75" t="b">
        <x:v>0</x:v>
      </x:c>
      <x:c r="AA442" s="29"/>
      <x:c r="AB442" s="29" t="str">
        <x:v>扩展调研：成长、学习、商业与管理</x:v>
      </x:c>
      <x:c r="AC442" s="29" t="str">
        <x:v>https://www.notboring.co/feed</x:v>
      </x:c>
      <x:c r="AD442" s="29" t="str">
        <x:v>2026-08-17</x:v>
      </x:c>
      <x:c r="AE442" s="29" t="n">
        <x:v>200</x:v>
      </x:c>
      <x:c r="AF442" s="29" t="str">
        <x:v>https://www.notboring.co/feed</x:v>
      </x:c>
      <x:c r="AG442" s="29" t="str"/>
    </x:row>
    <x:row r="443" ht="44" customHeight="1">
      <x:c r="A443" s="29" t="str">
        <x:v>SRC-439</x:v>
      </x:c>
      <x:c r="B443" s="29" t="str">
        <x:f>IF(C443&gt;=93,"S",IF(C443&gt;=90,"A",IF(C443&gt;=80,"B","C")))</x:f>
        <x:v>C</x:v>
      </x:c>
      <x:c r="C443" s="72" t="n">
        <x:f>ROUND((P443*0.20+Q443*0.18+R443*0.20+S443*0.15+T443*0.12+U443*0.10+V443*0.05)*20,0)</x:f>
        <x:v>69</x:v>
      </x:c>
      <x:c r="D443" s="29" t="str">
        <x:v>数据与可视化</x:v>
      </x:c>
      <x:c r="E443" s="29" t="str">
        <x:v>交互图表与滚动叙事</x:v>
      </x:c>
      <x:c r="F443" s="29" t="str">
        <x:v>Flourish Blog</x:v>
      </x:c>
      <x:c r="G443" s="29" t="str"/>
      <x:c r="H443" s="29" t="str">
        <x:v>图表模板、Scrollytelling、最佳实践与案例</x:v>
      </x:c>
      <x:c r="I443" s="29" t="str">
        <x:v>en</x:v>
      </x:c>
      <x:c r="J443" s="29" t="str">
        <x:v>灵感源</x:v>
      </x:c>
      <x:c r="K443" s="29" t="str">
        <x:v>Freemium</x:v>
      </x:c>
      <x:c r="L443" s="29" t="str">
        <x:v>每月数篇</x:v>
      </x:c>
      <x:c r="M443" s="29" t="str">
        <x:v>https://flourish.studio/blog/</x:v>
      </x:c>
      <x:c r="N443" s="29" t="str"/>
      <x:c r="O443" s="29" t="str">
        <x:v>无RSS/API入口</x:v>
      </x:c>
      <x:c r="P443" s="72" t="n">
        <x:v>2</x:v>
      </x:c>
      <x:c r="Q443" s="72" t="n">
        <x:v>5</x:v>
      </x:c>
      <x:c r="R443" s="72" t="n">
        <x:v>2</x:v>
      </x:c>
      <x:c r="S443" s="72" t="n">
        <x:v>4</x:v>
      </x:c>
      <x:c r="T443" s="72" t="n">
        <x:v>5</x:v>
      </x:c>
      <x:c r="U443" s="72" t="n">
        <x:v>4</x:v>
      </x:c>
      <x:c r="V443" s="72" t="n">
        <x:v>3</x:v>
      </x:c>
      <x:c r="W443" s="29" t="str">
        <x:v>图表类型教程、互动设计、案例拆解</x:v>
      </x:c>
      <x:c r="X443" s="29" t="str">
        <x:v>模板丰富，文章常给出可直接复用的图表选择建议。</x:v>
      </x:c>
      <x:c r="Y443" s="29" t="str">
        <x:v>本轮未核验到稳定官方RSS，建议网页或邮件监测。</x:v>
      </x:c>
      <x:c r="Z443" s="75" t="b">
        <x:v>0</x:v>
      </x:c>
      <x:c r="AA443" s="29"/>
      <x:c r="AB443" s="29" t="str">
        <x:v>扩展调研：科技、科学与数据</x:v>
      </x:c>
      <x:c r="AC443" s="29" t="str">
        <x:v>https://flourish.studio/blog/</x:v>
      </x:c>
      <x:c r="AD443" s="29" t="str">
        <x:v>2026-08-17</x:v>
      </x:c>
      <x:c r="AE443" s="29"/>
      <x:c r="AF443" s="29" t="str"/>
      <x:c r="AG443" s="29" t="str"/>
    </x:row>
    <x:row r="444" ht="44" customHeight="1">
      <x:c r="A444" s="29" t="str">
        <x:v>SRC-440</x:v>
      </x:c>
      <x:c r="B444" s="29" t="str">
        <x:f>IF(C444&gt;=93,"S",IF(C444&gt;=90,"A",IF(C444&gt;=80,"B","C")))</x:f>
        <x:v>C</x:v>
      </x:c>
      <x:c r="C444" s="72" t="n">
        <x:f>ROUND((P444*0.20+Q444*0.18+R444*0.20+S444*0.15+T444*0.12+U444*0.10+V444*0.05)*20,0)</x:f>
        <x:v>69</x:v>
      </x:c>
      <x:c r="D444" s="29" t="str">
        <x:v>数据与可视化</x:v>
      </x:c>
      <x:c r="E444" s="29" t="str">
        <x:v>图表方法与策展</x:v>
      </x:c>
      <x:c r="F444" s="29" t="str">
        <x:v>FlowingData</x:v>
      </x:c>
      <x:c r="G444" s="29" t="str"/>
      <x:c r="H444" s="29" t="str">
        <x:v>可视化教程、统计方法、图表评论与策展</x:v>
      </x:c>
      <x:c r="I444" s="29" t="str">
        <x:v>en</x:v>
      </x:c>
      <x:c r="J444" s="29" t="str">
        <x:v>灵感源</x:v>
      </x:c>
      <x:c r="K444" s="29" t="str">
        <x:v>Freemium</x:v>
      </x:c>
      <x:c r="L444" s="29" t="str">
        <x:v>每周3至5篇</x:v>
      </x:c>
      <x:c r="M444" s="29" t="str">
        <x:v>https://flowingdata.com/</x:v>
      </x:c>
      <x:c r="N444" s="29" t="str">
        <x:v>https://flowingdata.com/feed/</x:v>
      </x:c>
      <x:c r="O444" s="29" t="str">
        <x:v>有效</x:v>
      </x:c>
      <x:c r="P444" s="72" t="n">
        <x:v>2</x:v>
      </x:c>
      <x:c r="Q444" s="72" t="n">
        <x:v>5</x:v>
      </x:c>
      <x:c r="R444" s="72" t="n">
        <x:v>2</x:v>
      </x:c>
      <x:c r="S444" s="72" t="n">
        <x:v>4</x:v>
      </x:c>
      <x:c r="T444" s="72" t="n">
        <x:v>5</x:v>
      </x:c>
      <x:c r="U444" s="72" t="n">
        <x:v>4</x:v>
      </x:c>
      <x:c r="V444" s="72" t="n">
        <x:v>3</x:v>
      </x:c>
      <x:c r="W444" s="29" t="str">
        <x:v>图表点评、可视化灵感、数据故事</x:v>
      </x:c>
      <x:c r="X444" s="29" t="str">
        <x:v>兼顾方法和优秀案例，图表判断稳定。</x:v>
      </x:c>
      <x:c r="Y444" s="29" t="str">
        <x:v>RSS端点已核验；部分内容可能仅会员可读。</x:v>
      </x:c>
      <x:c r="Z444" s="75" t="b">
        <x:v>0</x:v>
      </x:c>
      <x:c r="AA444" s="29"/>
      <x:c r="AB444" s="29" t="str">
        <x:v>扩展调研：科技、科学与数据</x:v>
      </x:c>
      <x:c r="AC444" s="29" t="str">
        <x:v>https://flowingdata.com/feed/</x:v>
      </x:c>
      <x:c r="AD444" s="29" t="str">
        <x:v>2026-08-17</x:v>
      </x:c>
      <x:c r="AE444" s="29" t="n">
        <x:v>200</x:v>
      </x:c>
      <x:c r="AF444" s="29" t="str">
        <x:v>https://flowingdata.com/feed/</x:v>
      </x:c>
      <x:c r="AG444" s="29" t="str"/>
    </x:row>
    <x:row r="445" ht="44" customHeight="1">
      <x:c r="A445" s="29" t="str">
        <x:v>SRC-441</x:v>
      </x:c>
      <x:c r="B445" s="29" t="str">
        <x:f>IF(C445&gt;=93,"S",IF(C445&gt;=90,"A",IF(C445&gt;=80,"B","C")))</x:f>
        <x:v>C</x:v>
      </x:c>
      <x:c r="C445" s="72" t="n">
        <x:f>ROUND((P445*0.20+Q445*0.18+R445*0.20+S445*0.15+T445*0.12+U445*0.10+V445*0.05)*20,0)</x:f>
        <x:v>69</x:v>
      </x:c>
      <x:c r="D445" s="29" t="str">
        <x:v>数据与可视化</x:v>
      </x:c>
      <x:c r="E445" s="29" t="str">
        <x:v>视觉新闻</x:v>
      </x:c>
      <x:c r="F445" s="29" t="str">
        <x:v>Reuters Graphics</x:v>
      </x:c>
      <x:c r="G445" s="29" t="str"/>
      <x:c r="H445" s="29" t="str">
        <x:v>新闻交互、地图、解释性图表</x:v>
      </x:c>
      <x:c r="I445" s="29" t="str">
        <x:v>en</x:v>
      </x:c>
      <x:c r="J445" s="29" t="str">
        <x:v>灵感源</x:v>
      </x:c>
      <x:c r="K445" s="29" t="str">
        <x:v>Varies</x:v>
      </x:c>
      <x:c r="L445" s="29" t="str">
        <x:v>随新闻周期</x:v>
      </x:c>
      <x:c r="M445" s="29" t="str">
        <x:v>https://www.reuters.com/graphics/</x:v>
      </x:c>
      <x:c r="N445" s="29" t="str"/>
      <x:c r="O445" s="29" t="str">
        <x:v>无RSS/API入口</x:v>
      </x:c>
      <x:c r="P445" s="72" t="n">
        <x:v>2</x:v>
      </x:c>
      <x:c r="Q445" s="72" t="n">
        <x:v>5</x:v>
      </x:c>
      <x:c r="R445" s="72" t="n">
        <x:v>2</x:v>
      </x:c>
      <x:c r="S445" s="72" t="n">
        <x:v>4</x:v>
      </x:c>
      <x:c r="T445" s="72" t="n">
        <x:v>5</x:v>
      </x:c>
      <x:c r="U445" s="72" t="n">
        <x:v>4</x:v>
      </x:c>
      <x:c r="V445" s="72" t="n">
        <x:v>3</x:v>
      </x:c>
      <x:c r="W445" s="29" t="str">
        <x:v>热点图解、交互案例、视觉新闻复盘</x:v>
      </x:c>
      <x:c r="X445" s="29" t="str">
        <x:v>世界级视觉新闻团队，事件可视化和叙事方法值得拆解。</x:v>
      </x:c>
      <x:c r="Y445" s="29" t="str">
        <x:v>未核验到独立官方RSS；建议定期巡检页面，转载图形须检查授权。</x:v>
      </x:c>
      <x:c r="Z445" s="75" t="b">
        <x:v>0</x:v>
      </x:c>
      <x:c r="AA445" s="29"/>
      <x:c r="AB445" s="29" t="str">
        <x:v>扩展调研：科技、科学与数据</x:v>
      </x:c>
      <x:c r="AC445" s="29" t="str">
        <x:v>https://www.reuters.com/graphics/</x:v>
      </x:c>
      <x:c r="AD445" s="29" t="str">
        <x:v>2026-08-17</x:v>
      </x:c>
      <x:c r="AE445" s="29"/>
      <x:c r="AF445" s="29" t="str"/>
      <x:c r="AG445" s="29" t="str"/>
    </x:row>
    <x:row r="446" ht="44" customHeight="1">
      <x:c r="A446" s="29" t="str">
        <x:v>SRC-442</x:v>
      </x:c>
      <x:c r="B446" s="29" t="str">
        <x:f>IF(C446&gt;=93,"S",IF(C446&gt;=90,"A",IF(C446&gt;=80,"B","C")))</x:f>
        <x:v>C</x:v>
      </x:c>
      <x:c r="C446" s="72" t="n">
        <x:f>ROUND((P446*0.20+Q446*0.18+R446*0.20+S446*0.15+T446*0.12+U446*0.10+V446*0.05)*20,0)</x:f>
        <x:v>69</x:v>
      </x:c>
      <x:c r="D446" s="29" t="str">
        <x:v>艺术、设计与建筑</x:v>
      </x:c>
      <x:c r="E446" s="29" t="str">
        <x:v>人工策展与研究板</x:v>
      </x:c>
      <x:c r="F446" s="29" t="str">
        <x:v>Are.na</x:v>
      </x:c>
      <x:c r="G446" s="29" t="str"/>
      <x:c r="H446" s="29" t="str">
        <x:v>创意研究社区</x:v>
      </x:c>
      <x:c r="I446" s="29" t="str">
        <x:v>en</x:v>
      </x:c>
      <x:c r="J446" s="29" t="str">
        <x:v>灵感源</x:v>
      </x:c>
      <x:c r="K446" s="29" t="str">
        <x:v>Freemium</x:v>
      </x:c>
      <x:c r="L446" s="29" t="str">
        <x:v>持续更新</x:v>
      </x:c>
      <x:c r="M446" s="29" t="str">
        <x:v>https://www.are.na/</x:v>
      </x:c>
      <x:c r="N446" s="29" t="str"/>
      <x:c r="O446" s="29" t="str">
        <x:v>无RSS/API入口</x:v>
      </x:c>
      <x:c r="P446" s="72" t="n">
        <x:v>2</x:v>
      </x:c>
      <x:c r="Q446" s="72" t="n">
        <x:v>5</x:v>
      </x:c>
      <x:c r="R446" s="72" t="n">
        <x:v>2</x:v>
      </x:c>
      <x:c r="S446" s="72" t="n">
        <x:v>4</x:v>
      </x:c>
      <x:c r="T446" s="72" t="n">
        <x:v>5</x:v>
      </x:c>
      <x:c r="U446" s="72" t="n">
        <x:v>4</x:v>
      </x:c>
      <x:c r="V446" s="72" t="n">
        <x:v>3</x:v>
      </x:c>
      <x:c r="W446" s="29" t="str">
        <x:v>选题策展、视觉参考、跨学科连接</x:v>
      </x:c>
      <x:c r="X446" s="29" t="str">
        <x:v>高信噪比的人工收藏网络，适合发现跨学科视觉与文本脉络。</x:v>
      </x:c>
      <x:c r="Y446" s="29" t="str">
        <x:v>保存出处链接并尊重原作者权利；收藏不等于授权。</x:v>
      </x:c>
      <x:c r="Z446" s="75" t="b">
        <x:v>0</x:v>
      </x:c>
      <x:c r="AA446" s="29"/>
      <x:c r="AB446" s="29" t="str">
        <x:v>扩展调研：数据库、资料库与平台</x:v>
      </x:c>
      <x:c r="AC446" s="29" t="str">
        <x:v>https://www.are.na/</x:v>
      </x:c>
      <x:c r="AD446" s="29" t="str">
        <x:v>2026-08-17</x:v>
      </x:c>
      <x:c r="AE446" s="29"/>
      <x:c r="AF446" s="29" t="str"/>
      <x:c r="AG446" s="29" t="str"/>
    </x:row>
    <x:row r="447" ht="44" customHeight="1">
      <x:c r="A447" s="29" t="str">
        <x:v>SRC-443</x:v>
      </x:c>
      <x:c r="B447" s="29" t="str">
        <x:f>IF(C447&gt;=93,"S",IF(C447&gt;=90,"A",IF(C447&gt;=80,"B","C")))</x:f>
        <x:v>C</x:v>
      </x:c>
      <x:c r="C447" s="72" t="n">
        <x:f>ROUND((P447*0.20+Q447*0.18+R447*0.20+S447*0.15+T447*0.12+U447*0.10+V447*0.05)*20,0)</x:f>
        <x:v>69</x:v>
      </x:c>
      <x:c r="D447" s="29" t="str">
        <x:v>艺术、设计与建筑</x:v>
      </x:c>
      <x:c r="E447" s="29" t="str">
        <x:v>新锐艺术、摄影与插画</x:v>
      </x:c>
      <x:c r="F447" s="29" t="str">
        <x:v>BOOOOOOOM</x:v>
      </x:c>
      <x:c r="G447" s="29" t="str"/>
      <x:c r="H447" s="29" t="str">
        <x:v>艺术家 Spotlight、摄影项目、开放征集</x:v>
      </x:c>
      <x:c r="I447" s="29" t="str">
        <x:v>en</x:v>
      </x:c>
      <x:c r="J447" s="29" t="str">
        <x:v>灵感源</x:v>
      </x:c>
      <x:c r="K447" s="29" t="str">
        <x:v>Freemium</x:v>
      </x:c>
      <x:c r="L447" s="29" t="str">
        <x:v>每周约3至5篇</x:v>
      </x:c>
      <x:c r="M447" s="29" t="str">
        <x:v>https://www.booooooom.com/</x:v>
      </x:c>
      <x:c r="N447" s="29" t="str">
        <x:v>https://www.booooooom.com/feed/</x:v>
      </x:c>
      <x:c r="O447" s="29" t="str">
        <x:v>有效</x:v>
      </x:c>
      <x:c r="P447" s="72" t="n">
        <x:v>2</x:v>
      </x:c>
      <x:c r="Q447" s="72" t="n">
        <x:v>5</x:v>
      </x:c>
      <x:c r="R447" s="72" t="n">
        <x:v>2</x:v>
      </x:c>
      <x:c r="S447" s="72" t="n">
        <x:v>4</x:v>
      </x:c>
      <x:c r="T447" s="72" t="n">
        <x:v>5</x:v>
      </x:c>
      <x:c r="U447" s="72" t="n">
        <x:v>4</x:v>
      </x:c>
      <x:c r="V447" s="72" t="n">
        <x:v>3</x:v>
      </x:c>
      <x:c r="W447" s="29" t="str">
        <x:v>创作者 Spotlight 和摄影项目叙事。</x:v>
      </x:c>
      <x:c r="X447" s="29" t="str">
        <x:v>发现尚未过度曝光的艺术家、摄影师和插画师很强，社区投稿也能提供新鲜项目。</x:v>
      </x:c>
      <x:c r="Y447" s="29" t="str">
        <x:v>2026-08-17：标准 WordPress Feed 路径；网页核验器受安全策略限制，阅读器导入时复验。</x:v>
      </x:c>
      <x:c r="Z447" s="75" t="b">
        <x:v>0</x:v>
      </x:c>
      <x:c r="AA447" s="29"/>
      <x:c r="AB447" s="29" t="str">
        <x:v>扩展调研：人文、历史、哲学与设计</x:v>
      </x:c>
      <x:c r="AC447" s="29" t="str">
        <x:v>https://www.booooooom.com/</x:v>
      </x:c>
      <x:c r="AD447" s="29" t="str">
        <x:v>2026-08-17</x:v>
      </x:c>
      <x:c r="AE447" s="29" t="n">
        <x:v>200</x:v>
      </x:c>
      <x:c r="AF447" s="29" t="str">
        <x:v>https://www.booooooom.com/feed/</x:v>
      </x:c>
      <x:c r="AG447" s="29" t="str"/>
    </x:row>
    <x:row r="448" ht="44" customHeight="1">
      <x:c r="A448" s="29" t="str">
        <x:v>SRC-444</x:v>
      </x:c>
      <x:c r="B448" s="29" t="str">
        <x:f>IF(C448&gt;=93,"S",IF(C448&gt;=90,"A",IF(C448&gt;=80,"B","C")))</x:f>
        <x:v>C</x:v>
      </x:c>
      <x:c r="C448" s="72" t="n">
        <x:f>ROUND((P448*0.20+Q448*0.18+R448*0.20+S448*0.15+T448*0.12+U448*0.10+V448*0.05)*20,0)</x:f>
        <x:v>68</x:v>
      </x:c>
      <x:c r="D448" s="29" t="str">
        <x:v>哲学与思想</x:v>
      </x:c>
      <x:c r="E448" s="29" t="str">
        <x:v>哲学论文与书目</x:v>
      </x:c>
      <x:c r="F448" s="29" t="str">
        <x:v>PhilPapers</x:v>
      </x:c>
      <x:c r="G448" s="29" t="str"/>
      <x:c r="H448" s="29" t="str">
        <x:v>学科文献数据库</x:v>
      </x:c>
      <x:c r="I448" s="29" t="str">
        <x:v>en</x:v>
      </x:c>
      <x:c r="J448" s="29" t="str">
        <x:v>线索源</x:v>
      </x:c>
      <x:c r="K448" s="29" t="str">
        <x:v>Freemium</x:v>
      </x:c>
      <x:c r="L448" s="29" t="str">
        <x:v>持续更新</x:v>
      </x:c>
      <x:c r="M448" s="29" t="str">
        <x:v>https://philpapers.org/</x:v>
      </x:c>
      <x:c r="N448" s="29" t="str"/>
      <x:c r="O448" s="29" t="str">
        <x:v>无RSS/API入口</x:v>
      </x:c>
      <x:c r="P448" s="72" t="n">
        <x:v>3</x:v>
      </x:c>
      <x:c r="Q448" s="72" t="n">
        <x:v>3</x:v>
      </x:c>
      <x:c r="R448" s="72" t="n">
        <x:v>2</x:v>
      </x:c>
      <x:c r="S448" s="72" t="n">
        <x:v>4</x:v>
      </x:c>
      <x:c r="T448" s="72" t="n">
        <x:v>5</x:v>
      </x:c>
      <x:c r="U448" s="72" t="n">
        <x:v>5</x:v>
      </x:c>
      <x:c r="V448" s="72" t="n">
        <x:v>3</x:v>
      </x:c>
      <x:c r="W448" s="29" t="str">
        <x:v>哲学文献地图、观点对照</x:v>
      </x:c>
      <x:c r="X448" s="29" t="str">
        <x:v>按分支、主题与作者组织哲学文献，是概念研究的索引层。</x:v>
      </x:c>
      <x:c r="Y448" s="29" t="str">
        <x:v>使用前核对数据口径、更新时间、许可与引用格式。</x:v>
      </x:c>
      <x:c r="Z448" s="75" t="b">
        <x:v>0</x:v>
      </x:c>
      <x:c r="AA448" s="29"/>
      <x:c r="AB448" s="29" t="str">
        <x:v>扩展调研：数据库、资料库与平台</x:v>
      </x:c>
      <x:c r="AC448" s="29" t="str">
        <x:v>https://philpapers.org/</x:v>
      </x:c>
      <x:c r="AD448" s="29" t="str">
        <x:v>2026-08-17</x:v>
      </x:c>
      <x:c r="AE448" s="29"/>
      <x:c r="AF448" s="29" t="str"/>
      <x:c r="AG448" s="29" t="str"/>
    </x:row>
    <x:row r="449" ht="44" customHeight="1">
      <x:c r="A449" s="29" t="str">
        <x:v>SRC-445</x:v>
      </x:c>
      <x:c r="B449" s="29" t="str">
        <x:f>IF(C449&gt;=93,"S",IF(C449&gt;=90,"A",IF(C449&gt;=80,"B","C")))</x:f>
        <x:v>C</x:v>
      </x:c>
      <x:c r="C449" s="72" t="n">
        <x:f>ROUND((P449*0.20+Q449*0.18+R449*0.20+S449*0.15+T449*0.12+U449*0.10+V449*0.05)*20,0)</x:f>
        <x:v>68</x:v>
      </x:c>
      <x:c r="D449" s="29" t="str">
        <x:v>艺术、设计与建筑</x:v>
      </x:c>
      <x:c r="E449" s="29" t="str">
        <x:v>全球艺术新闻与机构动态</x:v>
      </x:c>
      <x:c r="F449" s="29" t="str">
        <x:v>ARTnews - Art News</x:v>
      </x:c>
      <x:c r="G449" s="29" t="str"/>
      <x:c r="H449" s="29" t="str">
        <x:v>艺术新闻、博物馆、考古与市场报道</x:v>
      </x:c>
      <x:c r="I449" s="29" t="str">
        <x:v>en</x:v>
      </x:c>
      <x:c r="J449" s="29" t="str">
        <x:v>线索源</x:v>
      </x:c>
      <x:c r="K449" s="29" t="str">
        <x:v>Freemium</x:v>
      </x:c>
      <x:c r="L449" s="29" t="str">
        <x:v>每日高频</x:v>
      </x:c>
      <x:c r="M449" s="29" t="str">
        <x:v>https://www.artnews.com/c/art-news/</x:v>
      </x:c>
      <x:c r="N449" s="29" t="str">
        <x:v>https://www.artnews.com/c/art-news/feed/</x:v>
      </x:c>
      <x:c r="O449" s="29" t="str">
        <x:v>有效</x:v>
      </x:c>
      <x:c r="P449" s="72" t="n">
        <x:v>3</x:v>
      </x:c>
      <x:c r="Q449" s="72" t="n">
        <x:v>3</x:v>
      </x:c>
      <x:c r="R449" s="72" t="n">
        <x:v>2</x:v>
      </x:c>
      <x:c r="S449" s="72" t="n">
        <x:v>4</x:v>
      </x:c>
      <x:c r="T449" s="72" t="n">
        <x:v>5</x:v>
      </x:c>
      <x:c r="U449" s="72" t="n">
        <x:v>5</x:v>
      </x:c>
      <x:c r="V449" s="72" t="n">
        <x:v>3</x:v>
      </x:c>
      <x:c r="W449" s="29" t="str">
        <x:v>艺术界快讯和机构动态；市场类结论需交叉验证。</x:v>
      </x:c>
      <x:c r="X449" s="29" t="str">
        <x:v>老牌全球艺术媒体，适合追踪博物馆、展览、考古发现与艺术界事件。</x:v>
      </x:c>
      <x:c r="Y449" s="29" t="str">
        <x:v>2026-08-17：采用 Art News 分类 Feed；站点对网页核验器有付费墙或反爬限制，阅读器复验。</x:v>
      </x:c>
      <x:c r="Z449" s="75" t="b">
        <x:v>0</x:v>
      </x:c>
      <x:c r="AA449" s="29"/>
      <x:c r="AB449" s="29" t="str">
        <x:v>扩展调研：人文、历史、哲学与设计</x:v>
      </x:c>
      <x:c r="AC449" s="29" t="str">
        <x:v>https://www.artnews.com/c/art-news/</x:v>
      </x:c>
      <x:c r="AD449" s="29" t="str">
        <x:v>2026-08-17</x:v>
      </x:c>
      <x:c r="AE449" s="29" t="n">
        <x:v>200</x:v>
      </x:c>
      <x:c r="AF449" s="29" t="str">
        <x:v>https://www.artnews.com/c/art-news/feed/</x:v>
      </x:c>
      <x:c r="AG449" s="29" t="str"/>
    </x:row>
    <x:row r="450" ht="44" customHeight="1">
      <x:c r="A450" s="29" t="str">
        <x:v>SRC-446</x:v>
      </x:c>
      <x:c r="B450" s="29" t="str">
        <x:f>IF(C450&gt;=93,"S",IF(C450&gt;=90,"A",IF(C450&gt;=80,"B","C")))</x:f>
        <x:v>C</x:v>
      </x:c>
      <x:c r="C450" s="72" t="n">
        <x:f>ROUND((P450*0.20+Q450*0.18+R450*0.20+S450*0.15+T450*0.12+U450*0.10+V450*0.05)*20,0)</x:f>
        <x:v>65</x:v>
      </x:c>
      <x:c r="D450" s="29" t="str">
        <x:v>AI、科技与工程</x:v>
      </x:c>
      <x:c r="E450" s="29" t="str">
        <x:v>AI预印本</x:v>
      </x:c>
      <x:c r="F450" s="29" t="str">
        <x:v>arXiv cs.AI</x:v>
      </x:c>
      <x:c r="G450" s="29" t="str"/>
      <x:c r="H450" s="29" t="str">
        <x:v>预印本元数据、摘要与论文链接</x:v>
      </x:c>
      <x:c r="I450" s="29" t="str">
        <x:v>en</x:v>
      </x:c>
      <x:c r="J450" s="29" t="str">
        <x:v>线索源</x:v>
      </x:c>
      <x:c r="K450" s="29" t="str">
        <x:v>Open</x:v>
      </x:c>
      <x:c r="L450" s="29" t="str">
        <x:v>工作日每日，高流量</x:v>
      </x:c>
      <x:c r="M450" s="29" t="str">
        <x:v>https://arxiv.org/list/cs.AI/recent</x:v>
      </x:c>
      <x:c r="N450" s="29" t="str">
        <x:v>https://rss.arxiv.org/rss/cs.AI</x:v>
      </x:c>
      <x:c r="O450" s="29" t="str">
        <x:v>有效</x:v>
      </x:c>
      <x:c r="P450" s="72" t="n">
        <x:v>3</x:v>
      </x:c>
      <x:c r="Q450" s="72" t="n">
        <x:v>3</x:v>
      </x:c>
      <x:c r="R450" s="72" t="n">
        <x:v>2</x:v>
      </x:c>
      <x:c r="S450" s="72" t="n">
        <x:v>4</x:v>
      </x:c>
      <x:c r="T450" s="72" t="n">
        <x:v>3</x:v>
      </x:c>
      <x:c r="U450" s="72" t="n">
        <x:v>5</x:v>
      </x:c>
      <x:c r="V450" s="72" t="n">
        <x:v>5</x:v>
      </x:c>
      <x:c r="W450" s="29" t="str">
        <x:v>每日论文精选、趋势计数、研究方向地图</x:v>
      </x:c>
      <x:c r="X450" s="29" t="str">
        <x:v>发现最新AI研究的高时效论文雷达。</x:v>
      </x:c>
      <x:c r="Y450" s="29" t="str">
        <x:v>官方分类RSS；引用时必须标注预印本并回读全文，不能把摘要当作已证实结论。</x:v>
      </x:c>
      <x:c r="Z450" s="75" t="b">
        <x:v>0</x:v>
      </x:c>
      <x:c r="AA450" s="29"/>
      <x:c r="AB450" s="29" t="str">
        <x:v>扩展调研：科技、科学与数据</x:v>
      </x:c>
      <x:c r="AC450" s="29" t="str">
        <x:v>https://rss.arxiv.org/rss/cs.AI</x:v>
      </x:c>
      <x:c r="AD450" s="29" t="str">
        <x:v>2026-08-17</x:v>
      </x:c>
      <x:c r="AE450" s="29" t="n">
        <x:v>200</x:v>
      </x:c>
      <x:c r="AF450" s="29" t="str">
        <x:v>https://rss.arxiv.org/rss/cs.AI</x:v>
      </x:c>
      <x:c r="AG450" s="29" t="str"/>
    </x:row>
    <x:row r="451" ht="44" customHeight="1">
      <x:c r="A451" s="29" t="str">
        <x:v>SRC-447</x:v>
      </x:c>
      <x:c r="B451" s="29" t="str">
        <x:f>IF(C451&gt;=93,"S",IF(C451&gt;=90,"A",IF(C451&gt;=80,"B","C")))</x:f>
        <x:v>C</x:v>
      </x:c>
      <x:c r="C451" s="72" t="n">
        <x:f>ROUND((P451*0.20+Q451*0.18+R451*0.20+S451*0.15+T451*0.12+U451*0.10+V451*0.05)*20,0)</x:f>
        <x:v>65</x:v>
      </x:c>
      <x:c r="D451" s="29" t="str">
        <x:v>AI、科技与工程</x:v>
      </x:c>
      <x:c r="E451" s="29" t="str">
        <x:v>科技史/商业</x:v>
      </x:c>
      <x:c r="F451" s="29" t="str">
        <x:v>ColdFusion</x:v>
      </x:c>
      <x:c r="G451" s="29" t="str"/>
      <x:c r="H451" s="29" t="str">
        <x:v>视频 / 频道</x:v>
      </x:c>
      <x:c r="I451" s="29" t="str">
        <x:v>en</x:v>
      </x:c>
      <x:c r="J451" s="29" t="str">
        <x:v>线索源</x:v>
      </x:c>
      <x:c r="K451" s="29" t="str">
        <x:v>Open</x:v>
      </x:c>
      <x:c r="L451" s="29" t="str">
        <x:v>以频道更新为准</x:v>
      </x:c>
      <x:c r="M451" s="29" t="str">
        <x:v>https://www.youtube.com/channel/UC4QZ_LsYcvcq7qOsOhpAX4A</x:v>
      </x:c>
      <x:c r="N451" s="29" t="str">
        <x:v>https://www.youtube.com/feeds/videos.xml?channel_id=UC4QZ_LsYcvcq7qOsOhpAX4A</x:v>
      </x:c>
      <x:c r="O451" s="29" t="str">
        <x:v>有效</x:v>
      </x:c>
      <x:c r="P451" s="72" t="n">
        <x:v>3</x:v>
      </x:c>
      <x:c r="Q451" s="72" t="n">
        <x:v>3</x:v>
      </x:c>
      <x:c r="R451" s="72" t="n">
        <x:v>2</x:v>
      </x:c>
      <x:c r="S451" s="72" t="n">
        <x:v>4</x:v>
      </x:c>
      <x:c r="T451" s="72" t="n">
        <x:v>3</x:v>
      </x:c>
      <x:c r="U451" s="72" t="n">
        <x:v>5</x:v>
      </x:c>
      <x:c r="V451" s="72" t="n">
        <x:v>5</x:v>
      </x:c>
      <x:c r="W451" s="29" t="str">
        <x:v>视频观点拆解、概念科普、选题与案例线索</x:v>
      </x:c>
      <x:c r="X451" s="29" t="str">
        <x:v>高质量科技史/商业视频创作者，适合快速建立背景、观察叙事结构并发现可传播选题。</x:v>
      </x:c>
      <x:c r="Y451" s="29" t="str">
        <x:v>强叙事二手源；数字、地图、因果与引语必须回查论文、数据或官方材料。</x:v>
      </x:c>
      <x:c r="Z451" s="75" t="b">
        <x:v>0</x:v>
      </x:c>
      <x:c r="AA451" s="29"/>
      <x:c r="AB451" s="29" t="str">
        <x:v>YouTube 高质量创作者</x:v>
      </x:c>
      <x:c r="AC451" s="29" t="str">
        <x:v>https://www.youtube.com/@ColdFusion</x:v>
      </x:c>
      <x:c r="AD451" s="29" t="str">
        <x:v>2026-08-17</x:v>
      </x:c>
      <x:c r="AE451" s="29" t="n">
        <x:v>200</x:v>
      </x:c>
      <x:c r="AF451" s="29" t="str">
        <x:v>https://www.youtube.com/feeds/videos.xml?channel_id=UC4QZ_LsYcvcq7qOsOhpAX4A</x:v>
      </x:c>
      <x:c r="AG451" s="29" t="str"/>
    </x:row>
    <x:row r="452" ht="44" customHeight="1">
      <x:c r="A452" s="29" t="str">
        <x:v>SRC-448</x:v>
      </x:c>
      <x:c r="B452" s="29" t="str">
        <x:f>IF(C452&gt;=93,"S",IF(C452&gt;=90,"A",IF(C452&gt;=80,"B","C")))</x:f>
        <x:v>C</x:v>
      </x:c>
      <x:c r="C452" s="72" t="n">
        <x:f>ROUND((P452*0.20+Q452*0.18+R452*0.20+S452*0.15+T452*0.12+U452*0.10+V452*0.05)*20,0)</x:f>
        <x:v>65</x:v>
      </x:c>
      <x:c r="D452" s="29" t="str">
        <x:v>AI、科技与工程</x:v>
      </x:c>
      <x:c r="E452" s="29" t="str">
        <x:v>开发者/科技趋势</x:v>
      </x:c>
      <x:c r="F452" s="29" t="str">
        <x:v>Fireship</x:v>
      </x:c>
      <x:c r="G452" s="29" t="str"/>
      <x:c r="H452" s="29" t="str">
        <x:v>视频 / 频道</x:v>
      </x:c>
      <x:c r="I452" s="29" t="str">
        <x:v>en</x:v>
      </x:c>
      <x:c r="J452" s="29" t="str">
        <x:v>线索源</x:v>
      </x:c>
      <x:c r="K452" s="29" t="str">
        <x:v>Open</x:v>
      </x:c>
      <x:c r="L452" s="29" t="str">
        <x:v>以频道更新为准</x:v>
      </x:c>
      <x:c r="M452" s="29" t="str">
        <x:v>https://www.youtube.com/channel/UCsBjURrPoezykLs9EqgamOA</x:v>
      </x:c>
      <x:c r="N452" s="29" t="str">
        <x:v>https://www.youtube.com/feeds/videos.xml?channel_id=UCsBjURrPoezykLs9EqgamOA</x:v>
      </x:c>
      <x:c r="O452" s="29" t="str">
        <x:v>有效</x:v>
      </x:c>
      <x:c r="P452" s="72" t="n">
        <x:v>3</x:v>
      </x:c>
      <x:c r="Q452" s="72" t="n">
        <x:v>3</x:v>
      </x:c>
      <x:c r="R452" s="72" t="n">
        <x:v>2</x:v>
      </x:c>
      <x:c r="S452" s="72" t="n">
        <x:v>4</x:v>
      </x:c>
      <x:c r="T452" s="72" t="n">
        <x:v>3</x:v>
      </x:c>
      <x:c r="U452" s="72" t="n">
        <x:v>5</x:v>
      </x:c>
      <x:c r="V452" s="72" t="n">
        <x:v>5</x:v>
      </x:c>
      <x:c r="W452" s="29" t="str">
        <x:v>视频观点拆解、概念科普、选题与案例线索</x:v>
      </x:c>
      <x:c r="X452" s="29" t="str">
        <x:v>高质量开发者/科技趋势视频创作者，适合快速建立背景、观察叙事结构并发现可传播选题。</x:v>
      </x:c>
      <x:c r="Y452" s="29" t="str">
        <x:v>强叙事二手源；数字、地图、因果与引语必须回查论文、数据或官方材料。</x:v>
      </x:c>
      <x:c r="Z452" s="75" t="b">
        <x:v>0</x:v>
      </x:c>
      <x:c r="AA452" s="29"/>
      <x:c r="AB452" s="29" t="str">
        <x:v>YouTube 高质量创作者</x:v>
      </x:c>
      <x:c r="AC452" s="29" t="str">
        <x:v>https://www.youtube.com/@Fireship</x:v>
      </x:c>
      <x:c r="AD452" s="29" t="str">
        <x:v>2026-08-17</x:v>
      </x:c>
      <x:c r="AE452" s="29" t="n">
        <x:v>200</x:v>
      </x:c>
      <x:c r="AF452" s="29" t="str">
        <x:v>https://www.youtube.com/feeds/videos.xml?channel_id=UCsBjURrPoezykLs9EqgamOA</x:v>
      </x:c>
      <x:c r="AG452" s="29" t="str"/>
    </x:row>
    <x:row r="453" ht="44" customHeight="1">
      <x:c r="A453" s="29" t="str">
        <x:v>SRC-449</x:v>
      </x:c>
      <x:c r="B453" s="29" t="str">
        <x:f>IF(C453&gt;=93,"S",IF(C453&gt;=90,"A",IF(C453&gt;=80,"B","C")))</x:f>
        <x:v>C</x:v>
      </x:c>
      <x:c r="C453" s="72" t="n">
        <x:f>ROUND((P453*0.20+Q453*0.18+R453*0.20+S453*0.15+T453*0.12+U453*0.10+V453*0.05)*20,0)</x:f>
        <x:v>65</x:v>
      </x:c>
      <x:c r="D453" s="29" t="str">
        <x:v>AI、科技与工程</x:v>
      </x:c>
      <x:c r="E453" s="29" t="str">
        <x:v>软件架构与开发团队</x:v>
      </x:c>
      <x:c r="F453" s="29" t="str">
        <x:v>InfoQ</x:v>
      </x:c>
      <x:c r="G453" s="29" t="str"/>
      <x:c r="H453" s="29" t="str">
        <x:v>软件架构、云、AI新闻、访谈和演讲摘要</x:v>
      </x:c>
      <x:c r="I453" s="29" t="str">
        <x:v>en</x:v>
      </x:c>
      <x:c r="J453" s="29" t="str">
        <x:v>线索源</x:v>
      </x:c>
      <x:c r="K453" s="29" t="str">
        <x:v>Open</x:v>
      </x:c>
      <x:c r="L453" s="29" t="str">
        <x:v>每日多篇</x:v>
      </x:c>
      <x:c r="M453" s="29" t="str">
        <x:v>https://www.infoq.com/</x:v>
      </x:c>
      <x:c r="N453" s="29" t="str">
        <x:v>https://feed.infoq.com/</x:v>
      </x:c>
      <x:c r="O453" s="29" t="str">
        <x:v>有效</x:v>
      </x:c>
      <x:c r="P453" s="72" t="n">
        <x:v>3</x:v>
      </x:c>
      <x:c r="Q453" s="72" t="n">
        <x:v>3</x:v>
      </x:c>
      <x:c r="R453" s="72" t="n">
        <x:v>2</x:v>
      </x:c>
      <x:c r="S453" s="72" t="n">
        <x:v>4</x:v>
      </x:c>
      <x:c r="T453" s="72" t="n">
        <x:v>3</x:v>
      </x:c>
      <x:c r="U453" s="72" t="n">
        <x:v>5</x:v>
      </x:c>
      <x:c r="V453" s="72" t="n">
        <x:v>5</x:v>
      </x:c>
      <x:c r="W453" s="29" t="str">
        <x:v>工程趋势、会议精华、架构案例</x:v>
      </x:c>
      <x:c r="X453" s="29" t="str">
        <x:v>发布快，通常会链接原始演讲、项目和文档。</x:v>
      </x:c>
      <x:c r="Y453" s="29" t="str">
        <x:v>Feed端点已核验；正式引用优先回到其链接的项目或会议材料。</x:v>
      </x:c>
      <x:c r="Z453" s="75" t="b">
        <x:v>0</x:v>
      </x:c>
      <x:c r="AA453" s="29"/>
      <x:c r="AB453" s="29" t="str">
        <x:v>扩展调研：科技、科学与数据</x:v>
      </x:c>
      <x:c r="AC453" s="29" t="str">
        <x:v>https://feed.infoq.com/</x:v>
      </x:c>
      <x:c r="AD453" s="29" t="str">
        <x:v>2026-08-17</x:v>
      </x:c>
      <x:c r="AE453" s="29" t="n">
        <x:v>200</x:v>
      </x:c>
      <x:c r="AF453" s="29" t="str">
        <x:v>https://feed.infoq.com/</x:v>
      </x:c>
      <x:c r="AG453" s="29" t="str"/>
    </x:row>
    <x:row r="454" ht="44" customHeight="1">
      <x:c r="A454" s="29" t="str">
        <x:v>SRC-450</x:v>
      </x:c>
      <x:c r="B454" s="29" t="str">
        <x:f>IF(C454&gt;=93,"S",IF(C454&gt;=90,"A",IF(C454&gt;=80,"B","C")))</x:f>
        <x:v>C</x:v>
      </x:c>
      <x:c r="C454" s="72" t="n">
        <x:f>ROUND((P454*0.20+Q454*0.18+R454*0.20+S454*0.15+T454*0.12+U454*0.10+V454*0.05)*20,0)</x:f>
        <x:v>65</x:v>
      </x:c>
      <x:c r="D454" s="29" t="str">
        <x:v>AI、科技与工程</x:v>
      </x:c>
      <x:c r="E454" s="29" t="str">
        <x:v>开源科学与数字权利快讯</x:v>
      </x:c>
      <x:c r="F454" s="29" t="str">
        <x:v>Solidot</x:v>
      </x:c>
      <x:c r="G454" s="29" t="str"/>
      <x:c r="H454" s="29" t="str">
        <x:v>开源、科学、互联网和数字权利短讯聚合</x:v>
      </x:c>
      <x:c r="I454" s="29" t="str">
        <x:v>zh-CN</x:v>
      </x:c>
      <x:c r="J454" s="29" t="str">
        <x:v>线索源</x:v>
      </x:c>
      <x:c r="K454" s="29" t="str">
        <x:v>Open</x:v>
      </x:c>
      <x:c r="L454" s="29" t="str">
        <x:v>每日多篇</x:v>
      </x:c>
      <x:c r="M454" s="29" t="str">
        <x:v>https://www.solidot.org/</x:v>
      </x:c>
      <x:c r="N454" s="29" t="str">
        <x:v>https://www.solidot.org/index.rss</x:v>
      </x:c>
      <x:c r="O454" s="29" t="str">
        <x:v>有效</x:v>
      </x:c>
      <x:c r="P454" s="72" t="n">
        <x:v>3</x:v>
      </x:c>
      <x:c r="Q454" s="72" t="n">
        <x:v>3</x:v>
      </x:c>
      <x:c r="R454" s="72" t="n">
        <x:v>2</x:v>
      </x:c>
      <x:c r="S454" s="72" t="n">
        <x:v>4</x:v>
      </x:c>
      <x:c r="T454" s="72" t="n">
        <x:v>3</x:v>
      </x:c>
      <x:c r="U454" s="72" t="n">
        <x:v>5</x:v>
      </x:c>
      <x:c r="V454" s="72" t="n">
        <x:v>5</x:v>
      </x:c>
      <x:c r="W454" s="29" t="str">
        <x:v>科技快讯、开源新闻、争议讨论</x:v>
      </x:c>
      <x:c r="X454" s="29" t="str">
        <x:v>中文技术线索覆盖快，适合作为Slashdot式发现层。</x:v>
      </x:c>
      <x:c r="Y454" s="29" t="str">
        <x:v>RSS端点已核验；发布时应回链短讯引用的原始来源。</x:v>
      </x:c>
      <x:c r="Z454" s="75" t="b">
        <x:v>0</x:v>
      </x:c>
      <x:c r="AA454" s="29"/>
      <x:c r="AB454" s="29" t="str">
        <x:v>扩展调研：科技、科学与数据</x:v>
      </x:c>
      <x:c r="AC454" s="29" t="str">
        <x:v>https://www.solidot.org/index.rss</x:v>
      </x:c>
      <x:c r="AD454" s="29" t="str">
        <x:v>2026-08-17</x:v>
      </x:c>
      <x:c r="AE454" s="29" t="n">
        <x:v>200</x:v>
      </x:c>
      <x:c r="AF454" s="29" t="str">
        <x:v>https://www.solidot.org/index.rss</x:v>
      </x:c>
      <x:c r="AG454" s="29" t="str"/>
    </x:row>
    <x:row r="455" ht="44" customHeight="1">
      <x:c r="A455" s="29" t="str">
        <x:v>SRC-451</x:v>
      </x:c>
      <x:c r="B455" s="29" t="str">
        <x:f>IF(C455&gt;=93,"S",IF(C455&gt;=90,"A",IF(C455&gt;=80,"B","C")))</x:f>
        <x:v>C</x:v>
      </x:c>
      <x:c r="C455" s="72" t="n">
        <x:f>ROUND((P455*0.20+Q455*0.18+R455*0.20+S455*0.15+T455*0.12+U455*0.10+V455*0.05)*20,0)</x:f>
        <x:v>65</x:v>
      </x:c>
      <x:c r="D455" s="29" t="str">
        <x:v>AI、科技与工程</x:v>
      </x:c>
      <x:c r="E455" s="29" t="str">
        <x:v>科技、编程与互联网观察</x:v>
      </x:c>
      <x:c r="F455" s="29" t="str">
        <x:v>阮一峰的网络日志</x:v>
      </x:c>
      <x:c r="G455" s="29" t="str"/>
      <x:c r="H455" s="29" t="str">
        <x:v>原创文章、科技爱好者周刊、工具与项目链接</x:v>
      </x:c>
      <x:c r="I455" s="29" t="str">
        <x:v>zh-CN</x:v>
      </x:c>
      <x:c r="J455" s="29" t="str">
        <x:v>线索源</x:v>
      </x:c>
      <x:c r="K455" s="29" t="str">
        <x:v>Open</x:v>
      </x:c>
      <x:c r="L455" s="29" t="str">
        <x:v>周更为主</x:v>
      </x:c>
      <x:c r="M455" s="29" t="str">
        <x:v>https://www.ruanyifeng.com/blog/</x:v>
      </x:c>
      <x:c r="N455" s="29" t="str">
        <x:v>https://www.ruanyifeng.com/blog/atom.xml</x:v>
      </x:c>
      <x:c r="O455" s="29" t="str">
        <x:v>有效</x:v>
      </x:c>
      <x:c r="P455" s="72" t="n">
        <x:v>3</x:v>
      </x:c>
      <x:c r="Q455" s="72" t="n">
        <x:v>3</x:v>
      </x:c>
      <x:c r="R455" s="72" t="n">
        <x:v>2</x:v>
      </x:c>
      <x:c r="S455" s="72" t="n">
        <x:v>4</x:v>
      </x:c>
      <x:c r="T455" s="72" t="n">
        <x:v>3</x:v>
      </x:c>
      <x:c r="U455" s="72" t="n">
        <x:v>5</x:v>
      </x:c>
      <x:c r="V455" s="72" t="n">
        <x:v>5</x:v>
      </x:c>
      <x:c r="W455" s="29" t="str">
        <x:v>中文工具清单、科技趋势、学习资源；工具清单、趋势解释和开发者资源。</x:v>
      </x:c>
      <x:c r="X455" s="29" t="str">
        <x:v>中文技术写作稳定，周刊能快速发现开源项目、开发工具和互联网趋势。</x:v>
      </x:c>
      <x:c r="Y455" s="29" t="str">
        <x:v>Atom端点已核验；正式发帖应优先引用周刊链接的原始资料。；2026-08-17：Atom 端点返回 application/xml。</x:v>
      </x:c>
      <x:c r="Z455" s="75" t="b">
        <x:v>0</x:v>
      </x:c>
      <x:c r="AA455" s="29"/>
      <x:c r="AB455" s="29" t="str">
        <x:v>扩展调研：科技、科学与数据；扩展调研：人文、历史、哲学与设计</x:v>
      </x:c>
      <x:c r="AC455" s="29" t="str">
        <x:v>https://www.ruanyifeng.com/blog/atom.xml；https://www.ruanyifeng.com/blog/</x:v>
      </x:c>
      <x:c r="AD455" s="29" t="str">
        <x:v>2026-08-17</x:v>
      </x:c>
      <x:c r="AE455" s="29" t="n">
        <x:v>200</x:v>
      </x:c>
      <x:c r="AF455" s="29" t="str">
        <x:v>https://www.ruanyifeng.com/blog/atom.xml</x:v>
      </x:c>
      <x:c r="AG455" s="29" t="str"/>
    </x:row>
    <x:row r="456" ht="44" customHeight="1">
      <x:c r="A456" s="29" t="str">
        <x:v>SRC-452</x:v>
      </x:c>
      <x:c r="B456" s="29" t="str">
        <x:f>IF(C456&gt;=93,"S",IF(C456&gt;=90,"A",IF(C456&gt;=80,"B","C")))</x:f>
        <x:v>C</x:v>
      </x:c>
      <x:c r="C456" s="72" t="n">
        <x:f>ROUND((P456*0.20+Q456*0.18+R456*0.20+S456*0.15+T456*0.12+U456*0.10+V456*0.05)*20,0)</x:f>
        <x:v>65</x:v>
      </x:c>
      <x:c r="D456" s="29" t="str">
        <x:v>人文与跨学科</x:v>
      </x:c>
      <x:c r="E456" s="29" t="str">
        <x:v>视觉纪录/国际</x:v>
      </x:c>
      <x:c r="F456" s="29" t="str">
        <x:v>fern</x:v>
      </x:c>
      <x:c r="G456" s="29" t="str"/>
      <x:c r="H456" s="29" t="str">
        <x:v>视频 / 频道</x:v>
      </x:c>
      <x:c r="I456" s="29" t="str">
        <x:v>en</x:v>
      </x:c>
      <x:c r="J456" s="29" t="str">
        <x:v>线索源</x:v>
      </x:c>
      <x:c r="K456" s="29" t="str">
        <x:v>Open</x:v>
      </x:c>
      <x:c r="L456" s="29" t="str">
        <x:v>以频道更新为准</x:v>
      </x:c>
      <x:c r="M456" s="29" t="str">
        <x:v>https://www.youtube.com/channel/UCODHrzPMGbNv67e84WDZhQQ</x:v>
      </x:c>
      <x:c r="N456" s="29" t="str">
        <x:v>https://www.youtube.com/feeds/videos.xml?channel_id=UCODHrzPMGbNv67e84WDZhQQ</x:v>
      </x:c>
      <x:c r="O456" s="29" t="str">
        <x:v>有效</x:v>
      </x:c>
      <x:c r="P456" s="72" t="n">
        <x:v>3</x:v>
      </x:c>
      <x:c r="Q456" s="72" t="n">
        <x:v>3</x:v>
      </x:c>
      <x:c r="R456" s="72" t="n">
        <x:v>2</x:v>
      </x:c>
      <x:c r="S456" s="72" t="n">
        <x:v>4</x:v>
      </x:c>
      <x:c r="T456" s="72" t="n">
        <x:v>3</x:v>
      </x:c>
      <x:c r="U456" s="72" t="n">
        <x:v>5</x:v>
      </x:c>
      <x:c r="V456" s="72" t="n">
        <x:v>5</x:v>
      </x:c>
      <x:c r="W456" s="29" t="str">
        <x:v>视频观点拆解、概念科普、选题与案例线索</x:v>
      </x:c>
      <x:c r="X456" s="29" t="str">
        <x:v>高质量视觉纪录/国际视频创作者，适合快速建立背景、观察叙事结构并发现可传播选题。</x:v>
      </x:c>
      <x:c r="Y456" s="29" t="str">
        <x:v>强叙事二手源；数字、地图、因果与引语必须回查论文、数据或官方材料。</x:v>
      </x:c>
      <x:c r="Z456" s="75" t="b">
        <x:v>0</x:v>
      </x:c>
      <x:c r="AA456" s="29"/>
      <x:c r="AB456" s="29" t="str">
        <x:v>YouTube 高质量创作者</x:v>
      </x:c>
      <x:c r="AC456" s="29" t="str">
        <x:v>https://www.youtube.com/@fern-tv</x:v>
      </x:c>
      <x:c r="AD456" s="29" t="str">
        <x:v>2026-08-17</x:v>
      </x:c>
      <x:c r="AE456" s="29" t="n">
        <x:v>200</x:v>
      </x:c>
      <x:c r="AF456" s="29" t="str">
        <x:v>https://www.youtube.com/feeds/videos.xml?channel_id=UCODHrzPMGbNv67e84WDZhQQ</x:v>
      </x:c>
      <x:c r="AG456" s="29" t="str"/>
    </x:row>
    <x:row r="457" ht="44" customHeight="1">
      <x:c r="A457" s="29" t="str">
        <x:v>SRC-453</x:v>
      </x:c>
      <x:c r="B457" s="29" t="str">
        <x:f>IF(C457&gt;=93,"S",IF(C457&gt;=90,"A",IF(C457&gt;=80,"B","C")))</x:f>
        <x:v>C</x:v>
      </x:c>
      <x:c r="C457" s="72" t="n">
        <x:f>ROUND((P457*0.20+Q457*0.18+R457*0.20+S457*0.15+T457*0.12+U457*0.10+V457*0.05)*20,0)</x:f>
        <x:v>65</x:v>
      </x:c>
      <x:c r="D457" s="29" t="str">
        <x:v>健康与福祉</x:v>
      </x:c>
      <x:c r="E457" s="29" t="str">
        <x:v>心血管健康与学会声明</x:v>
      </x:c>
      <x:c r="F457" s="29" t="str">
        <x:v>American Heart Association Newsroom</x:v>
      </x:c>
      <x:c r="G457" s="29" t="str"/>
      <x:c r="H457" s="29" t="str">
        <x:v>心血管研究新闻、科学声明、指南和公共健康传播</x:v>
      </x:c>
      <x:c r="I457" s="29" t="str">
        <x:v>en</x:v>
      </x:c>
      <x:c r="J457" s="29" t="str">
        <x:v>线索源</x:v>
      </x:c>
      <x:c r="K457" s="29" t="str">
        <x:v>Open</x:v>
      </x:c>
      <x:c r="L457" s="29" t="str">
        <x:v>每日多次</x:v>
      </x:c>
      <x:c r="M457" s="29" t="str">
        <x:v>https://newsroom.heart.org/</x:v>
      </x:c>
      <x:c r="N457" s="29" t="str">
        <x:v>https://newsroom.heart.org/rss.xml</x:v>
      </x:c>
      <x:c r="O457" s="29" t="str">
        <x:v>有效</x:v>
      </x:c>
      <x:c r="P457" s="72" t="n">
        <x:v>3</x:v>
      </x:c>
      <x:c r="Q457" s="72" t="n">
        <x:v>3</x:v>
      </x:c>
      <x:c r="R457" s="72" t="n">
        <x:v>2</x:v>
      </x:c>
      <x:c r="S457" s="72" t="n">
        <x:v>4</x:v>
      </x:c>
      <x:c r="T457" s="72" t="n">
        <x:v>3</x:v>
      </x:c>
      <x:c r="U457" s="72" t="n">
        <x:v>5</x:v>
      </x:c>
      <x:c r="V457" s="72" t="n">
        <x:v>5</x:v>
      </x:c>
      <x:c r="W457" s="29" t="str">
        <x:v>心血管风险、指南变化、研究快讯、生活方式证据</x:v>
      </x:c>
      <x:c r="X457" s="29" t="str">
        <x:v>连接学会指南、科学声明和最新研究，适合高频心血管健康议题。</x:v>
      </x:c>
      <x:c r="Y457" s="29" t="str">
        <x:v>2026-08-17 实测主页 200，官方 RSS 可解析。新闻稿应继续追到科学声明、指南或论文；风险信息不替代个体医疗建议。</x:v>
      </x:c>
      <x:c r="Z457" s="75" t="b">
        <x:v>0</x:v>
      </x:c>
      <x:c r="AA457" s="29"/>
      <x:c r="AB457" s="29" t="str">
        <x:v>扩展调研：健康与福祉</x:v>
      </x:c>
      <x:c r="AC457" s="29" t="str">
        <x:v>https://newsroom.heart.org/</x:v>
      </x:c>
      <x:c r="AD457" s="29" t="str">
        <x:v>2026-08-17</x:v>
      </x:c>
      <x:c r="AE457" s="29" t="n">
        <x:v>200</x:v>
      </x:c>
      <x:c r="AF457" s="29" t="str">
        <x:v>https://newsroom.heart.org/rss.xml</x:v>
      </x:c>
      <x:c r="AG457" s="29" t="str"/>
    </x:row>
    <x:row r="458" ht="44" customHeight="1">
      <x:c r="A458" s="29" t="str">
        <x:v>SRC-454</x:v>
      </x:c>
      <x:c r="B458" s="29" t="str">
        <x:f>IF(C458&gt;=93,"S",IF(C458&gt;=90,"A",IF(C458&gt;=80,"B","C")))</x:f>
        <x:v>C</x:v>
      </x:c>
      <x:c r="C458" s="72" t="n">
        <x:f>ROUND((P458*0.20+Q458*0.18+R458*0.20+S458*0.15+T458*0.12+U458*0.10+V458*0.05)*20,0)</x:f>
        <x:v>65</x:v>
      </x:c>
      <x:c r="D458" s="29" t="str">
        <x:v>健康与福祉</x:v>
      </x:c>
      <x:c r="E458" s="29" t="str">
        <x:v>循证医学动态</x:v>
      </x:c>
      <x:c r="F458" s="29" t="str">
        <x:v>Cochrane News</x:v>
      </x:c>
      <x:c r="G458" s="29" t="str"/>
      <x:c r="H458" s="29" t="str">
        <x:v>系统综述动态、证据方法、政策与机构新闻</x:v>
      </x:c>
      <x:c r="I458" s="29" t="str">
        <x:v>en</x:v>
      </x:c>
      <x:c r="J458" s="29" t="str">
        <x:v>线索源</x:v>
      </x:c>
      <x:c r="K458" s="29" t="str">
        <x:v>Open</x:v>
      </x:c>
      <x:c r="L458" s="29" t="str">
        <x:v>每周约 1 至 4 篇</x:v>
      </x:c>
      <x:c r="M458" s="29" t="str">
        <x:v>https://www.cochrane.org/about-us/news</x:v>
      </x:c>
      <x:c r="N458" s="29" t="str">
        <x:v>https://www.cochrane.org/about-us/news/all/rss</x:v>
      </x:c>
      <x:c r="O458" s="29" t="str">
        <x:v>有效</x:v>
      </x:c>
      <x:c r="P458" s="72" t="n">
        <x:v>3</x:v>
      </x:c>
      <x:c r="Q458" s="72" t="n">
        <x:v>3</x:v>
      </x:c>
      <x:c r="R458" s="72" t="n">
        <x:v>2</x:v>
      </x:c>
      <x:c r="S458" s="72" t="n">
        <x:v>4</x:v>
      </x:c>
      <x:c r="T458" s="72" t="n">
        <x:v>3</x:v>
      </x:c>
      <x:c r="U458" s="72" t="n">
        <x:v>5</x:v>
      </x:c>
      <x:c r="V458" s="72" t="n">
        <x:v>5</x:v>
      </x:c>
      <x:c r="W458" s="29" t="str">
        <x:v>系统综述速递、证据等级、医疗误区纠偏</x:v>
      </x:c>
      <x:c r="X458" s="29" t="str">
        <x:v>用来追踪高等级证据的新综述和循证医学方法更新。</x:v>
      </x:c>
      <x:c r="Y458" s="29" t="str">
        <x:v>2026-08-17 实测主页 200，官方 RSS 可解析。新闻稿仅是入口，关键结论应链接对应 Cochrane Review；不替代个体医疗建议。</x:v>
      </x:c>
      <x:c r="Z458" s="75" t="b">
        <x:v>0</x:v>
      </x:c>
      <x:c r="AA458" s="29"/>
      <x:c r="AB458" s="29" t="str">
        <x:v>扩展调研：健康与福祉</x:v>
      </x:c>
      <x:c r="AC458" s="29" t="str">
        <x:v>https://www.cochrane.org/about-us/news</x:v>
      </x:c>
      <x:c r="AD458" s="29" t="str">
        <x:v>2026-08-17</x:v>
      </x:c>
      <x:c r="AE458" s="29" t="n">
        <x:v>200</x:v>
      </x:c>
      <x:c r="AF458" s="29" t="str">
        <x:v>https://www.cochrane.org/about-us/news/all/rss</x:v>
      </x:c>
      <x:c r="AG458" s="29" t="str"/>
    </x:row>
    <x:row r="459" ht="44" customHeight="1">
      <x:c r="A459" s="29" t="str">
        <x:v>SRC-455</x:v>
      </x:c>
      <x:c r="B459" s="29" t="str">
        <x:f>IF(C459&gt;=93,"S",IF(C459&gt;=90,"A",IF(C459&gt;=80,"B","C")))</x:f>
        <x:v>C</x:v>
      </x:c>
      <x:c r="C459" s="72" t="n">
        <x:f>ROUND((P459*0.20+Q459*0.18+R459*0.20+S459*0.15+T459*0.12+U459*0.10+V459*0.05)*20,0)</x:f>
        <x:v>65</x:v>
      </x:c>
      <x:c r="D459" s="29" t="str">
        <x:v>健康与福祉</x:v>
      </x:c>
      <x:c r="E459" s="29" t="str">
        <x:v>医学科研</x:v>
      </x:c>
      <x:c r="F459" s="29" t="str">
        <x:v>NIH News Releases</x:v>
      </x:c>
      <x:c r="G459" s="29" t="str"/>
      <x:c r="H459" s="29" t="str">
        <x:v>NIH 资助研究、临床试验、科研计划与机构公告</x:v>
      </x:c>
      <x:c r="I459" s="29" t="str">
        <x:v>en</x:v>
      </x:c>
      <x:c r="J459" s="29" t="str">
        <x:v>线索源</x:v>
      </x:c>
      <x:c r="K459" s="29" t="str">
        <x:v>Open</x:v>
      </x:c>
      <x:c r="L459" s="29" t="str">
        <x:v>每周多次</x:v>
      </x:c>
      <x:c r="M459" s="29" t="str">
        <x:v>https://www.nih.gov/news-events/news-releases</x:v>
      </x:c>
      <x:c r="N459" s="29" t="str">
        <x:v>https://www.nih.gov/news-events/news-releases/rss.xml</x:v>
      </x:c>
      <x:c r="O459" s="29" t="str">
        <x:v>受限/反爬</x:v>
      </x:c>
      <x:c r="P459" s="72" t="n">
        <x:v>3</x:v>
      </x:c>
      <x:c r="Q459" s="72" t="n">
        <x:v>3</x:v>
      </x:c>
      <x:c r="R459" s="72" t="n">
        <x:v>2</x:v>
      </x:c>
      <x:c r="S459" s="72" t="n">
        <x:v>4</x:v>
      </x:c>
      <x:c r="T459" s="72" t="n">
        <x:v>3</x:v>
      </x:c>
      <x:c r="U459" s="72" t="n">
        <x:v>5</x:v>
      </x:c>
      <x:c r="V459" s="72" t="n">
        <x:v>5</x:v>
      </x:c>
      <x:c r="W459" s="29" t="str">
        <x:v>新研究速读、科研资助、临床进展</x:v>
      </x:c>
      <x:c r="X459" s="29" t="str">
        <x:v>可快速定位美国国家级生物医学研究的一手新闻，并回溯论文或项目。</x:v>
      </x:c>
      <x:c r="Y459" s="29" t="str">
        <x:v>官方页面与 RSS 已确认；2026-08-17 自动请求返回 403 反爬页，浏览器检索可达。发帖应继续追到论文或试验记录；不替代个体医疗建议。；端点未返回可识别的 RSS/Atom XML；可能是反爬、登录页或旧地址。</x:v>
      </x:c>
      <x:c r="Z459" s="75" t="b">
        <x:v>0</x:v>
      </x:c>
      <x:c r="AA459" s="29"/>
      <x:c r="AB459" s="29" t="str">
        <x:v>扩展调研：健康与福祉</x:v>
      </x:c>
      <x:c r="AC459" s="29" t="str">
        <x:v>https://www.nih.gov/news-events/news-releases</x:v>
      </x:c>
      <x:c r="AD459" s="29" t="str">
        <x:v>2026-08-17</x:v>
      </x:c>
      <x:c r="AE459" s="29" t="n">
        <x:v>403</x:v>
      </x:c>
      <x:c r="AF459" s="29" t="str">
        <x:v>https://www.nih.gov/news-events/news-releases/rss.xml</x:v>
      </x:c>
      <x:c r="AG459" s="29" t="str"/>
    </x:row>
    <x:row r="460" ht="44" customHeight="1">
      <x:c r="A460" s="29" t="str">
        <x:v>SRC-456</x:v>
      </x:c>
      <x:c r="B460" s="29" t="str">
        <x:f>IF(C460&gt;=93,"S",IF(C460&gt;=90,"A",IF(C460&gt;=80,"B","C")))</x:f>
        <x:v>C</x:v>
      </x:c>
      <x:c r="C460" s="72" t="n">
        <x:f>ROUND((P460*0.20+Q460*0.18+R460*0.20+S460*0.15+T460*0.12+U460*0.10+V460*0.05)*20,0)</x:f>
        <x:v>65</x:v>
      </x:c>
      <x:c r="D460" s="29" t="str">
        <x:v>健康与福祉</x:v>
      </x:c>
      <x:c r="E460" s="29" t="str">
        <x:v>精神医学专业新闻</x:v>
      </x:c>
      <x:c r="F460" s="29" t="str">
        <x:v>Psychiatric News</x:v>
      </x:c>
      <x:c r="G460" s="29" t="str"/>
      <x:c r="H460" s="29" t="str">
        <x:v>美国精神医学学会新闻、政策、临床研究与专业实践</x:v>
      </x:c>
      <x:c r="I460" s="29" t="str">
        <x:v>en</x:v>
      </x:c>
      <x:c r="J460" s="29" t="str">
        <x:v>线索源</x:v>
      </x:c>
      <x:c r="K460" s="29" t="str">
        <x:v>Mixed</x:v>
      </x:c>
      <x:c r="L460" s="29" t="str">
        <x:v>每周多次</x:v>
      </x:c>
      <x:c r="M460" s="29" t="str">
        <x:v>https://psychiatryonline.org/journal/pn</x:v>
      </x:c>
      <x:c r="N460" s="29" t="str">
        <x:v>https://psychiatryonline.org/action/showFeed?jc=pn&amp;type=etoc&amp;feed=rss</x:v>
      </x:c>
      <x:c r="O460" s="29" t="str">
        <x:v>有效</x:v>
      </x:c>
      <x:c r="P460" s="72" t="n">
        <x:v>3</x:v>
      </x:c>
      <x:c r="Q460" s="72" t="n">
        <x:v>3</x:v>
      </x:c>
      <x:c r="R460" s="72" t="n">
        <x:v>2</x:v>
      </x:c>
      <x:c r="S460" s="72" t="n">
        <x:v>4</x:v>
      </x:c>
      <x:c r="T460" s="72" t="n">
        <x:v>3</x:v>
      </x:c>
      <x:c r="U460" s="72" t="n">
        <x:v>5</x:v>
      </x:c>
      <x:c r="V460" s="72" t="n">
        <x:v>5</x:v>
      </x:c>
      <x:c r="W460" s="29" t="str">
        <x:v>政策变化、临床实践、专业观点与研究线索</x:v>
      </x:c>
      <x:c r="X460" s="29" t="str">
        <x:v>了解精神医学政策和专业讨论的高质量线索源，可回溯到指南与论文。</x:v>
      </x:c>
      <x:c r="Y460" s="29" t="str">
        <x:v>2026-08-17 官方 RSS 返回可解析 XML；主页自动请求触发 403。新闻报道应继续链接原论文或 APA 指南；不用于自我诊断或个体治疗建议。</x:v>
      </x:c>
      <x:c r="Z460" s="75" t="b">
        <x:v>0</x:v>
      </x:c>
      <x:c r="AA460" s="29"/>
      <x:c r="AB460" s="29" t="str">
        <x:v>扩展调研：健康与福祉</x:v>
      </x:c>
      <x:c r="AC460" s="29" t="str">
        <x:v>https://psychiatryonline.org/journal/pn</x:v>
      </x:c>
      <x:c r="AD460" s="29" t="str">
        <x:v>2026-08-17</x:v>
      </x:c>
      <x:c r="AE460" s="29" t="n">
        <x:v>200</x:v>
      </x:c>
      <x:c r="AF460" s="29" t="str">
        <x:v>https://psychiatryonline.org/action/showFeed?jc=pn&amp;type=etoc&amp;feed=rss</x:v>
      </x:c>
      <x:c r="AG460" s="29" t="str"/>
    </x:row>
    <x:row r="461" ht="44" customHeight="1">
      <x:c r="A461" s="29" t="str">
        <x:v>SRC-457</x:v>
      </x:c>
      <x:c r="B461" s="29" t="str">
        <x:f>IF(C461&gt;=93,"S",IF(C461&gt;=90,"A",IF(C461&gt;=80,"B","C")))</x:f>
        <x:v>C</x:v>
      </x:c>
      <x:c r="C461" s="72" t="n">
        <x:f>ROUND((P461*0.20+Q461*0.18+R461*0.20+S461*0.15+T461*0.12+U461*0.10+V461*0.05)*20,0)</x:f>
        <x:v>65</x:v>
      </x:c>
      <x:c r="D461" s="29" t="str">
        <x:v>历史与考古</x:v>
      </x:c>
      <x:c r="E461" s="29" t="str">
        <x:v>中世纪史与手稿</x:v>
      </x:c>
      <x:c r="F461" s="29" t="str">
        <x:v>Medievalists.net</x:v>
      </x:c>
      <x:c r="G461" s="29" t="str"/>
      <x:c r="H461" s="29" t="str">
        <x:v>论文线索、考古新闻、手稿与历史故事</x:v>
      </x:c>
      <x:c r="I461" s="29" t="str">
        <x:v>en</x:v>
      </x:c>
      <x:c r="J461" s="29" t="str">
        <x:v>线索源</x:v>
      </x:c>
      <x:c r="K461" s="29" t="str">
        <x:v>Open</x:v>
      </x:c>
      <x:c r="L461" s="29" t="str">
        <x:v>每日更新</x:v>
      </x:c>
      <x:c r="M461" s="29" t="str">
        <x:v>https://www.medievalists.net/</x:v>
      </x:c>
      <x:c r="N461" s="29" t="str">
        <x:v>https://www.medievalists.net/feed/</x:v>
      </x:c>
      <x:c r="O461" s="29" t="str">
        <x:v>有效</x:v>
      </x:c>
      <x:c r="P461" s="72" t="n">
        <x:v>3</x:v>
      </x:c>
      <x:c r="Q461" s="72" t="n">
        <x:v>3</x:v>
      </x:c>
      <x:c r="R461" s="72" t="n">
        <x:v>2</x:v>
      </x:c>
      <x:c r="S461" s="72" t="n">
        <x:v>4</x:v>
      </x:c>
      <x:c r="T461" s="72" t="n">
        <x:v>3</x:v>
      </x:c>
      <x:c r="U461" s="72" t="n">
        <x:v>5</x:v>
      </x:c>
      <x:c r="V461" s="72" t="n">
        <x:v>5</x:v>
      </x:c>
      <x:c r="W461" s="29" t="str">
        <x:v>打破黑暗中世纪刻板印象和手稿视觉帖。</x:v>
      </x:c>
      <x:c r="X461" s="29" t="str">
        <x:v>垂直覆盖中世纪研究，论文、展览、考古和手稿素材密度高。</x:v>
      </x:c>
      <x:c r="Y461" s="29" t="str">
        <x:v>2026-08-17：Feed 端点返回 application/rss+xml。</x:v>
      </x:c>
      <x:c r="Z461" s="75" t="b">
        <x:v>0</x:v>
      </x:c>
      <x:c r="AA461" s="29"/>
      <x:c r="AB461" s="29" t="str">
        <x:v>扩展调研：人文、历史、哲学与设计</x:v>
      </x:c>
      <x:c r="AC461" s="29" t="str">
        <x:v>https://www.medievalists.net/</x:v>
      </x:c>
      <x:c r="AD461" s="29" t="str">
        <x:v>2026-08-17</x:v>
      </x:c>
      <x:c r="AE461" s="29" t="n">
        <x:v>200</x:v>
      </x:c>
      <x:c r="AF461" s="29" t="str">
        <x:v>https://www.medievalists.net/feed/</x:v>
      </x:c>
      <x:c r="AG461" s="29" t="str"/>
    </x:row>
    <x:row r="462" ht="44" customHeight="1">
      <x:c r="A462" s="29" t="str">
        <x:v>SRC-458</x:v>
      </x:c>
      <x:c r="B462" s="29" t="str">
        <x:f>IF(C462&gt;=93,"S",IF(C462&gt;=90,"A",IF(C462&gt;=80,"B","C")))</x:f>
        <x:v>C</x:v>
      </x:c>
      <x:c r="C462" s="72" t="n">
        <x:f>ROUND((P462*0.20+Q462*0.18+R462*0.20+S462*0.15+T462*0.12+U462*0.10+V462*0.05)*20,0)</x:f>
        <x:v>65</x:v>
      </x:c>
      <x:c r="D462" s="29" t="str">
        <x:v>历史与考古</x:v>
      </x:c>
      <x:c r="E462" s="29" t="str">
        <x:v>协作校对原典</x:v>
      </x:c>
      <x:c r="F462" s="29" t="str">
        <x:v>Wikisource</x:v>
      </x:c>
      <x:c r="G462" s="29" t="str"/>
      <x:c r="H462" s="29" t="str">
        <x:v>开放原典平台</x:v>
      </x:c>
      <x:c r="I462" s="29" t="str">
        <x:v>multilingual</x:v>
      </x:c>
      <x:c r="J462" s="29" t="str">
        <x:v>线索源</x:v>
      </x:c>
      <x:c r="K462" s="29" t="str">
        <x:v>Open</x:v>
      </x:c>
      <x:c r="L462" s="29" t="str">
        <x:v>持续更新</x:v>
      </x:c>
      <x:c r="M462" s="29" t="str">
        <x:v>https://wikisource.org/</x:v>
      </x:c>
      <x:c r="N462" s="29" t="str"/>
      <x:c r="O462" s="29" t="str">
        <x:v>无RSS/API入口</x:v>
      </x:c>
      <x:c r="P462" s="72" t="n">
        <x:v>3</x:v>
      </x:c>
      <x:c r="Q462" s="72" t="n">
        <x:v>3</x:v>
      </x:c>
      <x:c r="R462" s="72" t="n">
        <x:v>2</x:v>
      </x:c>
      <x:c r="S462" s="72" t="n">
        <x:v>4</x:v>
      </x:c>
      <x:c r="T462" s="72" t="n">
        <x:v>3</x:v>
      </x:c>
      <x:c r="U462" s="72" t="n">
        <x:v>5</x:v>
      </x:c>
      <x:c r="V462" s="72" t="n">
        <x:v>5</x:v>
      </x:c>
      <x:c r="W462" s="29" t="str">
        <x:v>原典线索、版本对照</x:v>
      </x:c>
      <x:c r="X462" s="29" t="str">
        <x:v>多语言公共领域文本与扫描页对照，适合快速定位。</x:v>
      </x:c>
      <x:c r="Y462" s="29" t="str">
        <x:v>协作文本可能有校对错误；重要引文回查扫描本或权威版本。</x:v>
      </x:c>
      <x:c r="Z462" s="75" t="b">
        <x:v>0</x:v>
      </x:c>
      <x:c r="AA462" s="29"/>
      <x:c r="AB462" s="29" t="str">
        <x:v>扩展调研：数据库、资料库与平台</x:v>
      </x:c>
      <x:c r="AC462" s="29" t="str">
        <x:v>https://wikisource.org/</x:v>
      </x:c>
      <x:c r="AD462" s="29" t="str">
        <x:v>2026-08-17</x:v>
      </x:c>
      <x:c r="AE462" s="29"/>
      <x:c r="AF462" s="29" t="str"/>
      <x:c r="AG462" s="29" t="str"/>
    </x:row>
    <x:row r="463" ht="44" customHeight="1">
      <x:c r="A463" s="29" t="str">
        <x:v>SRC-459</x:v>
      </x:c>
      <x:c r="B463" s="29" t="str">
        <x:f>IF(C463&gt;=93,"S",IF(C463&gt;=90,"A",IF(C463&gt;=80,"B","C")))</x:f>
        <x:v>C</x:v>
      </x:c>
      <x:c r="C463" s="72" t="n">
        <x:f>ROUND((P463*0.20+Q463*0.18+R463*0.20+S463*0.15+T463*0.12+U463*0.10+V463*0.05)*20,0)</x:f>
        <x:v>65</x:v>
      </x:c>
      <x:c r="D463" s="29" t="str">
        <x:v>哲学与思想</x:v>
      </x:c>
      <x:c r="E463" s="29" t="str">
        <x:v>当代哲学与学界动态</x:v>
      </x:c>
      <x:c r="F463" s="29" t="str">
        <x:v>Daily Nous</x:v>
      </x:c>
      <x:c r="G463" s="29" t="str"/>
      <x:c r="H463" s="29" t="str">
        <x:v>哲学新闻、论文线索、争论与访谈</x:v>
      </x:c>
      <x:c r="I463" s="29" t="str">
        <x:v>en</x:v>
      </x:c>
      <x:c r="J463" s="29" t="str">
        <x:v>线索源</x:v>
      </x:c>
      <x:c r="K463" s="29" t="str">
        <x:v>Open</x:v>
      </x:c>
      <x:c r="L463" s="29" t="str">
        <x:v>每周约3至7篇</x:v>
      </x:c>
      <x:c r="M463" s="29" t="str">
        <x:v>https://dailynous.com/</x:v>
      </x:c>
      <x:c r="N463" s="29" t="str">
        <x:v>https://dailynous.com/feed/</x:v>
      </x:c>
      <x:c r="O463" s="29" t="str">
        <x:v>有效</x:v>
      </x:c>
      <x:c r="P463" s="72" t="n">
        <x:v>3</x:v>
      </x:c>
      <x:c r="Q463" s="72" t="n">
        <x:v>3</x:v>
      </x:c>
      <x:c r="R463" s="72" t="n">
        <x:v>2</x:v>
      </x:c>
      <x:c r="S463" s="72" t="n">
        <x:v>4</x:v>
      </x:c>
      <x:c r="T463" s="72" t="n">
        <x:v>3</x:v>
      </x:c>
      <x:c r="U463" s="72" t="n">
        <x:v>5</x:v>
      </x:c>
      <x:c r="V463" s="72" t="n">
        <x:v>5</x:v>
      </x:c>
      <x:c r="W463" s="29" t="str">
        <x:v>思想实验、哲学家观点对照和概念争议。</x:v>
      </x:c>
      <x:c r="X463" s="29" t="str">
        <x:v>进入专业哲学界新论文、公共争论和学术活动的高效入口。</x:v>
      </x:c>
      <x:c r="Y463" s="29" t="str">
        <x:v>2026-08-17：Feed 端点返回 application/rss+xml。</x:v>
      </x:c>
      <x:c r="Z463" s="75" t="b">
        <x:v>0</x:v>
      </x:c>
      <x:c r="AA463" s="29"/>
      <x:c r="AB463" s="29" t="str">
        <x:v>扩展调研：人文、历史、哲学与设计</x:v>
      </x:c>
      <x:c r="AC463" s="29" t="str">
        <x:v>https://dailynous.com/</x:v>
      </x:c>
      <x:c r="AD463" s="29" t="str">
        <x:v>2026-08-17</x:v>
      </x:c>
      <x:c r="AE463" s="29" t="n">
        <x:v>200</x:v>
      </x:c>
      <x:c r="AF463" s="29" t="str">
        <x:v>https://dailynous.com/feed/</x:v>
      </x:c>
      <x:c r="AG463" s="29" t="str"/>
    </x:row>
    <x:row r="464" ht="44" customHeight="1">
      <x:c r="A464" s="29" t="str">
        <x:v>SRC-460</x:v>
      </x:c>
      <x:c r="B464" s="29" t="str">
        <x:f>IF(C464&gt;=93,"S",IF(C464&gt;=90,"A",IF(C464&gt;=80,"B","C")))</x:f>
        <x:v>C</x:v>
      </x:c>
      <x:c r="C464" s="72" t="n">
        <x:f>ROUND((P464*0.20+Q464*0.18+R464*0.20+S464*0.15+T464*0.12+U464*0.10+V464*0.05)*20,0)</x:f>
        <x:v>65</x:v>
      </x:c>
      <x:c r="D464" s="29" t="str">
        <x:v>商业、管理与创新</x:v>
      </x:c>
      <x:c r="E464" s="29" t="str">
        <x:v>经济学、决策与社会趋势</x:v>
      </x:c>
      <x:c r="F464" s="29" t="str">
        <x:v>Marginal Revolution</x:v>
      </x:c>
      <x:c r="G464" s="29" t="str"/>
      <x:c r="H464" s="29" t="str">
        <x:v>经济学评论、论文推荐、数据、书评、政策与链接策展</x:v>
      </x:c>
      <x:c r="I464" s="29" t="str">
        <x:v>en</x:v>
      </x:c>
      <x:c r="J464" s="29" t="str">
        <x:v>线索源</x:v>
      </x:c>
      <x:c r="K464" s="29" t="str">
        <x:v>Open</x:v>
      </x:c>
      <x:c r="L464" s="29" t="str">
        <x:v>每日多篇</x:v>
      </x:c>
      <x:c r="M464" s="29" t="str">
        <x:v>https://marginalrevolution.com/</x:v>
      </x:c>
      <x:c r="N464" s="29" t="str">
        <x:v>https://marginalrevolution.com/feed</x:v>
      </x:c>
      <x:c r="O464" s="29" t="str">
        <x:v>有效</x:v>
      </x:c>
      <x:c r="P464" s="72" t="n">
        <x:v>3</x:v>
      </x:c>
      <x:c r="Q464" s="72" t="n">
        <x:v>3</x:v>
      </x:c>
      <x:c r="R464" s="72" t="n">
        <x:v>2</x:v>
      </x:c>
      <x:c r="S464" s="72" t="n">
        <x:v>4</x:v>
      </x:c>
      <x:c r="T464" s="72" t="n">
        <x:v>3</x:v>
      </x:c>
      <x:c r="U464" s="72" t="n">
        <x:v>5</x:v>
      </x:c>
      <x:c r="V464" s="72" t="n">
        <x:v>5</x:v>
      </x:c>
      <x:c r="W464" s="29" t="str">
        <x:v>经济直觉、书摘和趋势假设，并用数据源交叉验证。；从一篇论文或数据点提出一个开放问题，并给出不同解释。</x:v>
      </x:c>
      <x:c r="X464" s="29" t="str">
        <x:v>高频发现经济学研究与反直觉问题，适合作为选题雷达和跨学科连接器。</x:v>
      </x:c>
      <x:c r="Y464" s="29" t="str">
        <x:v>2026-08-17：Feed 端点返回 application/rss+xml。；2026-08-17：主页自动化访问受403限制，但官方RSS返回200和有效XML；博客观点与链接推荐需回到原始来源。</x:v>
      </x:c>
      <x:c r="Z464" s="75" t="b">
        <x:v>0</x:v>
      </x:c>
      <x:c r="AA464" s="29"/>
      <x:c r="AB464" s="29" t="str">
        <x:v>扩展调研：人文、历史、哲学与设计；扩展调研：成长、学习、商业与管理</x:v>
      </x:c>
      <x:c r="AC464" s="29" t="str">
        <x:v>https://marginalrevolution.com/；https://marginalrevolution.com/feed</x:v>
      </x:c>
      <x:c r="AD464" s="29" t="str">
        <x:v>2026-08-17</x:v>
      </x:c>
      <x:c r="AE464" s="29" t="n">
        <x:v>200</x:v>
      </x:c>
      <x:c r="AF464" s="29" t="str">
        <x:v>https://marginalrevolution.com/feed</x:v>
      </x:c>
      <x:c r="AG464" s="29" t="str"/>
    </x:row>
    <x:row r="465" ht="44" customHeight="1">
      <x:c r="A465" s="29" t="str">
        <x:v>SRC-461</x:v>
      </x:c>
      <x:c r="B465" s="29" t="str">
        <x:f>IF(C465&gt;=93,"S",IF(C465&gt;=90,"A",IF(C465&gt;=80,"B","C")))</x:f>
        <x:v>C</x:v>
      </x:c>
      <x:c r="C465" s="72" t="n">
        <x:f>ROUND((P465*0.20+Q465*0.18+R465*0.20+S465*0.15+T465*0.12+U465*0.10+V465*0.05)*20,0)</x:f>
        <x:v>65</x:v>
      </x:c>
      <x:c r="D465" s="29" t="str">
        <x:v>商业、管理与创新</x:v>
      </x:c>
      <x:c r="E465" s="29" t="str">
        <x:v>商业/地缘</x:v>
      </x:c>
      <x:c r="F465" s="29" t="str">
        <x:v>PolyMatter</x:v>
      </x:c>
      <x:c r="G465" s="29" t="str"/>
      <x:c r="H465" s="29" t="str">
        <x:v>视频 / 频道</x:v>
      </x:c>
      <x:c r="I465" s="29" t="str">
        <x:v>en</x:v>
      </x:c>
      <x:c r="J465" s="29" t="str">
        <x:v>线索源</x:v>
      </x:c>
      <x:c r="K465" s="29" t="str">
        <x:v>Open</x:v>
      </x:c>
      <x:c r="L465" s="29" t="str">
        <x:v>以频道更新为准</x:v>
      </x:c>
      <x:c r="M465" s="29" t="str">
        <x:v>https://www.youtube.com/channel/UCgNg3vwj3xt7QOrcIDaHdFg</x:v>
      </x:c>
      <x:c r="N465" s="29" t="str">
        <x:v>https://www.youtube.com/feeds/videos.xml?channel_id=UCgNg3vwj3xt7QOrcIDaHdFg</x:v>
      </x:c>
      <x:c r="O465" s="29" t="str">
        <x:v>有效</x:v>
      </x:c>
      <x:c r="P465" s="72" t="n">
        <x:v>3</x:v>
      </x:c>
      <x:c r="Q465" s="72" t="n">
        <x:v>3</x:v>
      </x:c>
      <x:c r="R465" s="72" t="n">
        <x:v>2</x:v>
      </x:c>
      <x:c r="S465" s="72" t="n">
        <x:v>4</x:v>
      </x:c>
      <x:c r="T465" s="72" t="n">
        <x:v>3</x:v>
      </x:c>
      <x:c r="U465" s="72" t="n">
        <x:v>5</x:v>
      </x:c>
      <x:c r="V465" s="72" t="n">
        <x:v>5</x:v>
      </x:c>
      <x:c r="W465" s="29" t="str">
        <x:v>视频观点拆解、概念科普、选题与案例线索</x:v>
      </x:c>
      <x:c r="X465" s="29" t="str">
        <x:v>高质量商业/地缘视频创作者，适合快速建立背景、观察叙事结构并发现可传播选题。</x:v>
      </x:c>
      <x:c r="Y465" s="29" t="str">
        <x:v>强叙事二手源；数字、地图、因果与引语必须回查论文、数据或官方材料。</x:v>
      </x:c>
      <x:c r="Z465" s="75" t="b">
        <x:v>0</x:v>
      </x:c>
      <x:c r="AA465" s="29"/>
      <x:c r="AB465" s="29" t="str">
        <x:v>YouTube 高质量创作者</x:v>
      </x:c>
      <x:c r="AC465" s="29" t="str">
        <x:v>https://www.youtube.com/@PolyMatter</x:v>
      </x:c>
      <x:c r="AD465" s="29" t="str">
        <x:v>2026-08-17</x:v>
      </x:c>
      <x:c r="AE465" s="29" t="n">
        <x:v>200</x:v>
      </x:c>
      <x:c r="AF465" s="29" t="str">
        <x:v>https://www.youtube.com/feeds/videos.xml?channel_id=UCgNg3vwj3xt7QOrcIDaHdFg</x:v>
      </x:c>
      <x:c r="AG465" s="29" t="str"/>
    </x:row>
    <x:row r="466" ht="44" customHeight="1">
      <x:c r="A466" s="29" t="str">
        <x:v>SRC-462</x:v>
      </x:c>
      <x:c r="B466" s="29" t="str">
        <x:f>IF(C466&gt;=93,"S",IF(C466&gt;=90,"A",IF(C466&gt;=80,"B","C")))</x:f>
        <x:v>C</x:v>
      </x:c>
      <x:c r="C466" s="72" t="n">
        <x:f>ROUND((P466*0.20+Q466*0.18+R466*0.20+S466*0.15+T466*0.12+U466*0.10+V466*0.05)*20,0)</x:f>
        <x:v>65</x:v>
      </x:c>
      <x:c r="D466" s="29" t="str">
        <x:v>地球、地理与城市</x:v>
      </x:c>
      <x:c r="E466" s="29" t="str">
        <x:v>视觉解释/地理</x:v>
      </x:c>
      <x:c r="F466" s="29" t="str">
        <x:v>Neo</x:v>
      </x:c>
      <x:c r="G466" s="29" t="str"/>
      <x:c r="H466" s="29" t="str">
        <x:v>视频 / 频道</x:v>
      </x:c>
      <x:c r="I466" s="29" t="str">
        <x:v>en</x:v>
      </x:c>
      <x:c r="J466" s="29" t="str">
        <x:v>线索源</x:v>
      </x:c>
      <x:c r="K466" s="29" t="str">
        <x:v>Open</x:v>
      </x:c>
      <x:c r="L466" s="29" t="str">
        <x:v>以频道更新为准</x:v>
      </x:c>
      <x:c r="M466" s="29" t="str">
        <x:v>https://www.youtube.com/channel/UCtYKe7-XbaDjpUwcU5x0bLg</x:v>
      </x:c>
      <x:c r="N466" s="29" t="str">
        <x:v>https://www.youtube.com/feeds/videos.xml?channel_id=UCtYKe7-XbaDjpUwcU5x0bLg</x:v>
      </x:c>
      <x:c r="O466" s="29" t="str">
        <x:v>有效</x:v>
      </x:c>
      <x:c r="P466" s="72" t="n">
        <x:v>3</x:v>
      </x:c>
      <x:c r="Q466" s="72" t="n">
        <x:v>3</x:v>
      </x:c>
      <x:c r="R466" s="72" t="n">
        <x:v>2</x:v>
      </x:c>
      <x:c r="S466" s="72" t="n">
        <x:v>4</x:v>
      </x:c>
      <x:c r="T466" s="72" t="n">
        <x:v>3</x:v>
      </x:c>
      <x:c r="U466" s="72" t="n">
        <x:v>5</x:v>
      </x:c>
      <x:c r="V466" s="72" t="n">
        <x:v>5</x:v>
      </x:c>
      <x:c r="W466" s="29" t="str">
        <x:v>视频观点拆解、概念科普、选题与案例线索</x:v>
      </x:c>
      <x:c r="X466" s="29" t="str">
        <x:v>高质量视觉解释/地理视频创作者，适合快速建立背景、观察叙事结构并发现可传播选题。</x:v>
      </x:c>
      <x:c r="Y466" s="29" t="str">
        <x:v>强叙事二手源；数字、地图、因果与引语必须回查论文、数据或官方材料。</x:v>
      </x:c>
      <x:c r="Z466" s="75" t="b">
        <x:v>0</x:v>
      </x:c>
      <x:c r="AA466" s="29"/>
      <x:c r="AB466" s="29" t="str">
        <x:v>YouTube 高质量创作者</x:v>
      </x:c>
      <x:c r="AC466" s="29" t="str">
        <x:v>https://www.youtube.com/@neoexplains</x:v>
      </x:c>
      <x:c r="AD466" s="29" t="str">
        <x:v>2026-08-17</x:v>
      </x:c>
      <x:c r="AE466" s="29" t="n">
        <x:v>200</x:v>
      </x:c>
      <x:c r="AF466" s="29" t="str">
        <x:v>https://www.youtube.com/feeds/videos.xml?channel_id=UCtYKe7-XbaDjpUwcU5x0bLg</x:v>
      </x:c>
      <x:c r="AG466" s="29" t="str"/>
    </x:row>
    <x:row r="467" ht="44" customHeight="1">
      <x:c r="A467" s="29" t="str">
        <x:v>SRC-463</x:v>
      </x:c>
      <x:c r="B467" s="29" t="str">
        <x:f>IF(C467&gt;=93,"S",IF(C467&gt;=90,"A",IF(C467&gt;=80,"B","C")))</x:f>
        <x:v>C</x:v>
      </x:c>
      <x:c r="C467" s="72" t="n">
        <x:f>ROUND((P467*0.20+Q467*0.18+R467*0.20+S467*0.15+T467*0.12+U467*0.10+V467*0.05)*20,0)</x:f>
        <x:v>65</x:v>
      </x:c>
      <x:c r="D467" s="29" t="str">
        <x:v>地球、地理与城市</x:v>
      </x:c>
      <x:c r="E467" s="29" t="str">
        <x:v>地理/国际</x:v>
      </x:c>
      <x:c r="F467" s="29" t="str">
        <x:v>RealLifeLore</x:v>
      </x:c>
      <x:c r="G467" s="29" t="str"/>
      <x:c r="H467" s="29" t="str">
        <x:v>视频 / 频道</x:v>
      </x:c>
      <x:c r="I467" s="29" t="str">
        <x:v>en</x:v>
      </x:c>
      <x:c r="J467" s="29" t="str">
        <x:v>线索源</x:v>
      </x:c>
      <x:c r="K467" s="29" t="str">
        <x:v>Open</x:v>
      </x:c>
      <x:c r="L467" s="29" t="str">
        <x:v>以频道更新为准</x:v>
      </x:c>
      <x:c r="M467" s="29" t="str">
        <x:v>https://www.youtube.com/channel/UCP5tjEmvPItGyLhmjdwP7Ww</x:v>
      </x:c>
      <x:c r="N467" s="29" t="str">
        <x:v>https://www.youtube.com/feeds/videos.xml?channel_id=UCP5tjEmvPItGyLhmjdwP7Ww</x:v>
      </x:c>
      <x:c r="O467" s="29" t="str">
        <x:v>有效</x:v>
      </x:c>
      <x:c r="P467" s="72" t="n">
        <x:v>3</x:v>
      </x:c>
      <x:c r="Q467" s="72" t="n">
        <x:v>3</x:v>
      </x:c>
      <x:c r="R467" s="72" t="n">
        <x:v>2</x:v>
      </x:c>
      <x:c r="S467" s="72" t="n">
        <x:v>4</x:v>
      </x:c>
      <x:c r="T467" s="72" t="n">
        <x:v>3</x:v>
      </x:c>
      <x:c r="U467" s="72" t="n">
        <x:v>5</x:v>
      </x:c>
      <x:c r="V467" s="72" t="n">
        <x:v>5</x:v>
      </x:c>
      <x:c r="W467" s="29" t="str">
        <x:v>视频观点拆解、概念科普、选题与案例线索</x:v>
      </x:c>
      <x:c r="X467" s="29" t="str">
        <x:v>高质量地理/国际视频创作者，适合快速建立背景、观察叙事结构并发现可传播选题。</x:v>
      </x:c>
      <x:c r="Y467" s="29" t="str">
        <x:v>强叙事二手源；数字、地图、因果与引语必须回查论文、数据或官方材料。</x:v>
      </x:c>
      <x:c r="Z467" s="75" t="b">
        <x:v>0</x:v>
      </x:c>
      <x:c r="AA467" s="29"/>
      <x:c r="AB467" s="29" t="str">
        <x:v>YouTube 高质量创作者</x:v>
      </x:c>
      <x:c r="AC467" s="29" t="str">
        <x:v>https://www.youtube.com/@RealLifeLore</x:v>
      </x:c>
      <x:c r="AD467" s="29" t="str">
        <x:v>2026-08-17</x:v>
      </x:c>
      <x:c r="AE467" s="29" t="n">
        <x:v>200</x:v>
      </x:c>
      <x:c r="AF467" s="29" t="str">
        <x:v>https://www.youtube.com/feeds/videos.xml?channel_id=UCP5tjEmvPItGyLhmjdwP7Ww</x:v>
      </x:c>
      <x:c r="AG467" s="29" t="str"/>
    </x:row>
    <x:row r="468" ht="44" customHeight="1">
      <x:c r="A468" s="29" t="str">
        <x:v>SRC-464</x:v>
      </x:c>
      <x:c r="B468" s="29" t="str">
        <x:f>IF(C468&gt;=93,"S",IF(C468&gt;=90,"A",IF(C468&gt;=80,"B","C")))</x:f>
        <x:v>C</x:v>
      </x:c>
      <x:c r="C468" s="72" t="n">
        <x:f>ROUND((P468*0.20+Q468*0.18+R468*0.20+S468*0.15+T468*0.12+U468*0.10+V468*0.05)*20,0)</x:f>
        <x:v>65</x:v>
      </x:c>
      <x:c r="D468" s="29" t="str">
        <x:v>地球、地理与城市</x:v>
      </x:c>
      <x:c r="E468" s="29" t="str">
        <x:v>地理/物流</x:v>
      </x:c>
      <x:c r="F468" s="29" t="str">
        <x:v>Wendover Productions</x:v>
      </x:c>
      <x:c r="G468" s="29" t="str"/>
      <x:c r="H468" s="29" t="str">
        <x:v>视频 / 频道</x:v>
      </x:c>
      <x:c r="I468" s="29" t="str">
        <x:v>en</x:v>
      </x:c>
      <x:c r="J468" s="29" t="str">
        <x:v>线索源</x:v>
      </x:c>
      <x:c r="K468" s="29" t="str">
        <x:v>Open</x:v>
      </x:c>
      <x:c r="L468" s="29" t="str">
        <x:v>以频道更新为准</x:v>
      </x:c>
      <x:c r="M468" s="29" t="str">
        <x:v>https://www.youtube.com/channel/UC9RM-iSvTu1uPJb8X5yp3EQ</x:v>
      </x:c>
      <x:c r="N468" s="29" t="str">
        <x:v>https://www.youtube.com/feeds/videos.xml?channel_id=UC9RM-iSvTu1uPJb8X5yp3EQ</x:v>
      </x:c>
      <x:c r="O468" s="29" t="str">
        <x:v>有效</x:v>
      </x:c>
      <x:c r="P468" s="72" t="n">
        <x:v>3</x:v>
      </x:c>
      <x:c r="Q468" s="72" t="n">
        <x:v>3</x:v>
      </x:c>
      <x:c r="R468" s="72" t="n">
        <x:v>2</x:v>
      </x:c>
      <x:c r="S468" s="72" t="n">
        <x:v>4</x:v>
      </x:c>
      <x:c r="T468" s="72" t="n">
        <x:v>3</x:v>
      </x:c>
      <x:c r="U468" s="72" t="n">
        <x:v>5</x:v>
      </x:c>
      <x:c r="V468" s="72" t="n">
        <x:v>5</x:v>
      </x:c>
      <x:c r="W468" s="29" t="str">
        <x:v>视频观点拆解、概念科普、选题与案例线索</x:v>
      </x:c>
      <x:c r="X468" s="29" t="str">
        <x:v>高质量地理/物流视频创作者，适合快速建立背景、观察叙事结构并发现可传播选题。</x:v>
      </x:c>
      <x:c r="Y468" s="29" t="str">
        <x:v>强叙事二手源；数字、地图、因果与引语必须回查论文、数据或官方材料。</x:v>
      </x:c>
      <x:c r="Z468" s="75" t="b">
        <x:v>0</x:v>
      </x:c>
      <x:c r="AA468" s="29"/>
      <x:c r="AB468" s="29" t="str">
        <x:v>YouTube 高质量创作者</x:v>
      </x:c>
      <x:c r="AC468" s="29" t="str">
        <x:v>https://www.youtube.com/@Wendoverproductions</x:v>
      </x:c>
      <x:c r="AD468" s="29" t="str">
        <x:v>2026-08-17</x:v>
      </x:c>
      <x:c r="AE468" s="29" t="n">
        <x:v>200</x:v>
      </x:c>
      <x:c r="AF468" s="29" t="str">
        <x:v>https://www.youtube.com/feeds/videos.xml?channel_id=UC9RM-iSvTu1uPJb8X5yp3EQ</x:v>
      </x:c>
      <x:c r="AG468" s="29" t="str"/>
    </x:row>
    <x:row r="469" ht="44" customHeight="1">
      <x:c r="A469" s="29" t="str">
        <x:v>SRC-465</x:v>
      </x:c>
      <x:c r="B469" s="29" t="str">
        <x:f>IF(C469&gt;=93,"S",IF(C469&gt;=90,"A",IF(C469&gt;=80,"B","C")))</x:f>
        <x:v>C</x:v>
      </x:c>
      <x:c r="C469" s="72" t="n">
        <x:f>ROUND((P469*0.20+Q469*0.18+R469*0.20+S469*0.15+T469*0.12+U469*0.10+V469*0.05)*20,0)</x:f>
        <x:v>65</x:v>
      </x:c>
      <x:c r="D469" s="29" t="str">
        <x:v>天文与太空</x:v>
      </x:c>
      <x:c r="E469" s="29" t="str">
        <x:v>天体物理预印本</x:v>
      </x:c>
      <x:c r="F469" s="29" t="str">
        <x:v>arXiv astro-ph</x:v>
      </x:c>
      <x:c r="G469" s="29" t="str"/>
      <x:c r="H469" s="29" t="str">
        <x:v>天体物理预印本摘要和元数据</x:v>
      </x:c>
      <x:c r="I469" s="29" t="str">
        <x:v>en</x:v>
      </x:c>
      <x:c r="J469" s="29" t="str">
        <x:v>线索源</x:v>
      </x:c>
      <x:c r="K469" s="29" t="str">
        <x:v>Open</x:v>
      </x:c>
      <x:c r="L469" s="29" t="str">
        <x:v>工作日每日，高流量</x:v>
      </x:c>
      <x:c r="M469" s="29" t="str">
        <x:v>https://arxiv.org/archive/astro-ph</x:v>
      </x:c>
      <x:c r="N469" s="29" t="str">
        <x:v>https://rss.arxiv.org/rss/astro-ph</x:v>
      </x:c>
      <x:c r="O469" s="29" t="str">
        <x:v>有效</x:v>
      </x:c>
      <x:c r="P469" s="72" t="n">
        <x:v>3</x:v>
      </x:c>
      <x:c r="Q469" s="72" t="n">
        <x:v>3</x:v>
      </x:c>
      <x:c r="R469" s="72" t="n">
        <x:v>2</x:v>
      </x:c>
      <x:c r="S469" s="72" t="n">
        <x:v>4</x:v>
      </x:c>
      <x:c r="T469" s="72" t="n">
        <x:v>3</x:v>
      </x:c>
      <x:c r="U469" s="72" t="n">
        <x:v>5</x:v>
      </x:c>
      <x:c r="V469" s="72" t="n">
        <x:v>5</x:v>
      </x:c>
      <x:c r="W469" s="29" t="str">
        <x:v>论文精选、宇宙学趋势、研究图表</x:v>
      </x:c>
      <x:c r="X469" s="29" t="str">
        <x:v>发现宇宙学和天体物理最新研究的高时效入口。</x:v>
      </x:c>
      <x:c r="Y469" s="29" t="str">
        <x:v>官方分类RSS；必须标注预印本状态并回读全文。</x:v>
      </x:c>
      <x:c r="Z469" s="75" t="b">
        <x:v>0</x:v>
      </x:c>
      <x:c r="AA469" s="29"/>
      <x:c r="AB469" s="29" t="str">
        <x:v>扩展调研：科技、科学与数据</x:v>
      </x:c>
      <x:c r="AC469" s="29" t="str">
        <x:v>https://rss.arxiv.org/rss/astro-ph</x:v>
      </x:c>
      <x:c r="AD469" s="29" t="str">
        <x:v>2026-08-17</x:v>
      </x:c>
      <x:c r="AE469" s="29" t="n">
        <x:v>200</x:v>
      </x:c>
      <x:c r="AF469" s="29" t="str">
        <x:v>https://rss.arxiv.org/rss/astro-ph</x:v>
      </x:c>
      <x:c r="AG469" s="29" t="str"/>
    </x:row>
    <x:row r="470" ht="44" customHeight="1">
      <x:c r="A470" s="29" t="str">
        <x:v>SRC-466</x:v>
      </x:c>
      <x:c r="B470" s="29" t="str">
        <x:f>IF(C470&gt;=93,"S",IF(C470&gt;=90,"A",IF(C470&gt;=80,"B","C")))</x:f>
        <x:v>C</x:v>
      </x:c>
      <x:c r="C470" s="72" t="n">
        <x:f>ROUND((P470*0.20+Q470*0.18+R470*0.20+S470*0.15+T470*0.12+U470*0.10+V470*0.05)*20,0)</x:f>
        <x:v>65</x:v>
      </x:c>
      <x:c r="D470" s="29" t="str">
        <x:v>心理、认知与情商</x:v>
      </x:c>
      <x:c r="E470" s="29" t="str">
        <x:v>心理科学协会与研究新闻</x:v>
      </x:c>
      <x:c r="F470" s="29" t="str">
        <x:v>Association for Psychological Science（APS）</x:v>
      </x:c>
      <x:c r="G470" s="29" t="str"/>
      <x:c r="H470" s="29" t="str">
        <x:v>专业协会 / 研究新闻</x:v>
      </x:c>
      <x:c r="I470" s="29" t="str">
        <x:v>英文</x:v>
      </x:c>
      <x:c r="J470" s="29" t="str">
        <x:v>线索源</x:v>
      </x:c>
      <x:c r="K470" s="29" t="str">
        <x:v>开放</x:v>
      </x:c>
      <x:c r="L470" s="29" t="str">
        <x:v>近每日</x:v>
      </x:c>
      <x:c r="M470" s="29" t="str">
        <x:v>https://www.psychologicalscience.org/</x:v>
      </x:c>
      <x:c r="N470" s="29" t="str">
        <x:v>https://www.psychologicalscience.org/feed</x:v>
      </x:c>
      <x:c r="O470" s="29" t="str">
        <x:v>有效</x:v>
      </x:c>
      <x:c r="P470" s="72" t="n">
        <x:v>3</x:v>
      </x:c>
      <x:c r="Q470" s="72" t="n">
        <x:v>3</x:v>
      </x:c>
      <x:c r="R470" s="72" t="n">
        <x:v>2</x:v>
      </x:c>
      <x:c r="S470" s="72" t="n">
        <x:v>4</x:v>
      </x:c>
      <x:c r="T470" s="72" t="n">
        <x:v>3</x:v>
      </x:c>
      <x:c r="U470" s="72" t="n">
        <x:v>5</x:v>
      </x:c>
      <x:c r="V470" s="72" t="n">
        <x:v>5</x:v>
      </x:c>
      <x:c r="W470" s="29" t="str">
        <x:v>用作新研究雷达；发帖引用时回链原论文，并用 APS 内容补充研究背景。</x:v>
      </x:c>
      <x:c r="X470" s="29" t="str">
        <x:v>覆盖心理学研究、方法与科学政策，适合发现可进一步追踪论文的高可信选题。</x:v>
      </x:c>
      <x:c r="Y470" s="29" t="str">
        <x:v>2026-08-17：主页 200；RSS 200，已确认返回 RSS XML。</x:v>
      </x:c>
      <x:c r="Z470" s="75" t="b">
        <x:v>0</x:v>
      </x:c>
      <x:c r="AA470" s="29"/>
      <x:c r="AB470" s="29" t="str">
        <x:v>扩展调研：心理、认知与情商</x:v>
      </x:c>
      <x:c r="AC470" s="29" t="str">
        <x:v>https://www.psychologicalscience.org/about/mission-and-history</x:v>
      </x:c>
      <x:c r="AD470" s="29" t="str">
        <x:v>2026-08-17</x:v>
      </x:c>
      <x:c r="AE470" s="29" t="n">
        <x:v>200</x:v>
      </x:c>
      <x:c r="AF470" s="29" t="str">
        <x:v>https://www.psychologicalscience.org/feed</x:v>
      </x:c>
      <x:c r="AG470" s="29" t="str"/>
    </x:row>
    <x:row r="471" ht="44" customHeight="1">
      <x:c r="A471" s="29" t="str">
        <x:v>SRC-467</x:v>
      </x:c>
      <x:c r="B471" s="29" t="str">
        <x:f>IF(C471&gt;=93,"S",IF(C471&gt;=90,"A",IF(C471&gt;=80,"B","C")))</x:f>
        <x:v>C</x:v>
      </x:c>
      <x:c r="C471" s="72" t="n">
        <x:f>ROUND((P471*0.20+Q471*0.18+R471*0.20+S471*0.15+T471*0.12+U471*0.10+V471*0.05)*20,0)</x:f>
        <x:v>65</x:v>
      </x:c>
      <x:c r="D471" s="29" t="str">
        <x:v>心理、认知与情商</x:v>
      </x:c>
      <x:c r="E471" s="29" t="str">
        <x:v>跨学科认知科学共同体</x:v>
      </x:c>
      <x:c r="F471" s="29" t="str">
        <x:v>Cognitive Science Society</x:v>
      </x:c>
      <x:c r="G471" s="29" t="str"/>
      <x:c r="H471" s="29" t="str">
        <x:v>专业学会 / 会议与出版</x:v>
      </x:c>
      <x:c r="I471" s="29" t="str">
        <x:v>英文</x:v>
      </x:c>
      <x:c r="J471" s="29" t="str">
        <x:v>线索源</x:v>
      </x:c>
      <x:c r="K471" s="29" t="str">
        <x:v>开放；部分出版物受限</x:v>
      </x:c>
      <x:c r="L471" s="29" t="str">
        <x:v>不定期</x:v>
      </x:c>
      <x:c r="M471" s="29" t="str">
        <x:v>https://cognitivesciencesociety.org/</x:v>
      </x:c>
      <x:c r="N471" s="29" t="str">
        <x:v>https://cognitivesciencesociety.org/feed/</x:v>
      </x:c>
      <x:c r="O471" s="29" t="str">
        <x:v>有效</x:v>
      </x:c>
      <x:c r="P471" s="72" t="n">
        <x:v>3</x:v>
      </x:c>
      <x:c r="Q471" s="72" t="n">
        <x:v>3</x:v>
      </x:c>
      <x:c r="R471" s="72" t="n">
        <x:v>2</x:v>
      </x:c>
      <x:c r="S471" s="72" t="n">
        <x:v>4</x:v>
      </x:c>
      <x:c r="T471" s="72" t="n">
        <x:v>3</x:v>
      </x:c>
      <x:c r="U471" s="72" t="n">
        <x:v>5</x:v>
      </x:c>
      <x:c r="V471" s="72" t="n">
        <x:v>5</x:v>
      </x:c>
      <x:c r="W471" s="29" t="str">
        <x:v>追踪 CogSci 会议论文、学者与新议题；适合“人类认知 × AI”融合选题。</x:v>
      </x:c>
      <x:c r="X471" s="29" t="str">
        <x:v>连接心理学、语言学、哲学、神经科学、教育和 AI，是跨学科认知研究的重要入口。</x:v>
      </x:c>
      <x:c r="Y471" s="29" t="str">
        <x:v>2026-08-17：主页 200；官方 RSS 200，XML 已确认。</x:v>
      </x:c>
      <x:c r="Z471" s="75" t="b">
        <x:v>0</x:v>
      </x:c>
      <x:c r="AA471" s="29"/>
      <x:c r="AB471" s="29" t="str">
        <x:v>扩展调研：心理、认知与情商</x:v>
      </x:c>
      <x:c r="AC471" s="29" t="str">
        <x:v>https://cognitivesciencesociety.org/about/</x:v>
      </x:c>
      <x:c r="AD471" s="29" t="str">
        <x:v>2026-08-17</x:v>
      </x:c>
      <x:c r="AE471" s="29" t="n">
        <x:v>200</x:v>
      </x:c>
      <x:c r="AF471" s="29" t="str">
        <x:v>https://cognitivesciencesociety.org/feed/</x:v>
      </x:c>
      <x:c r="AG471" s="29" t="str"/>
    </x:row>
    <x:row r="472" ht="44" customHeight="1">
      <x:c r="A472" s="29" t="str">
        <x:v>SRC-468</x:v>
      </x:c>
      <x:c r="B472" s="29" t="str">
        <x:f>IF(C472&gt;=93,"S",IF(C472&gt;=90,"A",IF(C472&gt;=80,"B","C")))</x:f>
        <x:v>C</x:v>
      </x:c>
      <x:c r="C472" s="72" t="n">
        <x:f>ROUND((P472*0.20+Q472*0.18+R472*0.20+S472*0.15+T472*0.12+U472*0.10+V472*0.05)*20,0)</x:f>
        <x:v>65</x:v>
      </x:c>
      <x:c r="D472" s="29" t="str">
        <x:v>心理、认知与情商</x:v>
      </x:c>
      <x:c r="E472" s="29" t="str">
        <x:v>开放获取心理学研究</x:v>
      </x:c>
      <x:c r="F472" s="29" t="str">
        <x:v>Frontiers in Psychology</x:v>
      </x:c>
      <x:c r="G472" s="29" t="str"/>
      <x:c r="H472" s="29" t="str">
        <x:v>同行评审开放期刊</x:v>
      </x:c>
      <x:c r="I472" s="29" t="str">
        <x:v>英文</x:v>
      </x:c>
      <x:c r="J472" s="29" t="str">
        <x:v>线索源</x:v>
      </x:c>
      <x:c r="K472" s="29" t="str">
        <x:v>开放获取</x:v>
      </x:c>
      <x:c r="L472" s="29" t="str">
        <x:v>每日多篇</x:v>
      </x:c>
      <x:c r="M472" s="29" t="str">
        <x:v>https://www.frontiersin.org/journals/psychology</x:v>
      </x:c>
      <x:c r="N472" s="29" t="str">
        <x:v>https://www.frontiersin.org/journals/psychology/rss</x:v>
      </x:c>
      <x:c r="O472" s="29" t="str">
        <x:v>有效</x:v>
      </x:c>
      <x:c r="P472" s="72" t="n">
        <x:v>3</x:v>
      </x:c>
      <x:c r="Q472" s="72" t="n">
        <x:v>3</x:v>
      </x:c>
      <x:c r="R472" s="72" t="n">
        <x:v>2</x:v>
      </x:c>
      <x:c r="S472" s="72" t="n">
        <x:v>4</x:v>
      </x:c>
      <x:c r="T472" s="72" t="n">
        <x:v>3</x:v>
      </x:c>
      <x:c r="U472" s="72" t="n">
        <x:v>5</x:v>
      </x:c>
      <x:c r="V472" s="72" t="n">
        <x:v>5</x:v>
      </x:c>
      <x:c r="W472" s="29" t="str">
        <x:v>用关键词和栏目过滤；优先综述、注册报告和大样本研究，避免被高产量淹没。</x:v>
      </x:c>
      <x:c r="X472" s="29" t="str">
        <x:v>主题覆盖广、更新快且全文开放，适合早期发现研究，但需更严格检查设计与证据强度。</x:v>
      </x:c>
      <x:c r="Y472" s="29" t="str">
        <x:v>2026-08-17：主页 200；官方 RSS 200，XML 已确认。</x:v>
      </x:c>
      <x:c r="Z472" s="75" t="b">
        <x:v>0</x:v>
      </x:c>
      <x:c r="AA472" s="29"/>
      <x:c r="AB472" s="29" t="str">
        <x:v>扩展调研：心理、认知与情商</x:v>
      </x:c>
      <x:c r="AC472" s="29" t="str">
        <x:v>https://www.frontiersin.org/journals/psychology/about</x:v>
      </x:c>
      <x:c r="AD472" s="29" t="str">
        <x:v>2026-08-17</x:v>
      </x:c>
      <x:c r="AE472" s="29" t="n">
        <x:v>200</x:v>
      </x:c>
      <x:c r="AF472" s="29" t="str">
        <x:v>https://www.frontiersin.org/journals/psychology/rss</x:v>
      </x:c>
      <x:c r="AG472" s="29" t="str"/>
    </x:row>
    <x:row r="473" ht="44" customHeight="1">
      <x:c r="A473" s="29" t="str">
        <x:v>SRC-469</x:v>
      </x:c>
      <x:c r="B473" s="29" t="str">
        <x:f>IF(C473&gt;=93,"S",IF(C473&gt;=90,"A",IF(C473&gt;=80,"B","C")))</x:f>
        <x:v>C</x:v>
      </x:c>
      <x:c r="C473" s="72" t="n">
        <x:f>ROUND((P473*0.20+Q473*0.18+R473*0.20+S473*0.15+T473*0.12+U473*0.10+V473*0.05)*20,0)</x:f>
        <x:v>65</x:v>
      </x:c>
      <x:c r="D473" s="29" t="str">
        <x:v>心理、认知与情商</x:v>
      </x:c>
      <x:c r="E473" s="29" t="str">
        <x:v>沉思科学与跨学科心智研究</x:v>
      </x:c>
      <x:c r="F473" s="29" t="str">
        <x:v>Mind &amp; Life Institute</x:v>
      </x:c>
      <x:c r="G473" s="29" t="str"/>
      <x:c r="H473" s="29" t="str">
        <x:v>研究资助与跨学科平台</x:v>
      </x:c>
      <x:c r="I473" s="29" t="str">
        <x:v>英文</x:v>
      </x:c>
      <x:c r="J473" s="29" t="str">
        <x:v>线索源</x:v>
      </x:c>
      <x:c r="K473" s="29" t="str">
        <x:v>开放；未发现固定 RSS</x:v>
      </x:c>
      <x:c r="L473" s="29" t="str">
        <x:v>每月</x:v>
      </x:c>
      <x:c r="M473" s="29" t="str">
        <x:v>https://www.mindandlife.org/</x:v>
      </x:c>
      <x:c r="N473" s="29" t="str"/>
      <x:c r="O473" s="29" t="str">
        <x:v>无RSS/API入口</x:v>
      </x:c>
      <x:c r="P473" s="72" t="n">
        <x:v>3</x:v>
      </x:c>
      <x:c r="Q473" s="72" t="n">
        <x:v>3</x:v>
      </x:c>
      <x:c r="R473" s="72" t="n">
        <x:v>2</x:v>
      </x:c>
      <x:c r="S473" s="72" t="n">
        <x:v>4</x:v>
      </x:c>
      <x:c r="T473" s="72" t="n">
        <x:v>3</x:v>
      </x:c>
      <x:c r="U473" s="72" t="n">
        <x:v>5</x:v>
      </x:c>
      <x:c r="V473" s="72" t="n">
        <x:v>5</x:v>
      </x:c>
      <x:c r="W473" s="29" t="str">
        <x:v>用于跨学科选题和研究者线索；对冥想、正念效果保持证据等级意识。</x:v>
      </x:c>
      <x:c r="X473" s="29" t="str">
        <x:v>连接认知科学、心理学、神经科学与沉思传统，适合寻找跨学科心智与福祉研究。</x:v>
      </x:c>
      <x:c r="Y473" s="29" t="str">
        <x:v>2026-08-17：自动检查主页返回 403/CDN；官方页面仍可被搜索索引，建议网页或邮件订阅。</x:v>
      </x:c>
      <x:c r="Z473" s="75" t="b">
        <x:v>0</x:v>
      </x:c>
      <x:c r="AA473" s="29"/>
      <x:c r="AB473" s="29" t="str">
        <x:v>扩展调研：心理、认知与情商</x:v>
      </x:c>
      <x:c r="AC473" s="29" t="str">
        <x:v>https://www.mindandlife.org/about/</x:v>
      </x:c>
      <x:c r="AD473" s="29" t="str">
        <x:v>2026-08-17</x:v>
      </x:c>
      <x:c r="AE473" s="29"/>
      <x:c r="AF473" s="29" t="str"/>
      <x:c r="AG473" s="29" t="str"/>
    </x:row>
    <x:row r="474" ht="44" customHeight="1">
      <x:c r="A474" s="29" t="str">
        <x:v>SRC-470</x:v>
      </x:c>
      <x:c r="B474" s="29" t="str">
        <x:f>IF(C474&gt;=93,"S",IF(C474&gt;=90,"A",IF(C474&gt;=80,"B","C")))</x:f>
        <x:v>C</x:v>
      </x:c>
      <x:c r="C474" s="72" t="n">
        <x:f>ROUND((P474*0.20+Q474*0.18+R474*0.20+S474*0.15+T474*0.12+U474*0.10+V474*0.05)*20,0)</x:f>
        <x:v>65</x:v>
      </x:c>
      <x:c r="D474" s="29" t="str">
        <x:v>心理、认知与情商</x:v>
      </x:c>
      <x:c r="E474" s="29" t="str">
        <x:v>心理学预印本</x:v>
      </x:c>
      <x:c r="F474" s="29" t="str">
        <x:v>PsyArXiv</x:v>
      </x:c>
      <x:c r="G474" s="29" t="str"/>
      <x:c r="H474" s="29" t="str">
        <x:v>预印本平台</x:v>
      </x:c>
      <x:c r="I474" s="29" t="str">
        <x:v>多语种；以英文为主</x:v>
      </x:c>
      <x:c r="J474" s="29" t="str">
        <x:v>线索源</x:v>
      </x:c>
      <x:c r="K474" s="29" t="str">
        <x:v>开放</x:v>
      </x:c>
      <x:c r="L474" s="29" t="str">
        <x:v>每日更新</x:v>
      </x:c>
      <x:c r="M474" s="29" t="str">
        <x:v>https://osf.io/preprints/psyarxiv/</x:v>
      </x:c>
      <x:c r="N474" s="29" t="str">
        <x:v>https://api.osf.io/v2/preprints/?filter[provider]=psyarxiv&amp;page[size]=10</x:v>
      </x:c>
      <x:c r="O474" s="29" t="str">
        <x:v>API入口</x:v>
      </x:c>
      <x:c r="P474" s="72" t="n">
        <x:v>3</x:v>
      </x:c>
      <x:c r="Q474" s="72" t="n">
        <x:v>3</x:v>
      </x:c>
      <x:c r="R474" s="72" t="n">
        <x:v>2</x:v>
      </x:c>
      <x:c r="S474" s="72" t="n">
        <x:v>4</x:v>
      </x:c>
      <x:c r="T474" s="72" t="n">
        <x:v>3</x:v>
      </x:c>
      <x:c r="U474" s="72" t="n">
        <x:v>5</x:v>
      </x:c>
      <x:c r="V474" s="72" t="n">
        <x:v>5</x:v>
      </x:c>
      <x:c r="W474" s="29" t="str">
        <x:v>只用于趋势和选题线索；明确标注“未同行评审”，待正式发表或多源验证后再作强结论。</x:v>
      </x:c>
      <x:c r="X474" s="29" t="str">
        <x:v>心理学开放预印本库，可比期刊更早捕捉新问题、方法与复制研究。</x:v>
      </x:c>
      <x:c r="Y474" s="29" t="str">
        <x:v>2026-08-17：主页重定向至 OSF 后 200；OSF API 200，JSON 已确认。；未按 RSS/Atom 校验。</x:v>
      </x:c>
      <x:c r="Z474" s="75" t="b">
        <x:v>0</x:v>
      </x:c>
      <x:c r="AA474" s="29"/>
      <x:c r="AB474" s="29" t="str">
        <x:v>扩展调研：心理、认知与情商</x:v>
      </x:c>
      <x:c r="AC474" s="29" t="str">
        <x:v>https://osf.io/preprints/psyarxiv/</x:v>
      </x:c>
      <x:c r="AD474" s="29" t="str">
        <x:v>2026-08-17</x:v>
      </x:c>
      <x:c r="AE474" s="29"/>
      <x:c r="AF474" s="29" t="str">
        <x:v>https://api.osf.io/v2/preprints/?filter[provider]=psyarxiv&amp;page[size]=10</x:v>
      </x:c>
      <x:c r="AG474" s="29" t="str"/>
    </x:row>
    <x:row r="475" ht="44" customHeight="1">
      <x:c r="A475" s="29" t="str">
        <x:v>SRC-471</x:v>
      </x:c>
      <x:c r="B475" s="29" t="str">
        <x:f>IF(C475&gt;=93,"S",IF(C475&gt;=90,"A",IF(C475&gt;=80,"B","C")))</x:f>
        <x:v>C</x:v>
      </x:c>
      <x:c r="C475" s="72" t="n">
        <x:f>ROUND((P475*0.20+Q475*0.18+R475*0.20+S475*0.15+T475*0.12+U475*0.10+V475*0.05)*20,0)</x:f>
        <x:v>65</x:v>
      </x:c>
      <x:c r="D475" s="29" t="str">
        <x:v>心理、认知与情商</x:v>
      </x:c>
      <x:c r="E475" s="29" t="str">
        <x:v>情绪与情感科学</x:v>
      </x:c>
      <x:c r="F475" s="29" t="str">
        <x:v>Society for Affective Science（SAS）</x:v>
      </x:c>
      <x:c r="G475" s="29" t="str"/>
      <x:c r="H475" s="29" t="str">
        <x:v>专业学会</x:v>
      </x:c>
      <x:c r="I475" s="29" t="str">
        <x:v>英文</x:v>
      </x:c>
      <x:c r="J475" s="29" t="str">
        <x:v>线索源</x:v>
      </x:c>
      <x:c r="K475" s="29" t="str">
        <x:v>开放；部分会员内容</x:v>
      </x:c>
      <x:c r="L475" s="29" t="str">
        <x:v>不定期</x:v>
      </x:c>
      <x:c r="M475" s="29" t="str">
        <x:v>https://society-for-affective-science.org/</x:v>
      </x:c>
      <x:c r="N475" s="29" t="str">
        <x:v>https://society-for-affective-science.org/feed/</x:v>
      </x:c>
      <x:c r="O475" s="29" t="str">
        <x:v>有效</x:v>
      </x:c>
      <x:c r="P475" s="72" t="n">
        <x:v>3</x:v>
      </x:c>
      <x:c r="Q475" s="72" t="n">
        <x:v>3</x:v>
      </x:c>
      <x:c r="R475" s="72" t="n">
        <x:v>2</x:v>
      </x:c>
      <x:c r="S475" s="72" t="n">
        <x:v>4</x:v>
      </x:c>
      <x:c r="T475" s="72" t="n">
        <x:v>3</x:v>
      </x:c>
      <x:c r="U475" s="72" t="n">
        <x:v>5</x:v>
      </x:c>
      <x:c r="V475" s="72" t="n">
        <x:v>5</x:v>
      </x:c>
      <x:c r="W475" s="29" t="str">
        <x:v>作为情绪科学新论文、学者与会议线索源；核心结论继续下钻期刊论文。</x:v>
      </x:c>
      <x:c r="X475" s="29" t="str">
        <x:v>聚焦情绪、压力、动机和评价过程，提供会议、期刊与领域研究网络的一手动态。</x:v>
      </x:c>
      <x:c r="Y475" s="29" t="str">
        <x:v>2026-08-17：主页 200；官方 RSS 200，XML 已确认。</x:v>
      </x:c>
      <x:c r="Z475" s="75" t="b">
        <x:v>0</x:v>
      </x:c>
      <x:c r="AA475" s="29"/>
      <x:c r="AB475" s="29" t="str">
        <x:v>扩展调研：心理、认知与情商</x:v>
      </x:c>
      <x:c r="AC475" s="29" t="str">
        <x:v>https://society-for-affective-science.org/about/</x:v>
      </x:c>
      <x:c r="AD475" s="29" t="str">
        <x:v>2026-08-17</x:v>
      </x:c>
      <x:c r="AE475" s="29" t="n">
        <x:v>200</x:v>
      </x:c>
      <x:c r="AF475" s="29" t="str">
        <x:v>https://society-for-affective-science.org/feed/</x:v>
      </x:c>
      <x:c r="AG475" s="29" t="str"/>
    </x:row>
    <x:row r="476" ht="44" customHeight="1">
      <x:c r="A476" s="29" t="str">
        <x:v>SRC-472</x:v>
      </x:c>
      <x:c r="B476" s="29" t="str">
        <x:f>IF(C476&gt;=93,"S",IF(C476&gt;=90,"A",IF(C476&gt;=80,"B","C")))</x:f>
        <x:v>C</x:v>
      </x:c>
      <x:c r="C476" s="72" t="n">
        <x:f>ROUND((P476*0.20+Q476*0.18+R476*0.20+S476*0.15+T476*0.12+U476*0.10+V476*0.05)*20,0)</x:f>
        <x:v>65</x:v>
      </x:c>
      <x:c r="D476" s="29" t="str">
        <x:v>心理、认知与情商</x:v>
      </x:c>
      <x:c r="E476" s="29" t="str">
        <x:v>人格与社会心理学共同体</x:v>
      </x:c>
      <x:c r="F476" s="29" t="str">
        <x:v>Society for Personality and Social Psychology（SPSP）</x:v>
      </x:c>
      <x:c r="G476" s="29" t="str"/>
      <x:c r="H476" s="29" t="str">
        <x:v>专业学会 / 研究解读</x:v>
      </x:c>
      <x:c r="I476" s="29" t="str">
        <x:v>英文</x:v>
      </x:c>
      <x:c r="J476" s="29" t="str">
        <x:v>线索源</x:v>
      </x:c>
      <x:c r="K476" s="29" t="str">
        <x:v>开放；部分会员内容；无固定 RSS</x:v>
      </x:c>
      <x:c r="L476" s="29" t="str">
        <x:v>每周</x:v>
      </x:c>
      <x:c r="M476" s="29" t="str">
        <x:v>https://spsp.org/</x:v>
      </x:c>
      <x:c r="N476" s="29" t="str"/>
      <x:c r="O476" s="29" t="str">
        <x:v>无RSS/API入口</x:v>
      </x:c>
      <x:c r="P476" s="72" t="n">
        <x:v>3</x:v>
      </x:c>
      <x:c r="Q476" s="72" t="n">
        <x:v>3</x:v>
      </x:c>
      <x:c r="R476" s="72" t="n">
        <x:v>2</x:v>
      </x:c>
      <x:c r="S476" s="72" t="n">
        <x:v>4</x:v>
      </x:c>
      <x:c r="T476" s="72" t="n">
        <x:v>3</x:v>
      </x:c>
      <x:c r="U476" s="72" t="n">
        <x:v>5</x:v>
      </x:c>
      <x:c r="V476" s="72" t="n">
        <x:v>5</x:v>
      </x:c>
      <x:c r="W476" s="29" t="str">
        <x:v>用于发现研究者与社会心理热点；将协会解读作为入口而非最终证据。</x:v>
      </x:c>
      <x:c r="X476" s="29" t="str">
        <x:v>聚合人格、关系、社会认知与群体行为领域的期刊、会议和公众解读。</x:v>
      </x:c>
      <x:c r="Y476" s="29" t="str">
        <x:v>2026-08-17：官方主页 200；未发现公开 RSS。</x:v>
      </x:c>
      <x:c r="Z476" s="75" t="b">
        <x:v>0</x:v>
      </x:c>
      <x:c r="AA476" s="29"/>
      <x:c r="AB476" s="29" t="str">
        <x:v>扩展调研：心理、认知与情商</x:v>
      </x:c>
      <x:c r="AC476" s="29" t="str">
        <x:v>https://spsp.org/about</x:v>
      </x:c>
      <x:c r="AD476" s="29" t="str">
        <x:v>2026-08-17</x:v>
      </x:c>
      <x:c r="AE476" s="29"/>
      <x:c r="AF476" s="29" t="str"/>
      <x:c r="AG476" s="29" t="str"/>
    </x:row>
    <x:row r="477" ht="44" customHeight="1">
      <x:c r="A477" s="29" t="str">
        <x:v>SRC-473</x:v>
      </x:c>
      <x:c r="B477" s="29" t="str">
        <x:f>IF(C477&gt;=93,"S",IF(C477&gt;=90,"A",IF(C477&gt;=80,"B","C")))</x:f>
        <x:v>C</x:v>
      </x:c>
      <x:c r="C477" s="72" t="n">
        <x:f>ROUND((P477*0.20+Q477*0.18+R477*0.20+S477*0.15+T477*0.12+U477*0.10+V477*0.05)*20,0)</x:f>
        <x:v>65</x:v>
      </x:c>
      <x:c r="D477" s="29" t="str">
        <x:v>心理、认知与情商</x:v>
      </x:c>
      <x:c r="E477" s="29" t="str">
        <x:v>中国心理学专业共同体</x:v>
      </x:c>
      <x:c r="F477" s="29" t="str">
        <x:v>中国心理学会</x:v>
      </x:c>
      <x:c r="G477" s="29" t="str"/>
      <x:c r="H477" s="29" t="str">
        <x:v>全国性专业学会</x:v>
      </x:c>
      <x:c r="I477" s="29" t="str">
        <x:v>中文</x:v>
      </x:c>
      <x:c r="J477" s="29" t="str">
        <x:v>线索源</x:v>
      </x:c>
      <x:c r="K477" s="29" t="str">
        <x:v>开放；部分会员服务</x:v>
      </x:c>
      <x:c r="L477" s="29" t="str">
        <x:v>不定期</x:v>
      </x:c>
      <x:c r="M477" s="29" t="str">
        <x:v>https://www.psysoc.org.cn/</x:v>
      </x:c>
      <x:c r="N477" s="29" t="str"/>
      <x:c r="O477" s="29" t="str">
        <x:v>无RSS/API入口</x:v>
      </x:c>
      <x:c r="P477" s="72" t="n">
        <x:v>3</x:v>
      </x:c>
      <x:c r="Q477" s="72" t="n">
        <x:v>3</x:v>
      </x:c>
      <x:c r="R477" s="72" t="n">
        <x:v>2</x:v>
      </x:c>
      <x:c r="S477" s="72" t="n">
        <x:v>4</x:v>
      </x:c>
      <x:c r="T477" s="72" t="n">
        <x:v>3</x:v>
      </x:c>
      <x:c r="U477" s="72" t="n">
        <x:v>5</x:v>
      </x:c>
      <x:c r="V477" s="72" t="n">
        <x:v>5</x:v>
      </x:c>
      <x:c r="W477" s="29" t="str">
        <x:v>寻找国内会议、专家与专题线索；实证结论继续追踪期刊或研究机构。</x:v>
      </x:c>
      <x:c r="X477" s="29" t="str">
        <x:v>提供国内心理学会议、专业委员会、学术规范和共同体动态。</x:v>
      </x:c>
      <x:c r="Y477" s="29" t="str">
        <x:v>2026-08-17：官方主页 200；未发现公开 RSS。</x:v>
      </x:c>
      <x:c r="Z477" s="75" t="b">
        <x:v>0</x:v>
      </x:c>
      <x:c r="AA477" s="29"/>
      <x:c r="AB477" s="29" t="str">
        <x:v>扩展调研：心理、认知与情商</x:v>
      </x:c>
      <x:c r="AC477" s="29" t="str">
        <x:v>https://www.psysoc.org.cn/</x:v>
      </x:c>
      <x:c r="AD477" s="29" t="str">
        <x:v>2026-08-17</x:v>
      </x:c>
      <x:c r="AE477" s="29"/>
      <x:c r="AF477" s="29" t="str"/>
      <x:c r="AG477" s="29" t="str"/>
    </x:row>
    <x:row r="478" ht="44" customHeight="1">
      <x:c r="A478" s="29" t="str">
        <x:v>SRC-474</x:v>
      </x:c>
      <x:c r="B478" s="29" t="str">
        <x:f>IF(C478&gt;=93,"S",IF(C478&gt;=90,"A",IF(C478&gt;=80,"B","C")))</x:f>
        <x:v>C</x:v>
      </x:c>
      <x:c r="C478" s="72" t="n">
        <x:f>ROUND((P478*0.20+Q478*0.18+R478*0.20+S478*0.15+T478*0.12+U478*0.10+V478*0.05)*20,0)</x:f>
        <x:v>65</x:v>
      </x:c>
      <x:c r="D478" s="29" t="str">
        <x:v>数据与可视化</x:v>
      </x:c>
      <x:c r="E478" s="29" t="str">
        <x:v>跨站数据集发现</x:v>
      </x:c>
      <x:c r="F478" s="29" t="str">
        <x:v>Google Dataset Search</x:v>
      </x:c>
      <x:c r="G478" s="29" t="str"/>
      <x:c r="H478" s="29" t="str">
        <x:v>数据集搜索引擎</x:v>
      </x:c>
      <x:c r="I478" s="29" t="str">
        <x:v>multilingual</x:v>
      </x:c>
      <x:c r="J478" s="29" t="str">
        <x:v>线索源</x:v>
      </x:c>
      <x:c r="K478" s="29" t="str">
        <x:v>Open</x:v>
      </x:c>
      <x:c r="L478" s="29" t="str">
        <x:v>持续更新</x:v>
      </x:c>
      <x:c r="M478" s="29" t="str">
        <x:v>https://datasetsearch.research.google.com/</x:v>
      </x:c>
      <x:c r="N478" s="29" t="str"/>
      <x:c r="O478" s="29" t="str">
        <x:v>无RSS/API入口</x:v>
      </x:c>
      <x:c r="P478" s="72" t="n">
        <x:v>3</x:v>
      </x:c>
      <x:c r="Q478" s="72" t="n">
        <x:v>3</x:v>
      </x:c>
      <x:c r="R478" s="72" t="n">
        <x:v>2</x:v>
      </x:c>
      <x:c r="S478" s="72" t="n">
        <x:v>4</x:v>
      </x:c>
      <x:c r="T478" s="72" t="n">
        <x:v>3</x:v>
      </x:c>
      <x:c r="U478" s="72" t="n">
        <x:v>5</x:v>
      </x:c>
      <x:c r="V478" s="72" t="n">
        <x:v>5</x:v>
      </x:c>
      <x:c r="W478" s="29" t="str">
        <x:v>选题数据发现</x:v>
      </x:c>
      <x:c r="X478" s="29" t="str">
        <x:v>快速寻找公开数据集，再回到原发布机构核对。</x:v>
      </x:c>
      <x:c r="Y478" s="29" t="str">
        <x:v>使用前核对数据口径、更新时间、许可与引用格式。</x:v>
      </x:c>
      <x:c r="Z478" s="75" t="b">
        <x:v>0</x:v>
      </x:c>
      <x:c r="AA478" s="29"/>
      <x:c r="AB478" s="29" t="str">
        <x:v>扩展调研：数据库、资料库与平台</x:v>
      </x:c>
      <x:c r="AC478" s="29" t="str">
        <x:v>https://datasetsearch.research.google.com/</x:v>
      </x:c>
      <x:c r="AD478" s="29" t="str">
        <x:v>2026-08-17</x:v>
      </x:c>
      <x:c r="AE478" s="29"/>
      <x:c r="AF478" s="29" t="str"/>
      <x:c r="AG478" s="29" t="str"/>
    </x:row>
    <x:row r="479" ht="44" customHeight="1">
      <x:c r="A479" s="29" t="str">
        <x:v>SRC-475</x:v>
      </x:c>
      <x:c r="B479" s="29" t="str">
        <x:f>IF(C479&gt;=93,"S",IF(C479&gt;=90,"A",IF(C479&gt;=80,"B","C")))</x:f>
        <x:v>C</x:v>
      </x:c>
      <x:c r="C479" s="72" t="n">
        <x:f>ROUND((P479*0.20+Q479*0.18+R479*0.20+S479*0.15+T479*0.12+U479*0.10+V479*0.05)*20,0)</x:f>
        <x:v>65</x:v>
      </x:c>
      <x:c r="D479" s="29" t="str">
        <x:v>新闻与调查</x:v>
      </x:c>
      <x:c r="E479" s="29" t="str">
        <x:v>解释新闻/视觉</x:v>
      </x:c>
      <x:c r="F479" s="29" t="str">
        <x:v>Vox</x:v>
      </x:c>
      <x:c r="G479" s="29" t="str"/>
      <x:c r="H479" s="29" t="str">
        <x:v>视频 / 频道</x:v>
      </x:c>
      <x:c r="I479" s="29" t="str">
        <x:v>en</x:v>
      </x:c>
      <x:c r="J479" s="29" t="str">
        <x:v>线索源</x:v>
      </x:c>
      <x:c r="K479" s="29" t="str">
        <x:v>Open</x:v>
      </x:c>
      <x:c r="L479" s="29" t="str">
        <x:v>以频道更新为准</x:v>
      </x:c>
      <x:c r="M479" s="29" t="str">
        <x:v>https://www.youtube.com/channel/UCLXo7UDZvByw2ixzpQCufnA</x:v>
      </x:c>
      <x:c r="N479" s="29" t="str">
        <x:v>https://www.youtube.com/feeds/videos.xml?channel_id=UCLXo7UDZvByw2ixzpQCufnA</x:v>
      </x:c>
      <x:c r="O479" s="29" t="str">
        <x:v>有效</x:v>
      </x:c>
      <x:c r="P479" s="72" t="n">
        <x:v>3</x:v>
      </x:c>
      <x:c r="Q479" s="72" t="n">
        <x:v>3</x:v>
      </x:c>
      <x:c r="R479" s="72" t="n">
        <x:v>2</x:v>
      </x:c>
      <x:c r="S479" s="72" t="n">
        <x:v>4</x:v>
      </x:c>
      <x:c r="T479" s="72" t="n">
        <x:v>3</x:v>
      </x:c>
      <x:c r="U479" s="72" t="n">
        <x:v>5</x:v>
      </x:c>
      <x:c r="V479" s="72" t="n">
        <x:v>5</x:v>
      </x:c>
      <x:c r="W479" s="29" t="str">
        <x:v>视频观点拆解、概念科普、选题与案例线索</x:v>
      </x:c>
      <x:c r="X479" s="29" t="str">
        <x:v>高质量解释新闻/视觉视频创作者，适合快速建立背景、观察叙事结构并发现可传播选题。</x:v>
      </x:c>
      <x:c r="Y479" s="29" t="str">
        <x:v>强叙事二手源；数字、地图、因果与引语必须回查论文、数据或官方材料。</x:v>
      </x:c>
      <x:c r="Z479" s="75" t="b">
        <x:v>0</x:v>
      </x:c>
      <x:c r="AA479" s="29"/>
      <x:c r="AB479" s="29" t="str">
        <x:v>YouTube 高质量创作者</x:v>
      </x:c>
      <x:c r="AC479" s="29" t="str">
        <x:v>https://www.youtube.com/@Vox</x:v>
      </x:c>
      <x:c r="AD479" s="29" t="str">
        <x:v>2026-08-17</x:v>
      </x:c>
      <x:c r="AE479" s="29" t="n">
        <x:v>200</x:v>
      </x:c>
      <x:c r="AF479" s="29" t="str">
        <x:v>https://www.youtube.com/feeds/videos.xml?channel_id=UCLXo7UDZvByw2ixzpQCufnA</x:v>
      </x:c>
      <x:c r="AG479" s="29" t="str"/>
    </x:row>
    <x:row r="480" ht="44" customHeight="1">
      <x:c r="A480" s="29" t="str">
        <x:v>SRC-476</x:v>
      </x:c>
      <x:c r="B480" s="29" t="str">
        <x:f>IF(C480&gt;=93,"S",IF(C480&gt;=90,"A",IF(C480&gt;=80,"B","C")))</x:f>
        <x:v>C</x:v>
      </x:c>
      <x:c r="C480" s="72" t="n">
        <x:f>ROUND((P480*0.20+Q480*0.18+R480*0.20+S480*0.15+T480*0.12+U480*0.10+V480*0.05)*20,0)</x:f>
        <x:v>65</x:v>
      </x:c>
      <x:c r="D480" s="29" t="str">
        <x:v>新闻与调查</x:v>
      </x:c>
      <x:c r="E480" s="29" t="str">
        <x:v>中国互联网话语与媒体观察</x:v>
      </x:c>
      <x:c r="F480" s="29" t="str">
        <x:v>中国数字时代 中文网</x:v>
      </x:c>
      <x:c r="G480" s="29" t="str"/>
      <x:c r="H480" s="29" t="str">
        <x:v>媒体汇编、网络文化记录、社会与政治内容</x:v>
      </x:c>
      <x:c r="I480" s="29" t="str">
        <x:v>zh-CN</x:v>
      </x:c>
      <x:c r="J480" s="29" t="str">
        <x:v>线索源</x:v>
      </x:c>
      <x:c r="K480" s="29" t="str">
        <x:v>Open</x:v>
      </x:c>
      <x:c r="L480" s="29" t="str">
        <x:v>每日高频</x:v>
      </x:c>
      <x:c r="M480" s="29" t="str">
        <x:v>https://chinadigitaltimes.net/chinese/</x:v>
      </x:c>
      <x:c r="N480" s="29" t="str">
        <x:v>https://chinadigitaltimes.net/chinese/feed</x:v>
      </x:c>
      <x:c r="O480" s="29" t="str">
        <x:v>有效</x:v>
      </x:c>
      <x:c r="P480" s="72" t="n">
        <x:v>3</x:v>
      </x:c>
      <x:c r="Q480" s="72" t="n">
        <x:v>3</x:v>
      </x:c>
      <x:c r="R480" s="72" t="n">
        <x:v>2</x:v>
      </x:c>
      <x:c r="S480" s="72" t="n">
        <x:v>4</x:v>
      </x:c>
      <x:c r="T480" s="72" t="n">
        <x:v>3</x:v>
      </x:c>
      <x:c r="U480" s="72" t="n">
        <x:v>5</x:v>
      </x:c>
      <x:c r="V480" s="72" t="n">
        <x:v>5</x:v>
      </x:c>
      <x:c r="W480" s="29" t="str">
        <x:v>网络文化档案和叙事变化观察；政治及事实结论必须多源交叉核验。</x:v>
      </x:c>
      <x:c r="X480" s="29" t="str">
        <x:v>保存中国互联网话语、审查与社会叙事变化的材料，档案价值突出。</x:v>
      </x:c>
      <x:c r="Y480" s="29" t="str">
        <x:v>2026-08-17：Feed 端点返回 application/rss+xml。涉及敏感事实时不得作为唯一来源。</x:v>
      </x:c>
      <x:c r="Z480" s="75" t="b">
        <x:v>0</x:v>
      </x:c>
      <x:c r="AA480" s="29"/>
      <x:c r="AB480" s="29" t="str">
        <x:v>扩展调研：人文、历史、哲学与设计</x:v>
      </x:c>
      <x:c r="AC480" s="29" t="str">
        <x:v>https://chinadigitaltimes.net/chinese/</x:v>
      </x:c>
      <x:c r="AD480" s="29" t="str">
        <x:v>2026-08-17</x:v>
      </x:c>
      <x:c r="AE480" s="29" t="n">
        <x:v>200</x:v>
      </x:c>
      <x:c r="AF480" s="29" t="str">
        <x:v>https://chinadigitaltimes.net/chinese/feed</x:v>
      </x:c>
      <x:c r="AG480" s="29" t="str"/>
    </x:row>
    <x:row r="481" ht="44" customHeight="1">
      <x:c r="A481" s="29" t="str">
        <x:v>SRC-477</x:v>
      </x:c>
      <x:c r="B481" s="29" t="str">
        <x:f>IF(C481&gt;=93,"S",IF(C481&gt;=90,"A",IF(C481&gt;=80,"B","C")))</x:f>
        <x:v>C</x:v>
      </x:c>
      <x:c r="C481" s="72" t="n">
        <x:f>ROUND((P481*0.20+Q481*0.18+R481*0.20+S481*0.15+T481*0.12+U481*0.10+V481*0.05)*20,0)</x:f>
        <x:v>65</x:v>
      </x:c>
      <x:c r="D481" s="29" t="str">
        <x:v>社群与发现</x:v>
      </x:c>
      <x:c r="E481" s="29" t="str">
        <x:v>跨学科策展</x:v>
      </x:c>
      <x:c r="F481" s="29" t="str">
        <x:v>3 Quarks Daily</x:v>
      </x:c>
      <x:c r="G481" s="29" t="str"/>
      <x:c r="H481" s="29" t="str">
        <x:v>链接策展、原创专栏、评论</x:v>
      </x:c>
      <x:c r="I481" s="29" t="str">
        <x:v>en</x:v>
      </x:c>
      <x:c r="J481" s="29" t="str">
        <x:v>线索源</x:v>
      </x:c>
      <x:c r="K481" s="29" t="str">
        <x:v>Open</x:v>
      </x:c>
      <x:c r="L481" s="29" t="str">
        <x:v>每日多篇</x:v>
      </x:c>
      <x:c r="M481" s="29" t="str">
        <x:v>https://3quarksdaily.com/</x:v>
      </x:c>
      <x:c r="N481" s="29" t="str">
        <x:v>https://3quarksdaily.com/feed</x:v>
      </x:c>
      <x:c r="O481" s="29" t="str">
        <x:v>重定向后有效</x:v>
      </x:c>
      <x:c r="P481" s="72" t="n">
        <x:v>3</x:v>
      </x:c>
      <x:c r="Q481" s="72" t="n">
        <x:v>3</x:v>
      </x:c>
      <x:c r="R481" s="72" t="n">
        <x:v>2</x:v>
      </x:c>
      <x:c r="S481" s="72" t="n">
        <x:v>4</x:v>
      </x:c>
      <x:c r="T481" s="72" t="n">
        <x:v>3</x:v>
      </x:c>
      <x:c r="U481" s="72" t="n">
        <x:v>5</x:v>
      </x:c>
      <x:c r="V481" s="72" t="n">
        <x:v>5</x:v>
      </x:c>
      <x:c r="W481" s="29" t="str">
        <x:v>每日跨学科精选、意外连接和多观点对照。</x:v>
      </x:c>
      <x:c r="X481" s="29" t="str">
        <x:v>长期人工策展科学、艺术、哲学、文学与时事，能发现主流信息流之外的优质文章。</x:v>
      </x:c>
      <x:c r="Y481" s="29" t="str">
        <x:v>2026-08-17：根路径 Feed 返回 application/rss+xml。</x:v>
      </x:c>
      <x:c r="Z481" s="75" t="b">
        <x:v>0</x:v>
      </x:c>
      <x:c r="AA481" s="29"/>
      <x:c r="AB481" s="29" t="str">
        <x:v>扩展调研：人文、历史、哲学与设计</x:v>
      </x:c>
      <x:c r="AC481" s="29" t="str">
        <x:v>https://3quarksdaily.com/</x:v>
      </x:c>
      <x:c r="AD481" s="29" t="str">
        <x:v>2026-08-17</x:v>
      </x:c>
      <x:c r="AE481" s="29" t="n">
        <x:v>200</x:v>
      </x:c>
      <x:c r="AF481" s="29" t="str">
        <x:v>https://3quarksdaily.com/feed</x:v>
      </x:c>
      <x:c r="AG481" s="29" t="str"/>
    </x:row>
    <x:row r="482" ht="44" customHeight="1">
      <x:c r="A482" s="29" t="str">
        <x:v>SRC-478</x:v>
      </x:c>
      <x:c r="B482" s="29" t="str">
        <x:f>IF(C482&gt;=93,"S",IF(C482&gt;=90,"A",IF(C482&gt;=80,"B","C")))</x:f>
        <x:v>C</x:v>
      </x:c>
      <x:c r="C482" s="72" t="n">
        <x:f>ROUND((P482*0.20+Q482*0.18+R482*0.20+S482*0.15+T482*0.12+U482*0.10+V482*0.05)*20,0)</x:f>
        <x:v>65</x:v>
      </x:c>
      <x:c r="D482" s="29" t="str">
        <x:v>社群与发现</x:v>
      </x:c>
      <x:c r="E482" s="29" t="str">
        <x:v>数据集策展通讯</x:v>
      </x:c>
      <x:c r="F482" s="29" t="str">
        <x:v>Data Is Plural</x:v>
      </x:c>
      <x:c r="G482" s="29" t="str"/>
      <x:c r="H482" s="29" t="str">
        <x:v>每期约五个可下载的好奇数据集</x:v>
      </x:c>
      <x:c r="I482" s="29" t="str">
        <x:v>en</x:v>
      </x:c>
      <x:c r="J482" s="29" t="str">
        <x:v>线索源</x:v>
      </x:c>
      <x:c r="K482" s="29" t="str">
        <x:v>Open</x:v>
      </x:c>
      <x:c r="L482" s="29" t="str">
        <x:v>每周</x:v>
      </x:c>
      <x:c r="M482" s="29" t="str">
        <x:v>https://www.data-is-plural.com/</x:v>
      </x:c>
      <x:c r="N482" s="29" t="str">
        <x:v>https://www.data-is-plural.com/feed.xml</x:v>
      </x:c>
      <x:c r="O482" s="29" t="str">
        <x:v>有效</x:v>
      </x:c>
      <x:c r="P482" s="72" t="n">
        <x:v>3</x:v>
      </x:c>
      <x:c r="Q482" s="72" t="n">
        <x:v>3</x:v>
      </x:c>
      <x:c r="R482" s="72" t="n">
        <x:v>2</x:v>
      </x:c>
      <x:c r="S482" s="72" t="n">
        <x:v>4</x:v>
      </x:c>
      <x:c r="T482" s="72" t="n">
        <x:v>3</x:v>
      </x:c>
      <x:c r="U482" s="72" t="n">
        <x:v>5</x:v>
      </x:c>
      <x:c r="V482" s="72" t="n">
        <x:v>5</x:v>
      </x:c>
      <x:c r="W482" s="29" t="str">
        <x:v>本周数据集、图表选题、资源帖</x:v>
      </x:c>
      <x:c r="X482" s="29" t="str">
        <x:v>找数据型X帖素材效率极高，说明简洁并给出原始出处。</x:v>
      </x:c>
      <x:c r="Y482" s="29" t="str">
        <x:v>Feed符合Buttondown官方username/rss规则；发帖应引用其指向的数据原站。</x:v>
      </x:c>
      <x:c r="Z482" s="75" t="b">
        <x:v>0</x:v>
      </x:c>
      <x:c r="AA482" s="29"/>
      <x:c r="AB482" s="29" t="str">
        <x:v>扩展调研：科技、科学与数据</x:v>
      </x:c>
      <x:c r="AC482" s="29" t="str">
        <x:v>https://docs.buttondown.com/email-to-rss</x:v>
      </x:c>
      <x:c r="AD482" s="29" t="str">
        <x:v>2026-08-17</x:v>
      </x:c>
      <x:c r="AE482" s="29" t="n">
        <x:v>200</x:v>
      </x:c>
      <x:c r="AF482" s="29" t="str">
        <x:v>https://www.data-is-plural.com/feed.xml</x:v>
      </x:c>
      <x:c r="AG482" s="29" t="str"/>
    </x:row>
    <x:row r="483" ht="44" customHeight="1">
      <x:c r="A483" s="29" t="str">
        <x:v>SRC-479</x:v>
      </x:c>
      <x:c r="B483" s="29" t="str">
        <x:f>IF(C483&gt;=93,"S",IF(C483&gt;=90,"A",IF(C483&gt;=80,"B","C")))</x:f>
        <x:v>C</x:v>
      </x:c>
      <x:c r="C483" s="72" t="n">
        <x:f>ROUND((P483*0.20+Q483*0.18+R483*0.20+S483*0.15+T483*0.12+U483*0.10+V483*0.05)*20,0)</x:f>
        <x:v>65</x:v>
      </x:c>
      <x:c r="D483" s="29" t="str">
        <x:v>社群与发现</x:v>
      </x:c>
      <x:c r="E483" s="29" t="str">
        <x:v>科技与独立写作社区</x:v>
      </x:c>
      <x:c r="F483" s="29" t="str">
        <x:v>Hacker News</x:v>
      </x:c>
      <x:c r="G483" s="29" t="str"/>
      <x:c r="H483" s="29" t="str">
        <x:v>社区提交链接与讨论</x:v>
      </x:c>
      <x:c r="I483" s="29" t="str">
        <x:v>en</x:v>
      </x:c>
      <x:c r="J483" s="29" t="str">
        <x:v>线索源</x:v>
      </x:c>
      <x:c r="K483" s="29" t="str">
        <x:v>Open</x:v>
      </x:c>
      <x:c r="L483" s="29" t="str">
        <x:v>每日高频</x:v>
      </x:c>
      <x:c r="M483" s="29" t="str">
        <x:v>https://news.ycombinator.com/</x:v>
      </x:c>
      <x:c r="N483" s="29" t="str">
        <x:v>https://news.ycombinator.com/rss</x:v>
      </x:c>
      <x:c r="O483" s="29" t="str">
        <x:v>有效</x:v>
      </x:c>
      <x:c r="P483" s="72" t="n">
        <x:v>3</x:v>
      </x:c>
      <x:c r="Q483" s="72" t="n">
        <x:v>3</x:v>
      </x:c>
      <x:c r="R483" s="72" t="n">
        <x:v>2</x:v>
      </x:c>
      <x:c r="S483" s="72" t="n">
        <x:v>4</x:v>
      </x:c>
      <x:c r="T483" s="72" t="n">
        <x:v>3</x:v>
      </x:c>
      <x:c r="U483" s="72" t="n">
        <x:v>5</x:v>
      </x:c>
      <x:c r="V483" s="72" t="n">
        <x:v>5</x:v>
      </x:c>
      <x:c r="W483" s="29" t="str">
        <x:v>热点雷达、评论分歧、资源合集；发现趋势后回到原论文、原项目和一手公告研究。</x:v>
      </x:c>
      <x:c r="X483" s="29" t="str">
        <x:v>是论文、开源项目、独立博客和早期技术议题的高灵敏度雷达，但不应直接当事实权威。</x:v>
      </x:c>
      <x:c r="Y483" s="29" t="str">
        <x:v>官方RSS端点已核验；正式发帖应引用原始链接而非HN条目。；2026-08-17：官方 RSS 端点返回 application/rss+xml。</x:v>
      </x:c>
      <x:c r="Z483" s="75" t="b">
        <x:v>0</x:v>
      </x:c>
      <x:c r="AA483" s="29"/>
      <x:c r="AB483" s="29" t="str">
        <x:v>扩展调研：科技、科学与数据；扩展调研：人文、历史、哲学与设计</x:v>
      </x:c>
      <x:c r="AC483" s="29" t="str">
        <x:v>https://news.ycombinator.com/rss；https://news.ycombinator.com/</x:v>
      </x:c>
      <x:c r="AD483" s="29" t="str">
        <x:v>2026-08-17</x:v>
      </x:c>
      <x:c r="AE483" s="29" t="n">
        <x:v>200</x:v>
      </x:c>
      <x:c r="AF483" s="29" t="str">
        <x:v>https://news.ycombinator.com/rss</x:v>
      </x:c>
      <x:c r="AG483" s="29" t="str"/>
    </x:row>
    <x:row r="484" ht="44" customHeight="1">
      <x:c r="A484" s="29" t="str">
        <x:v>SRC-480</x:v>
      </x:c>
      <x:c r="B484" s="29" t="str">
        <x:f>IF(C484&gt;=93,"S",IF(C484&gt;=90,"A",IF(C484&gt;=80,"B","C")))</x:f>
        <x:v>C</x:v>
      </x:c>
      <x:c r="C484" s="72" t="n">
        <x:f>ROUND((P484*0.20+Q484*0.18+R484*0.20+S484*0.15+T484*0.12+U484*0.10+V484*0.05)*20,0)</x:f>
        <x:v>65</x:v>
      </x:c>
      <x:c r="D484" s="29" t="str">
        <x:v>社群与发现</x:v>
      </x:c>
      <x:c r="E484" s="29" t="str">
        <x:v>邀请制技术社区</x:v>
      </x:c>
      <x:c r="F484" s="29" t="str">
        <x:v>Lobsters</x:v>
      </x:c>
      <x:c r="G484" s="29" t="str"/>
      <x:c r="H484" s="29" t="str">
        <x:v>技术链接、标签与社区讨论</x:v>
      </x:c>
      <x:c r="I484" s="29" t="str">
        <x:v>en</x:v>
      </x:c>
      <x:c r="J484" s="29" t="str">
        <x:v>线索源</x:v>
      </x:c>
      <x:c r="K484" s="29" t="str">
        <x:v>Open</x:v>
      </x:c>
      <x:c r="L484" s="29" t="str">
        <x:v>每日高频</x:v>
      </x:c>
      <x:c r="M484" s="29" t="str">
        <x:v>https://lobste.rs/</x:v>
      </x:c>
      <x:c r="N484" s="29" t="str">
        <x:v>https://lobste.rs/rss</x:v>
      </x:c>
      <x:c r="O484" s="29" t="str">
        <x:v>有效</x:v>
      </x:c>
      <x:c r="P484" s="72" t="n">
        <x:v>3</x:v>
      </x:c>
      <x:c r="Q484" s="72" t="n">
        <x:v>3</x:v>
      </x:c>
      <x:c r="R484" s="72" t="n">
        <x:v>2</x:v>
      </x:c>
      <x:c r="S484" s="72" t="n">
        <x:v>4</x:v>
      </x:c>
      <x:c r="T484" s="72" t="n">
        <x:v>3</x:v>
      </x:c>
      <x:c r="U484" s="72" t="n">
        <x:v>5</x:v>
      </x:c>
      <x:c r="V484" s="72" t="n">
        <x:v>5</x:v>
      </x:c>
      <x:c r="W484" s="29" t="str">
        <x:v>冷门高质技术、工程讨论、开源项目；工程深帖、新语言或系统项目和优质独立博客发现。</x:v>
      </x:c>
      <x:c r="X484" s="29" t="str">
        <x:v>邀请制和标签结构降低部分噪音，适合发现工程深帖、语言和系统领域个人博客。</x:v>
      </x:c>
      <x:c r="Y484" s="29" t="str">
        <x:v>RSS端点已核验；正式引用应回到原始项目或文章。；2026-08-17：RSS 端点返回 application/rss+xml。</x:v>
      </x:c>
      <x:c r="Z484" s="75" t="b">
        <x:v>0</x:v>
      </x:c>
      <x:c r="AA484" s="29"/>
      <x:c r="AB484" s="29" t="str">
        <x:v>扩展调研：科技、科学与数据；扩展调研：人文、历史、哲学与设计</x:v>
      </x:c>
      <x:c r="AC484" s="29" t="str">
        <x:v>https://lobste.rs/rss；https://lobste.rs/</x:v>
      </x:c>
      <x:c r="AD484" s="29" t="str">
        <x:v>2026-08-17</x:v>
      </x:c>
      <x:c r="AE484" s="29" t="n">
        <x:v>200</x:v>
      </x:c>
      <x:c r="AF484" s="29" t="str">
        <x:v>https://lobste.rs/rss</x:v>
      </x:c>
      <x:c r="AG484" s="29" t="str"/>
    </x:row>
    <x:row r="485" ht="44" customHeight="1">
      <x:c r="A485" s="29" t="str">
        <x:v>SRC-481</x:v>
      </x:c>
      <x:c r="B485" s="29" t="str">
        <x:f>IF(C485&gt;=93,"S",IF(C485&gt;=90,"A",IF(C485&gt;=80,"B","C")))</x:f>
        <x:v>C</x:v>
      </x:c>
      <x:c r="C485" s="72" t="n">
        <x:f>ROUND((P485*0.20+Q485*0.18+R485*0.20+S485*0.15+T485*0.12+U485*0.10+V485*0.05)*20,0)</x:f>
        <x:v>65</x:v>
      </x:c>
      <x:c r="D485" s="29" t="str">
        <x:v>社群与发现</x:v>
      </x:c>
      <x:c r="E485" s="29" t="str">
        <x:v>长篇报道与散文策展</x:v>
      </x:c>
      <x:c r="F485" s="29" t="str">
        <x:v>Longreads</x:v>
      </x:c>
      <x:c r="G485" s="29" t="str"/>
      <x:c r="H485" s="29" t="str">
        <x:v>长文精选、原创报道、阅读清单</x:v>
      </x:c>
      <x:c r="I485" s="29" t="str">
        <x:v>en</x:v>
      </x:c>
      <x:c r="J485" s="29" t="str">
        <x:v>线索源</x:v>
      </x:c>
      <x:c r="K485" s="29" t="str">
        <x:v>Open</x:v>
      </x:c>
      <x:c r="L485" s="29" t="str">
        <x:v>每日约1至5篇</x:v>
      </x:c>
      <x:c r="M485" s="29" t="str">
        <x:v>https://longreads.com/</x:v>
      </x:c>
      <x:c r="N485" s="29" t="str">
        <x:v>https://longreads.com/feed/</x:v>
      </x:c>
      <x:c r="O485" s="29" t="str">
        <x:v>有效</x:v>
      </x:c>
      <x:c r="P485" s="72" t="n">
        <x:v>3</x:v>
      </x:c>
      <x:c r="Q485" s="72" t="n">
        <x:v>3</x:v>
      </x:c>
      <x:c r="R485" s="72" t="n">
        <x:v>2</x:v>
      </x:c>
      <x:c r="S485" s="72" t="n">
        <x:v>4</x:v>
      </x:c>
      <x:c r="T485" s="72" t="n">
        <x:v>3</x:v>
      </x:c>
      <x:c r="U485" s="72" t="n">
        <x:v>5</x:v>
      </x:c>
      <x:c r="V485" s="72" t="n">
        <x:v>5</x:v>
      </x:c>
      <x:c r="W485" s="29" t="str">
        <x:v>周末阅读清单和长文压缩成关键洞见。</x:v>
      </x:c>
      <x:c r="X485" s="29" t="str">
        <x:v>长期筛选高质量叙事新闻和散文，是研究选题、结构和写作技巧的稳定入口。</x:v>
      </x:c>
      <x:c r="Y485" s="29" t="str">
        <x:v>2026-08-17：Feed 端点返回 application/rss+xml。</x:v>
      </x:c>
      <x:c r="Z485" s="75" t="b">
        <x:v>0</x:v>
      </x:c>
      <x:c r="AA485" s="29"/>
      <x:c r="AB485" s="29" t="str">
        <x:v>扩展调研：人文、历史、哲学与设计</x:v>
      </x:c>
      <x:c r="AC485" s="29" t="str">
        <x:v>https://longreads.com/</x:v>
      </x:c>
      <x:c r="AD485" s="29" t="str">
        <x:v>2026-08-17</x:v>
      </x:c>
      <x:c r="AE485" s="29" t="n">
        <x:v>200</x:v>
      </x:c>
      <x:c r="AF485" s="29" t="str">
        <x:v>https://longreads.com/feed/</x:v>
      </x:c>
      <x:c r="AG485" s="29" t="str"/>
    </x:row>
    <x:row r="486" ht="44" customHeight="1">
      <x:c r="A486" s="29" t="str">
        <x:v>SRC-482</x:v>
      </x:c>
      <x:c r="B486" s="29" t="str">
        <x:f>IF(C486&gt;=93,"S",IF(C486&gt;=90,"A",IF(C486&gt;=80,"B","C")))</x:f>
        <x:v>C</x:v>
      </x:c>
      <x:c r="C486" s="72" t="n">
        <x:f>ROUND((P486*0.20+Q486*0.18+R486*0.20+S486*0.15+T486*0.12+U486*0.10+V486*0.05)*20,0)</x:f>
        <x:v>65</x:v>
      </x:c>
      <x:c r="D486" s="29" t="str">
        <x:v>社群与发现</x:v>
      </x:c>
      <x:c r="E486" s="29" t="str">
        <x:v>人工链接社区</x:v>
      </x:c>
      <x:c r="F486" s="29" t="str">
        <x:v>MetaFilter</x:v>
      </x:c>
      <x:c r="G486" s="29" t="str"/>
      <x:c r="H486" s="29" t="str">
        <x:v>社区策展链接、评论与专题</x:v>
      </x:c>
      <x:c r="I486" s="29" t="str">
        <x:v>en</x:v>
      </x:c>
      <x:c r="J486" s="29" t="str">
        <x:v>线索源</x:v>
      </x:c>
      <x:c r="K486" s="29" t="str">
        <x:v>Open</x:v>
      </x:c>
      <x:c r="L486" s="29" t="str">
        <x:v>每日高频</x:v>
      </x:c>
      <x:c r="M486" s="29" t="str">
        <x:v>https://www.metafilter.com/</x:v>
      </x:c>
      <x:c r="N486" s="29" t="str">
        <x:v>https://rss.metafilter.com/metafilter.rss</x:v>
      </x:c>
      <x:c r="O486" s="29" t="str">
        <x:v>有效</x:v>
      </x:c>
      <x:c r="P486" s="72" t="n">
        <x:v>3</x:v>
      </x:c>
      <x:c r="Q486" s="72" t="n">
        <x:v>3</x:v>
      </x:c>
      <x:c r="R486" s="72" t="n">
        <x:v>2</x:v>
      </x:c>
      <x:c r="S486" s="72" t="n">
        <x:v>4</x:v>
      </x:c>
      <x:c r="T486" s="72" t="n">
        <x:v>3</x:v>
      </x:c>
      <x:c r="U486" s="72" t="n">
        <x:v>5</x:v>
      </x:c>
      <x:c r="V486" s="72" t="n">
        <x:v>5</x:v>
      </x:c>
      <x:c r="W486" s="29" t="str">
        <x:v>链接策展、文化考古和社区问题讨论。</x:v>
      </x:c>
      <x:c r="X486" s="29" t="str">
        <x:v>老牌人工链接社区，擅长发现互联网深处的人文、艺术、历史和奇闻素材。</x:v>
      </x:c>
      <x:c r="Y486" s="29" t="str">
        <x:v>2026-08-17：采用 2024 年后新官方 rss.metafilter.com Feed，端点返回 application/rss+xml。</x:v>
      </x:c>
      <x:c r="Z486" s="75" t="b">
        <x:v>0</x:v>
      </x:c>
      <x:c r="AA486" s="29"/>
      <x:c r="AB486" s="29" t="str">
        <x:v>扩展调研：人文、历史、哲学与设计</x:v>
      </x:c>
      <x:c r="AC486" s="29" t="str">
        <x:v>https://faq.metafilter.com/</x:v>
      </x:c>
      <x:c r="AD486" s="29" t="str">
        <x:v>2026-08-17</x:v>
      </x:c>
      <x:c r="AE486" s="29" t="n">
        <x:v>200</x:v>
      </x:c>
      <x:c r="AF486" s="29" t="str">
        <x:v>https://rss.metafilter.com/metafilter.rss</x:v>
      </x:c>
      <x:c r="AG486" s="29" t="str"/>
    </x:row>
    <x:row r="487" ht="44" customHeight="1">
      <x:c r="A487" s="29" t="str">
        <x:v>SRC-483</x:v>
      </x:c>
      <x:c r="B487" s="29" t="str">
        <x:f>IF(C487&gt;=93,"S",IF(C487&gt;=90,"A",IF(C487&gt;=80,"B","C")))</x:f>
        <x:v>C</x:v>
      </x:c>
      <x:c r="C487" s="72" t="n">
        <x:f>ROUND((P487*0.20+Q487*0.18+R487*0.20+S487*0.15+T487*0.12+U487*0.10+V487*0.05)*20,0)</x:f>
        <x:v>65</x:v>
      </x:c>
      <x:c r="D487" s="29" t="str">
        <x:v>科学与数学</x:v>
      </x:c>
      <x:c r="E487" s="29" t="str">
        <x:v>社会科学预印本</x:v>
      </x:c>
      <x:c r="F487" s="29" t="str">
        <x:v>SSRN</x:v>
      </x:c>
      <x:c r="G487" s="29" t="str"/>
      <x:c r="H487" s="29" t="str">
        <x:v>预印本平台</x:v>
      </x:c>
      <x:c r="I487" s="29" t="str">
        <x:v>en</x:v>
      </x:c>
      <x:c r="J487" s="29" t="str">
        <x:v>线索源</x:v>
      </x:c>
      <x:c r="K487" s="29" t="str">
        <x:v>Open</x:v>
      </x:c>
      <x:c r="L487" s="29" t="str">
        <x:v>每日</x:v>
      </x:c>
      <x:c r="M487" s="29" t="str">
        <x:v>https://www.ssrn.com/</x:v>
      </x:c>
      <x:c r="N487" s="29" t="str"/>
      <x:c r="O487" s="29" t="str">
        <x:v>无RSS/API入口</x:v>
      </x:c>
      <x:c r="P487" s="72" t="n">
        <x:v>3</x:v>
      </x:c>
      <x:c r="Q487" s="72" t="n">
        <x:v>3</x:v>
      </x:c>
      <x:c r="R487" s="72" t="n">
        <x:v>2</x:v>
      </x:c>
      <x:c r="S487" s="72" t="n">
        <x:v>4</x:v>
      </x:c>
      <x:c r="T487" s="72" t="n">
        <x:v>3</x:v>
      </x:c>
      <x:c r="U487" s="72" t="n">
        <x:v>5</x:v>
      </x:c>
      <x:c r="V487" s="72" t="n">
        <x:v>5</x:v>
      </x:c>
      <x:c r="W487" s="29" t="str">
        <x:v>政策与社会科学前沿</x:v>
      </x:c>
      <x:c r="X487" s="29" t="str">
        <x:v>经济、法律和社会科学工作论文的重要入口。</x:v>
      </x:c>
      <x:c r="Y487" s="29" t="str">
        <x:v>工作论文未必同行评审；检查版本、利益冲突与正式发表状态。</x:v>
      </x:c>
      <x:c r="Z487" s="75" t="b">
        <x:v>0</x:v>
      </x:c>
      <x:c r="AA487" s="29"/>
      <x:c r="AB487" s="29" t="str">
        <x:v>扩展调研：数据库、资料库与平台</x:v>
      </x:c>
      <x:c r="AC487" s="29" t="str">
        <x:v>https://www.ssrn.com/</x:v>
      </x:c>
      <x:c r="AD487" s="29" t="str">
        <x:v>2026-08-17</x:v>
      </x:c>
      <x:c r="AE487" s="29"/>
      <x:c r="AF487" s="29" t="str"/>
      <x:c r="AG487" s="29" t="str"/>
    </x:row>
    <x:row r="488" ht="44" customHeight="1">
      <x:c r="A488" s="29" t="str">
        <x:v>SRC-484</x:v>
      </x:c>
      <x:c r="B488" s="29" t="str">
        <x:f>IF(C488&gt;=93,"S",IF(C488&gt;=90,"A",IF(C488&gt;=80,"B","C")))</x:f>
        <x:v>C</x:v>
      </x:c>
      <x:c r="C488" s="72" t="n">
        <x:f>ROUND((P488*0.20+Q488*0.18+R488*0.20+S488*0.15+T488*0.12+U488*0.10+V488*0.05)*20,0)</x:f>
        <x:v>65</x:v>
      </x:c>
      <x:c r="D488" s="29" t="str">
        <x:v>科学与数学</x:v>
      </x:c>
      <x:c r="E488" s="29" t="str">
        <x:v>公民科学项目</x:v>
      </x:c>
      <x:c r="F488" s="29" t="str">
        <x:v>Zooniverse</x:v>
      </x:c>
      <x:c r="G488" s="29" t="str"/>
      <x:c r="H488" s="29" t="str">
        <x:v>研究参与平台</x:v>
      </x:c>
      <x:c r="I488" s="29" t="str">
        <x:v>en</x:v>
      </x:c>
      <x:c r="J488" s="29" t="str">
        <x:v>线索源</x:v>
      </x:c>
      <x:c r="K488" s="29" t="str">
        <x:v>Open</x:v>
      </x:c>
      <x:c r="L488" s="29" t="str">
        <x:v>持续更新</x:v>
      </x:c>
      <x:c r="M488" s="29" t="str">
        <x:v>https://www.zooniverse.org/</x:v>
      </x:c>
      <x:c r="N488" s="29" t="str"/>
      <x:c r="O488" s="29" t="str">
        <x:v>无RSS/API入口</x:v>
      </x:c>
      <x:c r="P488" s="72" t="n">
        <x:v>3</x:v>
      </x:c>
      <x:c r="Q488" s="72" t="n">
        <x:v>3</x:v>
      </x:c>
      <x:c r="R488" s="72" t="n">
        <x:v>2</x:v>
      </x:c>
      <x:c r="S488" s="72" t="n">
        <x:v>4</x:v>
      </x:c>
      <x:c r="T488" s="72" t="n">
        <x:v>3</x:v>
      </x:c>
      <x:c r="U488" s="72" t="n">
        <x:v>5</x:v>
      </x:c>
      <x:c r="V488" s="72" t="n">
        <x:v>5</x:v>
      </x:c>
      <x:c r="W488" s="29" t="str">
        <x:v>公民科学、项目方法与成果</x:v>
      </x:c>
      <x:c r="X488" s="29" t="str">
        <x:v>从真实科研项目中发现可解释的数据任务与公众参与案例。</x:v>
      </x:c>
      <x:c r="Y488" s="29" t="str">
        <x:v>使用前核对数据口径、更新时间、许可与引用格式。</x:v>
      </x:c>
      <x:c r="Z488" s="75" t="b">
        <x:v>0</x:v>
      </x:c>
      <x:c r="AA488" s="29"/>
      <x:c r="AB488" s="29" t="str">
        <x:v>扩展调研：数据库、资料库与平台</x:v>
      </x:c>
      <x:c r="AC488" s="29" t="str">
        <x:v>https://www.zooniverse.org/</x:v>
      </x:c>
      <x:c r="AD488" s="29" t="str">
        <x:v>2026-08-17</x:v>
      </x:c>
      <x:c r="AE488" s="29"/>
      <x:c r="AF488" s="29" t="str"/>
      <x:c r="AG488" s="29" t="str"/>
    </x:row>
    <x:row r="489" ht="44" customHeight="1">
      <x:c r="A489" s="29" t="str">
        <x:v>SRC-485</x:v>
      </x:c>
      <x:c r="B489" s="29" t="str">
        <x:f>IF(C489&gt;=93,"S",IF(C489&gt;=90,"A",IF(C489&gt;=80,"B","C")))</x:f>
        <x:v>C</x:v>
      </x:c>
      <x:c r="C489" s="72" t="n">
        <x:f>ROUND((P489*0.20+Q489*0.18+R489*0.20+S489*0.15+T489*0.12+U489*0.10+V489*0.05)*20,0)</x:f>
        <x:v>65</x:v>
      </x:c>
      <x:c r="D489" s="29" t="str">
        <x:v>艺术、设计与建筑</x:v>
      </x:c>
      <x:c r="E489" s="29" t="str">
        <x:v>设计系统案例索引</x:v>
      </x:c>
      <x:c r="F489" s="29" t="str">
        <x:v>Design Systems Repo</x:v>
      </x:c>
      <x:c r="G489" s="29" t="str"/>
      <x:c r="H489" s="29" t="str">
        <x:v>设计资源目录</x:v>
      </x:c>
      <x:c r="I489" s="29" t="str">
        <x:v>en</x:v>
      </x:c>
      <x:c r="J489" s="29" t="str">
        <x:v>线索源</x:v>
      </x:c>
      <x:c r="K489" s="29" t="str">
        <x:v>Open</x:v>
      </x:c>
      <x:c r="L489" s="29" t="str">
        <x:v>持续更新</x:v>
      </x:c>
      <x:c r="M489" s="29" t="str">
        <x:v>https://designsystemsrepo.com/</x:v>
      </x:c>
      <x:c r="N489" s="29" t="str"/>
      <x:c r="O489" s="29" t="str">
        <x:v>无RSS/API入口</x:v>
      </x:c>
      <x:c r="P489" s="72" t="n">
        <x:v>3</x:v>
      </x:c>
      <x:c r="Q489" s="72" t="n">
        <x:v>3</x:v>
      </x:c>
      <x:c r="R489" s="72" t="n">
        <x:v>2</x:v>
      </x:c>
      <x:c r="S489" s="72" t="n">
        <x:v>4</x:v>
      </x:c>
      <x:c r="T489" s="72" t="n">
        <x:v>3</x:v>
      </x:c>
      <x:c r="U489" s="72" t="n">
        <x:v>5</x:v>
      </x:c>
      <x:c r="V489" s="72" t="n">
        <x:v>5</x:v>
      </x:c>
      <x:c r="W489" s="29" t="str">
        <x:v>设计系统对比、组件与文档案例</x:v>
      </x:c>
      <x:c r="X489" s="29" t="str">
        <x:v>汇总真实产品设计系统、组件库和规范。</x:v>
      </x:c>
      <x:c r="Y489" s="29" t="str">
        <x:v>使用前核对数据口径、更新时间、许可与引用格式。</x:v>
      </x:c>
      <x:c r="Z489" s="75" t="b">
        <x:v>0</x:v>
      </x:c>
      <x:c r="AA489" s="29"/>
      <x:c r="AB489" s="29" t="str">
        <x:v>扩展调研：数据库、资料库与平台</x:v>
      </x:c>
      <x:c r="AC489" s="29" t="str">
        <x:v>https://designsystemsrepo.com/</x:v>
      </x:c>
      <x:c r="AD489" s="29" t="str">
        <x:v>2026-08-17</x:v>
      </x:c>
      <x:c r="AE489" s="29"/>
      <x:c r="AF489" s="29" t="str"/>
      <x:c r="AG489" s="29" t="str"/>
    </x:row>
    <x:row r="490" ht="44" customHeight="1">
      <x:c r="A490" s="29" t="str">
        <x:v>SRC-486</x:v>
      </x:c>
      <x:c r="B490" s="29" t="str">
        <x:f>IF(C490&gt;=93,"S",IF(C490&gt;=90,"A",IF(C490&gt;=80,"B","C")))</x:f>
        <x:v>C</x:v>
      </x:c>
      <x:c r="C490" s="72" t="n">
        <x:f>ROUND((P490*0.20+Q490*0.18+R490*0.20+S490*0.15+T490*0.12+U490*0.10+V490*0.05)*20,0)</x:f>
        <x:v>65</x:v>
      </x:c>
      <x:c r="D490" s="29" t="str">
        <x:v>艺术、设计与建筑</x:v>
      </x:c>
      <x:c r="E490" s="29" t="str">
        <x:v>建筑、工业设计、艺术与技术</x:v>
      </x:c>
      <x:c r="F490" s="29" t="str">
        <x:v>designboom</x:v>
      </x:c>
      <x:c r="G490" s="29" t="str"/>
      <x:c r="H490" s="29" t="str">
        <x:v>项目快讯、视觉报道、设计新闻</x:v>
      </x:c>
      <x:c r="I490" s="29" t="str">
        <x:v>en</x:v>
      </x:c>
      <x:c r="J490" s="29" t="str">
        <x:v>线索源</x:v>
      </x:c>
      <x:c r="K490" s="29" t="str">
        <x:v>Open</x:v>
      </x:c>
      <x:c r="L490" s="29" t="str">
        <x:v>每日高频</x:v>
      </x:c>
      <x:c r="M490" s="29" t="str">
        <x:v>https://www.designboom.com/</x:v>
      </x:c>
      <x:c r="N490" s="29" t="str">
        <x:v>https://www.designboom.com/feed/</x:v>
      </x:c>
      <x:c r="O490" s="29" t="str">
        <x:v>有效</x:v>
      </x:c>
      <x:c r="P490" s="72" t="n">
        <x:v>3</x:v>
      </x:c>
      <x:c r="Q490" s="72" t="n">
        <x:v>3</x:v>
      </x:c>
      <x:c r="R490" s="72" t="n">
        <x:v>2</x:v>
      </x:c>
      <x:c r="S490" s="72" t="n">
        <x:v>4</x:v>
      </x:c>
      <x:c r="T490" s="72" t="n">
        <x:v>3</x:v>
      </x:c>
      <x:c r="U490" s="72" t="n">
        <x:v>5</x:v>
      </x:c>
      <x:c r="V490" s="72" t="n">
        <x:v>5</x:v>
      </x:c>
      <x:c r="W490" s="29" t="str">
        <x:v>新材料、建筑首发和概念设计快帖；建议按标签过滤。</x:v>
      </x:c>
      <x:c r="X490" s="29" t="str">
        <x:v>覆盖全球建筑、工业设计和概念项目，速度快、项目量大。</x:v>
      </x:c>
      <x:c r="Y490" s="29" t="str">
        <x:v>2026-08-17：通用 Feed 请求出现临时 5xx；路径为该站长期标准 Feed，导入时复验。</x:v>
      </x:c>
      <x:c r="Z490" s="75" t="b">
        <x:v>0</x:v>
      </x:c>
      <x:c r="AA490" s="29"/>
      <x:c r="AB490" s="29" t="str">
        <x:v>扩展调研：人文、历史、哲学与设计</x:v>
      </x:c>
      <x:c r="AC490" s="29" t="str">
        <x:v>https://www.designboom.com/</x:v>
      </x:c>
      <x:c r="AD490" s="29" t="str">
        <x:v>2026-08-17</x:v>
      </x:c>
      <x:c r="AE490" s="29" t="n">
        <x:v>200</x:v>
      </x:c>
      <x:c r="AF490" s="29" t="str">
        <x:v>https://www.designboom.com/feed/</x:v>
      </x:c>
      <x:c r="AG490" s="29" t="str"/>
    </x:row>
    <x:row r="491" ht="44" customHeight="1">
      <x:c r="A491" s="29" t="str">
        <x:v>SRC-487</x:v>
      </x:c>
      <x:c r="B491" s="29" t="str">
        <x:f>IF(C491&gt;=93,"S",IF(C491&gt;=90,"A",IF(C491&gt;=80,"B","C")))</x:f>
        <x:v>C</x:v>
      </x:c>
      <x:c r="C491" s="72" t="n">
        <x:f>ROUND((P491*0.20+Q491*0.18+R491*0.20+S491*0.15+T491*0.12+U491*0.10+V491*0.05)*20,0)</x:f>
        <x:v>65</x:v>
      </x:c>
      <x:c r="D491" s="29" t="str">
        <x:v>艺术、设计与建筑</x:v>
      </x:c>
      <x:c r="E491" s="29" t="str">
        <x:v>建筑、室内与产品设计</x:v>
      </x:c>
      <x:c r="F491" s="29" t="str">
        <x:v>Dezeen</x:v>
      </x:c>
      <x:c r="G491" s="29" t="str"/>
      <x:c r="H491" s="29" t="str">
        <x:v>行业新闻、项目图集、访谈与评论</x:v>
      </x:c>
      <x:c r="I491" s="29" t="str">
        <x:v>en</x:v>
      </x:c>
      <x:c r="J491" s="29" t="str">
        <x:v>线索源</x:v>
      </x:c>
      <x:c r="K491" s="29" t="str">
        <x:v>Open</x:v>
      </x:c>
      <x:c r="L491" s="29" t="str">
        <x:v>每日高频</x:v>
      </x:c>
      <x:c r="M491" s="29" t="str">
        <x:v>https://www.dezeen.com/</x:v>
      </x:c>
      <x:c r="N491" s="29" t="str">
        <x:v>https://www.dezeen.com/feed/</x:v>
      </x:c>
      <x:c r="O491" s="29" t="str">
        <x:v>有效</x:v>
      </x:c>
      <x:c r="P491" s="72" t="n">
        <x:v>3</x:v>
      </x:c>
      <x:c r="Q491" s="72" t="n">
        <x:v>3</x:v>
      </x:c>
      <x:c r="R491" s="72" t="n">
        <x:v>2</x:v>
      </x:c>
      <x:c r="S491" s="72" t="n">
        <x:v>4</x:v>
      </x:c>
      <x:c r="T491" s="72" t="n">
        <x:v>3</x:v>
      </x:c>
      <x:c r="U491" s="72" t="n">
        <x:v>5</x:v>
      </x:c>
      <x:c r="V491" s="72" t="n">
        <x:v>5</x:v>
      </x:c>
      <x:c r="W491" s="29" t="str">
        <x:v>项目拆解和设计趋势；建议建立 Architecture 与 Product 子过滤。</x:v>
      </x:c>
      <x:c r="X491" s="29" t="str">
        <x:v>建筑与设计新闻速度快、全球覆盖广、项目图片和基本信息完整。</x:v>
      </x:c>
      <x:c r="Y491" s="29" t="str">
        <x:v>2026-08-17：标准官方 Feed 路径，网页核验器受站点策略限制；阅读器导入时复验。</x:v>
      </x:c>
      <x:c r="Z491" s="75" t="b">
        <x:v>0</x:v>
      </x:c>
      <x:c r="AA491" s="29"/>
      <x:c r="AB491" s="29" t="str">
        <x:v>扩展调研：人文、历史、哲学与设计</x:v>
      </x:c>
      <x:c r="AC491" s="29" t="str">
        <x:v>https://www.dezeen.com/</x:v>
      </x:c>
      <x:c r="AD491" s="29" t="str">
        <x:v>2026-08-17</x:v>
      </x:c>
      <x:c r="AE491" s="29" t="n">
        <x:v>200</x:v>
      </x:c>
      <x:c r="AF491" s="29" t="str">
        <x:v>https://www.dezeen.com/feed/</x:v>
      </x:c>
      <x:c r="AG491" s="29" t="str"/>
    </x:row>
    <x:row r="492" ht="44" customHeight="1">
      <x:c r="A492" s="29" t="str">
        <x:v>SRC-488</x:v>
      </x:c>
      <x:c r="B492" s="29" t="str">
        <x:f>IF(C492&gt;=93,"S",IF(C492&gt;=90,"A",IF(C492&gt;=80,"B","C")))</x:f>
        <x:v>C</x:v>
      </x:c>
      <x:c r="C492" s="72" t="n">
        <x:f>ROUND((P492*0.20+Q492*0.18+R492*0.20+S492*0.15+T492*0.12+U492*0.10+V492*0.05)*20,0)</x:f>
        <x:v>65</x:v>
      </x:c>
      <x:c r="D492" s="29" t="str">
        <x:v>艺术、设计与建筑</x:v>
      </x:c>
      <x:c r="E492" s="29" t="str">
        <x:v>数字展览与超高分辨率作品</x:v>
      </x:c>
      <x:c r="F492" s="29" t="str">
        <x:v>Google Arts &amp; Culture</x:v>
      </x:c>
      <x:c r="G492" s="29" t="str"/>
      <x:c r="H492" s="29" t="str">
        <x:v>文化内容平台</x:v>
      </x:c>
      <x:c r="I492" s="29" t="str">
        <x:v>multilingual</x:v>
      </x:c>
      <x:c r="J492" s="29" t="str">
        <x:v>线索源</x:v>
      </x:c>
      <x:c r="K492" s="29" t="str">
        <x:v>Open</x:v>
      </x:c>
      <x:c r="L492" s="29" t="str">
        <x:v>持续更新</x:v>
      </x:c>
      <x:c r="M492" s="29" t="str">
        <x:v>https://artsandculture.google.com/</x:v>
      </x:c>
      <x:c r="N492" s="29" t="str"/>
      <x:c r="O492" s="29" t="str">
        <x:v>无RSS/API入口</x:v>
      </x:c>
      <x:c r="P492" s="72" t="n">
        <x:v>3</x:v>
      </x:c>
      <x:c r="Q492" s="72" t="n">
        <x:v>3</x:v>
      </x:c>
      <x:c r="R492" s="72" t="n">
        <x:v>2</x:v>
      </x:c>
      <x:c r="S492" s="72" t="n">
        <x:v>4</x:v>
      </x:c>
      <x:c r="T492" s="72" t="n">
        <x:v>3</x:v>
      </x:c>
      <x:c r="U492" s="72" t="n">
        <x:v>5</x:v>
      </x:c>
      <x:c r="V492" s="72" t="n">
        <x:v>5</x:v>
      </x:c>
      <x:c r="W492" s="29" t="str">
        <x:v>展览选题、作品细节</x:v>
      </x:c>
      <x:c r="X492" s="29" t="str">
        <x:v>聚合全球机构的数字展览和高清作品，适合选题发现。</x:v>
      </x:c>
      <x:c r="Y492" s="29" t="str">
        <x:v>展示可访问不等于可下载转载；回到合作机构核权。</x:v>
      </x:c>
      <x:c r="Z492" s="75" t="b">
        <x:v>0</x:v>
      </x:c>
      <x:c r="AA492" s="29"/>
      <x:c r="AB492" s="29" t="str">
        <x:v>扩展调研：数据库、资料库与平台</x:v>
      </x:c>
      <x:c r="AC492" s="29" t="str">
        <x:v>https://artsandculture.google.com/</x:v>
      </x:c>
      <x:c r="AD492" s="29" t="str">
        <x:v>2026-08-17</x:v>
      </x:c>
      <x:c r="AE492" s="29"/>
      <x:c r="AF492" s="29" t="str"/>
      <x:c r="AG492" s="29" t="str"/>
    </x:row>
    <x:row r="493" ht="44" customHeight="1">
      <x:c r="A493" s="29" t="str">
        <x:v>SRC-489</x:v>
      </x:c>
      <x:c r="B493" s="29" t="str">
        <x:f>IF(C493&gt;=93,"S",IF(C493&gt;=90,"A",IF(C493&gt;=80,"B","C")))</x:f>
        <x:v>C</x:v>
      </x:c>
      <x:c r="C493" s="72" t="n">
        <x:f>ROUND((P493*0.20+Q493*0.18+R493*0.20+S493*0.15+T493*0.12+U493*0.10+V493*0.05)*20,0)</x:f>
        <x:v>65</x:v>
      </x:c>
      <x:c r="D493" s="29" t="str">
        <x:v>艺术、设计与建筑</x:v>
      </x:c>
      <x:c r="E493" s="29" t="str">
        <x:v>科技、产品与设计</x:v>
      </x:c>
      <x:c r="F493" s="29" t="str">
        <x:v>爱范儿</x:v>
      </x:c>
      <x:c r="G493" s="29" t="str"/>
      <x:c r="H493" s="29" t="str">
        <x:v>科技新闻、产品报道、设计与消费文化</x:v>
      </x:c>
      <x:c r="I493" s="29" t="str">
        <x:v>zh-CN</x:v>
      </x:c>
      <x:c r="J493" s="29" t="str">
        <x:v>线索源</x:v>
      </x:c>
      <x:c r="K493" s="29" t="str">
        <x:v>Open</x:v>
      </x:c>
      <x:c r="L493" s="29" t="str">
        <x:v>每日高频</x:v>
      </x:c>
      <x:c r="M493" s="29" t="str">
        <x:v>https://www.ifanr.com/</x:v>
      </x:c>
      <x:c r="N493" s="29" t="str">
        <x:v>https://www.ifanr.com/feed</x:v>
      </x:c>
      <x:c r="O493" s="29" t="str">
        <x:v>有效</x:v>
      </x:c>
      <x:c r="P493" s="72" t="n">
        <x:v>3</x:v>
      </x:c>
      <x:c r="Q493" s="72" t="n">
        <x:v>3</x:v>
      </x:c>
      <x:c r="R493" s="72" t="n">
        <x:v>2</x:v>
      </x:c>
      <x:c r="S493" s="72" t="n">
        <x:v>4</x:v>
      </x:c>
      <x:c r="T493" s="72" t="n">
        <x:v>3</x:v>
      </x:c>
      <x:c r="U493" s="72" t="n">
        <x:v>5</x:v>
      </x:c>
      <x:c r="V493" s="72" t="n">
        <x:v>5</x:v>
      </x:c>
      <x:c r="W493" s="29" t="str">
        <x:v>产品发布、设计观察、消费科技；中文科技快讯和产品设计观察，深度结论回到厂商或论文一手源。</x:v>
      </x:c>
      <x:c r="X493" s="29" t="str">
        <x:v>中文科技产品更新快，兼顾设计与消费文化，可作为快讯和选题雷达。</x:v>
      </x:c>
      <x:c r="Y493" s="29" t="str">
        <x:v>RSS端点已核验；涉及产品参数应再核官方产品页。；2026-08-17：Feed 端点返回 application/rss+xml。</x:v>
      </x:c>
      <x:c r="Z493" s="75" t="b">
        <x:v>0</x:v>
      </x:c>
      <x:c r="AA493" s="29"/>
      <x:c r="AB493" s="29" t="str">
        <x:v>扩展调研：科技、科学与数据；扩展调研：人文、历史、哲学与设计</x:v>
      </x:c>
      <x:c r="AC493" s="29" t="str">
        <x:v>https://www.ifanr.com/feed；https://www.ifanr.com/</x:v>
      </x:c>
      <x:c r="AD493" s="29" t="str">
        <x:v>2026-08-17</x:v>
      </x:c>
      <x:c r="AE493" s="29" t="n">
        <x:v>200</x:v>
      </x:c>
      <x:c r="AF493" s="29" t="str">
        <x:v>https://www.ifanr.com/feed</x:v>
      </x:c>
      <x:c r="AG493" s="29" t="str"/>
    </x:row>
    <x:row r="494" ht="44" customHeight="1">
      <x:c r="A494" s="29" t="str">
        <x:v>SRC-490</x:v>
      </x:c>
      <x:c r="B494" s="29" t="str">
        <x:f>IF(C494&gt;=93,"S",IF(C494&gt;=90,"A",IF(C494&gt;=80,"B","C")))</x:f>
        <x:v>C</x:v>
      </x:c>
      <x:c r="C494" s="72" t="n">
        <x:f>ROUND((P494*0.20+Q494*0.18+R494*0.20+S494*0.15+T494*0.12+U494*0.10+V494*0.05)*20,0)</x:f>
        <x:v>63</x:v>
      </x:c>
      <x:c r="D494" s="29" t="str">
        <x:v>商业、管理与创新</x:v>
      </x:c>
      <x:c r="E494" s="29" t="str">
        <x:v>中国企业与管理教学案例</x:v>
      </x:c>
      <x:c r="F494" s="29" t="str">
        <x:v>长江商学院案例中心</x:v>
      </x:c>
      <x:c r="G494" s="29" t="str"/>
      <x:c r="H494" s="29" t="str">
        <x:v>商学院案例研究平台</x:v>
      </x:c>
      <x:c r="I494" s="29" t="str">
        <x:v>zh-CN</x:v>
      </x:c>
      <x:c r="J494" s="29" t="str">
        <x:v>线索源</x:v>
      </x:c>
      <x:c r="K494" s="29" t="str">
        <x:v>Varies</x:v>
      </x:c>
      <x:c r="L494" s="29" t="str">
        <x:v>持续更新</x:v>
      </x:c>
      <x:c r="M494" s="29" t="str">
        <x:v>https://www.ckgsb.edu.cn/faculty/case_center</x:v>
      </x:c>
      <x:c r="N494" s="29" t="str"/>
      <x:c r="O494" s="29" t="str">
        <x:v>无RSS/API入口</x:v>
      </x:c>
      <x:c r="P494" s="72" t="n">
        <x:v>3</x:v>
      </x:c>
      <x:c r="Q494" s="72" t="n">
        <x:v>3</x:v>
      </x:c>
      <x:c r="R494" s="72" t="n">
        <x:v>2</x:v>
      </x:c>
      <x:c r="S494" s="72" t="n">
        <x:v>4</x:v>
      </x:c>
      <x:c r="T494" s="72" t="n">
        <x:v>3</x:v>
      </x:c>
      <x:c r="U494" s="72" t="n">
        <x:v>5</x:v>
      </x:c>
      <x:c r="V494" s="72" t="n">
        <x:v>3</x:v>
      </x:c>
      <x:c r="W494" s="29" t="str">
        <x:v>商业案例复盘、决策背景与组织机制</x:v>
      </x:c>
      <x:c r="X494" s="29" t="str">
        <x:v>按战略、创新、营销、运营和组织等主题提供中国企业案例入口。</x:v>
      </x:c>
      <x:c r="Y494" s="29" t="str">
        <x:v>教学案例用于讨论而非证明决策有效；回查企业数据、访谈来源与结果基准，并遵守案例版权。</x:v>
      </x:c>
      <x:c r="Z494" s="75" t="b">
        <x:v>0</x:v>
      </x:c>
      <x:c r="AA494" s="29"/>
      <x:c r="AB494" s="29" t="str">
        <x:v>扩展调研：中文心理、健康与商业机构</x:v>
      </x:c>
      <x:c r="AC494" s="29" t="str">
        <x:v>https://www.ckgsb.edu.cn/faculty/case_center</x:v>
      </x:c>
      <x:c r="AD494" s="29" t="str">
        <x:v>2026-08-17</x:v>
      </x:c>
      <x:c r="AE494" s="29"/>
      <x:c r="AF494" s="29" t="str"/>
      <x:c r="AG494" s="29" t="str"/>
    </x:row>
    <x:row r="495" ht="44" customHeight="1">
      <x:c r="A495" s="29" t="str">
        <x:v>SRC-491</x:v>
      </x:c>
      <x:c r="B495" s="29" t="str">
        <x:f>IF(C495&gt;=93,"S",IF(C495&gt;=90,"A",IF(C495&gt;=80,"B","C")))</x:f>
        <x:v>C</x:v>
      </x:c>
      <x:c r="C495" s="72" t="n">
        <x:f>ROUND((P495*0.20+Q495*0.18+R495*0.20+S495*0.15+T495*0.12+U495*0.10+V495*0.05)*20,0)</x:f>
        <x:v>63</x:v>
      </x:c>
      <x:c r="D495" s="29" t="str">
        <x:v>地球、地理与城市</x:v>
      </x:c>
      <x:c r="E495" s="29" t="str">
        <x:v>遥感与环境数据目录</x:v>
      </x:c>
      <x:c r="F495" s="29" t="str">
        <x:v>Google Earth Engine Data Catalog</x:v>
      </x:c>
      <x:c r="G495" s="29" t="str"/>
      <x:c r="H495" s="29" t="str">
        <x:v>数据目录 / 云分析平台</x:v>
      </x:c>
      <x:c r="I495" s="29" t="str">
        <x:v>en</x:v>
      </x:c>
      <x:c r="J495" s="29" t="str">
        <x:v>线索源</x:v>
      </x:c>
      <x:c r="K495" s="29" t="str">
        <x:v>Freemium</x:v>
      </x:c>
      <x:c r="L495" s="29" t="str">
        <x:v>持续更新</x:v>
      </x:c>
      <x:c r="M495" s="29" t="str">
        <x:v>https://developers.google.com/earth-engine/datasets/catalog</x:v>
      </x:c>
      <x:c r="N495" s="29" t="str"/>
      <x:c r="O495" s="29" t="str">
        <x:v>无RSS/API入口</x:v>
      </x:c>
      <x:c r="P495" s="72" t="n">
        <x:v>3</x:v>
      </x:c>
      <x:c r="Q495" s="72" t="n">
        <x:v>3</x:v>
      </x:c>
      <x:c r="R495" s="72" t="n">
        <x:v>2</x:v>
      </x:c>
      <x:c r="S495" s="72" t="n">
        <x:v>4</x:v>
      </x:c>
      <x:c r="T495" s="72" t="n">
        <x:v>3</x:v>
      </x:c>
      <x:c r="U495" s="72" t="n">
        <x:v>5</x:v>
      </x:c>
      <x:c r="V495" s="72" t="n">
        <x:v>3</x:v>
      </x:c>
      <x:c r="W495" s="29" t="str">
        <x:v>遥感选题、时空变化图</x:v>
      </x:c>
      <x:c r="X495" s="29" t="str">
        <x:v>集中索引大量卫星、气候、地表覆盖和社会经济栅格。</x:v>
      </x:c>
      <x:c r="Y495" s="29" t="str">
        <x:v>使用前核对数据口径、更新时间、许可与引用格式。</x:v>
      </x:c>
      <x:c r="Z495" s="75" t="b">
        <x:v>0</x:v>
      </x:c>
      <x:c r="AA495" s="29"/>
      <x:c r="AB495" s="29" t="str">
        <x:v>扩展调研：数据库、资料库与平台</x:v>
      </x:c>
      <x:c r="AC495" s="29" t="str">
        <x:v>https://developers.google.com/earth-engine/datasets/catalog</x:v>
      </x:c>
      <x:c r="AD495" s="29" t="str">
        <x:v>2026-08-17</x:v>
      </x:c>
      <x:c r="AE495" s="29"/>
      <x:c r="AF495" s="29" t="str"/>
      <x:c r="AG495" s="29" t="str"/>
    </x:row>
    <x:row r="496" ht="44" customHeight="1">
      <x:c r="A496" s="29" t="str">
        <x:v>SRC-492</x:v>
      </x:c>
      <x:c r="B496" s="29" t="str">
        <x:f>IF(C496&gt;=93,"S",IF(C496&gt;=90,"A",IF(C496&gt;=80,"B","C")))</x:f>
        <x:v>C</x:v>
      </x:c>
      <x:c r="C496" s="72" t="n">
        <x:f>ROUND((P496*0.20+Q496*0.18+R496*0.20+S496*0.15+T496*0.12+U496*0.10+V496*0.05)*20,0)</x:f>
        <x:v>63</x:v>
      </x:c>
      <x:c r="D496" s="29" t="str">
        <x:v>社群与发现</x:v>
      </x:c>
      <x:c r="E496" s="29" t="str">
        <x:v>跨学科人工策展</x:v>
      </x:c>
      <x:c r="F496" s="29" t="str">
        <x:v>Kottke.org</x:v>
      </x:c>
      <x:c r="G496" s="29" t="str"/>
      <x:c r="H496" s="29" t="str">
        <x:v>链接、短评、科学艺术历史精选</x:v>
      </x:c>
      <x:c r="I496" s="29" t="str">
        <x:v>en</x:v>
      </x:c>
      <x:c r="J496" s="29" t="str">
        <x:v>线索源</x:v>
      </x:c>
      <x:c r="K496" s="29" t="str">
        <x:v>Freemium</x:v>
      </x:c>
      <x:c r="L496" s="29" t="str">
        <x:v>每日约1至5篇</x:v>
      </x:c>
      <x:c r="M496" s="29" t="str">
        <x:v>https://kottke.org/</x:v>
      </x:c>
      <x:c r="N496" s="29" t="str">
        <x:v>https://feeds.kottke.org/main</x:v>
      </x:c>
      <x:c r="O496" s="29" t="str">
        <x:v>有效</x:v>
      </x:c>
      <x:c r="P496" s="72" t="n">
        <x:v>3</x:v>
      </x:c>
      <x:c r="Q496" s="72" t="n">
        <x:v>3</x:v>
      </x:c>
      <x:c r="R496" s="72" t="n">
        <x:v>2</x:v>
      </x:c>
      <x:c r="S496" s="72" t="n">
        <x:v>4</x:v>
      </x:c>
      <x:c r="T496" s="72" t="n">
        <x:v>3</x:v>
      </x:c>
      <x:c r="U496" s="72" t="n">
        <x:v>5</x:v>
      </x:c>
      <x:c r="V496" s="72" t="n">
        <x:v>3</x:v>
      </x:c>
      <x:c r="W496" s="29" t="str">
        <x:v>每日三条值得读、冷知识和跨领域连接。</x:v>
      </x:c>
      <x:c r="X496" s="29" t="str">
        <x:v>长期个人策展，选链品位稳定，能快速发现值得继续追原文的跨领域内容。</x:v>
      </x:c>
      <x:c r="Y496" s="29" t="str">
        <x:v>2026-08-17：官方 feeds 子域端点返回 text/xml。</x:v>
      </x:c>
      <x:c r="Z496" s="75" t="b">
        <x:v>0</x:v>
      </x:c>
      <x:c r="AA496" s="29"/>
      <x:c r="AB496" s="29" t="str">
        <x:v>扩展调研：人文、历史、哲学与设计</x:v>
      </x:c>
      <x:c r="AC496" s="29" t="str">
        <x:v>https://kottke.org/</x:v>
      </x:c>
      <x:c r="AD496" s="29" t="str">
        <x:v>2026-08-17</x:v>
      </x:c>
      <x:c r="AE496" s="29" t="n">
        <x:v>200</x:v>
      </x:c>
      <x:c r="AF496" s="29" t="str">
        <x:v>https://feeds.kottke.org/main</x:v>
      </x:c>
      <x:c r="AG496" s="29" t="str"/>
    </x:row>
    <x:row r="497" ht="44" customHeight="1">
      <x:c r="A497" s="29" t="str">
        <x:v>SRC-493</x:v>
      </x:c>
      <x:c r="B497" s="29" t="str">
        <x:f>IF(C497&gt;=93,"S",IF(C497&gt;=90,"A",IF(C497&gt;=80,"B","C")))</x:f>
        <x:v>C</x:v>
      </x:c>
      <x:c r="C497" s="72" t="n">
        <x:f>ROUND((P497*0.20+Q497*0.18+R497*0.20+S497*0.15+T497*0.12+U497*0.10+V497*0.05)*20,0)</x:f>
        <x:v>63</x:v>
      </x:c>
      <x:c r="D497" s="29" t="str">
        <x:v>科学与数学</x:v>
      </x:c>
      <x:c r="E497" s="29" t="str">
        <x:v>论文关系图</x:v>
      </x:c>
      <x:c r="F497" s="29" t="str">
        <x:v>Connected Papers</x:v>
      </x:c>
      <x:c r="G497" s="29" t="str"/>
      <x:c r="H497" s="29" t="str">
        <x:v>文献发现平台</x:v>
      </x:c>
      <x:c r="I497" s="29" t="str">
        <x:v>en</x:v>
      </x:c>
      <x:c r="J497" s="29" t="str">
        <x:v>线索源</x:v>
      </x:c>
      <x:c r="K497" s="29" t="str">
        <x:v>Freemium</x:v>
      </x:c>
      <x:c r="L497" s="29" t="str">
        <x:v>持续更新</x:v>
      </x:c>
      <x:c r="M497" s="29" t="str">
        <x:v>https://www.connectedpapers.com/</x:v>
      </x:c>
      <x:c r="N497" s="29" t="str"/>
      <x:c r="O497" s="29" t="str">
        <x:v>无RSS/API入口</x:v>
      </x:c>
      <x:c r="P497" s="72" t="n">
        <x:v>3</x:v>
      </x:c>
      <x:c r="Q497" s="72" t="n">
        <x:v>3</x:v>
      </x:c>
      <x:c r="R497" s="72" t="n">
        <x:v>2</x:v>
      </x:c>
      <x:c r="S497" s="72" t="n">
        <x:v>4</x:v>
      </x:c>
      <x:c r="T497" s="72" t="n">
        <x:v>3</x:v>
      </x:c>
      <x:c r="U497" s="72" t="n">
        <x:v>5</x:v>
      </x:c>
      <x:c r="V497" s="72" t="n">
        <x:v>3</x:v>
      </x:c>
      <x:c r="W497" s="29" t="str">
        <x:v>研究谱系图、关键论文</x:v>
      </x:c>
      <x:c r="X497" s="29" t="str">
        <x:v>用相似性图谱找到奠基论文和后续工作。</x:v>
      </x:c>
      <x:c r="Y497" s="29" t="str">
        <x:v>使用前核对数据口径、更新时间、许可与引用格式。</x:v>
      </x:c>
      <x:c r="Z497" s="75" t="b">
        <x:v>0</x:v>
      </x:c>
      <x:c r="AA497" s="29"/>
      <x:c r="AB497" s="29" t="str">
        <x:v>扩展调研：数据库、资料库与平台</x:v>
      </x:c>
      <x:c r="AC497" s="29" t="str">
        <x:v>https://www.connectedpapers.com/</x:v>
      </x:c>
      <x:c r="AD497" s="29" t="str">
        <x:v>2026-08-17</x:v>
      </x:c>
      <x:c r="AE497" s="29"/>
      <x:c r="AF497" s="29" t="str"/>
      <x:c r="AG497" s="29" t="str"/>
    </x:row>
    <x:row r="498" ht="44" customHeight="1">
      <x:c r="A498" s="31" t="str">
        <x:v>SRC-494</x:v>
      </x:c>
      <x:c r="B498" s="31" t="str">
        <x:f>IF(C498&gt;=93,"S",IF(C498&gt;=90,"A",IF(C498&gt;=80,"B","C")))</x:f>
        <x:v>C</x:v>
      </x:c>
      <x:c r="C498" s="73" t="n">
        <x:f>ROUND((P498*0.20+Q498*0.18+R498*0.20+S498*0.15+T498*0.12+U498*0.10+V498*0.05)*20,0)</x:f>
        <x:v>63</x:v>
      </x:c>
      <x:c r="D498" s="31" t="str">
        <x:v>艺术、设计与建筑</x:v>
      </x:c>
      <x:c r="E498" s="31" t="str">
        <x:v>工业设计与制造</x:v>
      </x:c>
      <x:c r="F498" s="31" t="str">
        <x:v>Core77</x:v>
      </x:c>
      <x:c r="G498" s="31" t="str"/>
      <x:c r="H498" s="31" t="str">
        <x:v>产品报道、工业设计分析、教育与职业内容</x:v>
      </x:c>
      <x:c r="I498" s="31" t="str">
        <x:v>en</x:v>
      </x:c>
      <x:c r="J498" s="31" t="str">
        <x:v>线索源</x:v>
      </x:c>
      <x:c r="K498" s="31" t="str">
        <x:v>Freemium</x:v>
      </x:c>
      <x:c r="L498" s="31" t="str">
        <x:v>每日数篇</x:v>
      </x:c>
      <x:c r="M498" s="31" t="str">
        <x:v>https://www.core77.com/</x:v>
      </x:c>
      <x:c r="N498" s="31" t="str">
        <x:v>https://feeds.feedburner.com/core77/blog</x:v>
      </x:c>
      <x:c r="O498" s="31" t="str">
        <x:v>有效</x:v>
      </x:c>
      <x:c r="P498" s="73" t="n">
        <x:v>3</x:v>
      </x:c>
      <x:c r="Q498" s="73" t="n">
        <x:v>3</x:v>
      </x:c>
      <x:c r="R498" s="73" t="n">
        <x:v>2</x:v>
      </x:c>
      <x:c r="S498" s="73" t="n">
        <x:v>4</x:v>
      </x:c>
      <x:c r="T498" s="73" t="n">
        <x:v>3</x:v>
      </x:c>
      <x:c r="U498" s="73" t="n">
        <x:v>5</x:v>
      </x:c>
      <x:c r="V498" s="73" t="n">
        <x:v>3</x:v>
      </x:c>
      <x:c r="W498" s="31" t="str">
        <x:v>产品结构、失败设计、制造细节和设计师工作流。</x:v>
      </x:c>
      <x:c r="X498" s="31" t="str">
        <x:v>长期服务工业设计从业者，产品结构、制造细节和设计职业信息密集。</x:v>
      </x:c>
      <x:c r="Y498" s="31" t="str">
        <x:v>2026-08-17：Core77 官网 About 页直接链接该 FeedBurner RSS，端点返回 text/xml。</x:v>
      </x:c>
      <x:c r="Z498" s="76" t="b">
        <x:v>0</x:v>
      </x:c>
      <x:c r="AA498" s="31"/>
      <x:c r="AB498" s="31" t="str">
        <x:v>扩展调研：人文、历史、哲学与设计</x:v>
      </x:c>
      <x:c r="AC498" s="31" t="str">
        <x:v>https://www.core77.com/about</x:v>
      </x:c>
      <x:c r="AD498" s="31" t="str">
        <x:v>2026-08-17</x:v>
      </x:c>
      <x:c r="AE498" s="31" t="n">
        <x:v>200</x:v>
      </x:c>
      <x:c r="AF498" s="31" t="str">
        <x:v>https://feeds.feedburner.com/core77/blog</x:v>
      </x:c>
      <x:c r="AG498" s="31" t="str"/>
    </x:row>
  </x:sheetData>
  <x:mergeCells>
    <x:mergeCell ref="A1:H1"/>
    <x:mergeCell ref="A2:N2"/>
  </x:mergeCells>
  <x:conditionalFormatting sqref="B5:B498">
    <x:cfRule type="containsText" dxfId="0" priority="1" operator="containsText" text="S"/>
    <x:cfRule type="containsText" dxfId="1" priority="2" operator="containsText" text="A"/>
    <x:cfRule type="containsText" dxfId="2" priority="3" operator="containsText" text="B"/>
    <x:cfRule type="containsText" dxfId="3" priority="4" operator="containsText" text="C"/>
  </x:conditionalFormatting>
  <x:conditionalFormatting sqref="C5:C498">
    <x:cfRule type="dataBar" priority="5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{FA8915B9-1F99-28CF-0984-A84BC2569D57}</x14:id>
        </x:ext>
      </x:extLst>
    </x:cfRule>
  </x:conditionalFormatting>
  <x:conditionalFormatting sqref="O5:O498">
    <x:cfRule type="containsText" dxfId="4" priority="6" operator="containsText" text="有效"/>
    <x:cfRule type="containsText" dxfId="5" priority="7" operator="containsText" text="受限"/>
    <x:cfRule type="containsText" dxfId="6" priority="8" operator="containsText" text="失效"/>
    <x:cfRule type="containsText" dxfId="7" priority="9" operator="containsText" text="非Feed"/>
  </x:conditionalFormatting>
  <x:pageMargins left="0.7" right="0.7" top="0.75" bottom="0.75" header="0.3" footer="0.3"/>
  <x:tableParts count="1">
    <x:tablePart xmlns:r="http://schemas.openxmlformats.org/officeDocument/2006/relationships" r:id="R686faac313ed458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FA8915B9-1F99-28CF-0984-A84BC2569D57}">
            <x14:dataBar gradient="1">
              <x14:cfvo type="min"/>
              <x14:cfvo type="max"/>
              <x14:fillColor rgb="FF14B8A6"/>
            </x14:dataBar>
          </x14:cfRule>
          <xm:sqref>C5:C498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20" hidden="0" customWidth="1"/>
    <x:col min="4" max="4" width="22" hidden="0" customWidth="1"/>
    <x:col min="5" max="5" width="34" hidden="0" customWidth="1"/>
    <x:col min="6" max="6" width="36" hidden="0" customWidth="1"/>
    <x:col min="7" max="7" width="42" hidden="0" customWidth="1"/>
    <x:col min="8" max="8" width="42" hidden="0" customWidth="1"/>
    <x:col min="9" max="9" width="18" hidden="0" customWidth="1"/>
    <x:col min="10" max="10" width="12" hidden="0" customWidth="1"/>
    <x:col min="11" max="11" width="34" hidden="0" customWidth="1"/>
    <x:col min="12" max="12" width="50" hidden="0" customWidth="1"/>
  </x:cols>
  <x:sheetData>
    <x:row r="1" ht="34" customHeight="1">
      <x:c r="A1" s="3" t="str">
        <x:v>Karpathy 分享的 HN 2025 RSS 冷启动集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严谨归因：92 条由 emschwartz 根据 Michael Lynch 的 2025 Hacker News 个人博客排名整理；Karpathy 分享并推荐其作为 RSS 冷启动示例，并非逐条亲选。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2" customHeight="1">
      <x:c r="A4" s="13" t="str">
        <x:v>排序</x:v>
      </x:c>
      <x:c r="B4" s="13" t="str">
        <x:v>博客/域名</x:v>
      </x:c>
      <x:c r="C4" s="13" t="str">
        <x:v>作者</x:v>
      </x:c>
      <x:c r="D4" s="13" t="str">
        <x:v>主分类</x:v>
      </x:c>
      <x:c r="E4" s="13" t="str">
        <x:v>原始主题</x:v>
      </x:c>
      <x:c r="F4" s="13" t="str">
        <x:v>主页URL</x:v>
      </x:c>
      <x:c r="G4" s="13" t="str">
        <x:v>原始Feed</x:v>
      </x:c>
      <x:c r="H4" s="13" t="str">
        <x:v>当前/最终Feed</x:v>
      </x:c>
      <x:c r="I4" s="13" t="str">
        <x:v>状态</x:v>
      </x:c>
      <x:c r="J4" s="13" t="str">
        <x:v>引用角色</x:v>
      </x:c>
      <x:c r="K4" s="13" t="str">
        <x:v>适合X帖型</x:v>
      </x:c>
      <x:c r="L4" s="13" t="str">
        <x:v>提醒</x:v>
      </x:c>
    </x:row>
    <x:row r="5" ht="42" customHeight="1">
      <x:c r="A5" s="27" t="n">
        <x:v>1</x:v>
      </x:c>
      <x:c r="B5" s="27" t="str">
        <x:v>simonwillison.net</x:v>
      </x:c>
      <x:c r="C5" s="27" t="str">
        <x:v>Simon Willison</x:v>
      </x:c>
      <x:c r="D5" s="27" t="str">
        <x:v>AI、科技与工程</x:v>
      </x:c>
      <x:c r="E5" s="27" t="str">
        <x:v>AI,data journalism,blogging</x:v>
      </x:c>
      <x:c r="F5" s="27" t="str">
        <x:v>https://simonwillison.net/</x:v>
      </x:c>
      <x:c r="G5" s="27" t="str">
        <x:v>https://simonwillison.net/atom/everything/</x:v>
      </x:c>
      <x:c r="H5" s="27" t="str">
        <x:v>https://simonwillison.net/atom/everything/</x:v>
      </x:c>
      <x:c r="I5" s="27" t="str">
        <x:v>有效</x:v>
      </x:c>
      <x:c r="J5" s="27" t="str">
        <x:v>解释源</x:v>
      </x:c>
      <x:c r="K5" s="27" t="str">
        <x:v>工程洞见、实战复盘、技术解释；新功能实测、失败案例、实用技巧</x:v>
      </x:c>
      <x:c r="L5" s="27" t="str">
        <x:v>独立作者源；事实、数字和因果需回到论文、文档或数据。观点须明确归因。；Everything Atom端点已核验。</x:v>
      </x:c>
    </x:row>
    <x:row r="6" ht="42" customHeight="1">
      <x:c r="A6" s="29" t="n">
        <x:v>2</x:v>
      </x:c>
      <x:c r="B6" s="29" t="str">
        <x:v>jeffgeerling.com</x:v>
      </x:c>
      <x:c r="C6" s="29" t="str">
        <x:v>Jeff Geerling</x:v>
      </x:c>
      <x:c r="D6" s="29" t="str">
        <x:v>AI、科技与工程</x:v>
      </x:c>
      <x:c r="E6" s="29" t="str">
        <x:v>Raspberry Pi, Ansible, open-source</x:v>
      </x:c>
      <x:c r="F6" s="29" t="str">
        <x:v>https://jeffgeerling.com</x:v>
      </x:c>
      <x:c r="G6" s="29" t="str">
        <x:v>https://www.jeffgeerling.com/blog.xml</x:v>
      </x:c>
      <x:c r="H6" s="29" t="str">
        <x:v>https://www.jeffgeerling.com/blog.xml</x:v>
      </x:c>
      <x:c r="I6" s="29" t="str">
        <x:v>有效</x:v>
      </x:c>
      <x:c r="J6" s="29" t="str">
        <x:v>解释源</x:v>
      </x:c>
      <x:c r="K6" s="29" t="str">
        <x:v>工程洞见、实战复盘、技术解释</x:v>
      </x:c>
      <x:c r="L6" s="29" t="str">
        <x:v>独立作者源；事实、数字和因果需回到论文、文档或数据。观点须明确归因。</x:v>
      </x:c>
    </x:row>
    <x:row r="7" ht="42" customHeight="1">
      <x:c r="A7" s="29" t="n">
        <x:v>3</x:v>
      </x:c>
      <x:c r="B7" s="29" t="str">
        <x:v>seangoedecke.com</x:v>
      </x:c>
      <x:c r="C7" s="29" t="str">
        <x:v>Sean Goedecke</x:v>
      </x:c>
      <x:c r="D7" s="29" t="str">
        <x:v>人文与跨学科</x:v>
      </x:c>
      <x:c r="E7" s="29" t="str">
        <x:v>writing, programming, personal projects</x:v>
      </x:c>
      <x:c r="F7" s="29" t="str">
        <x:v>https://seangoedecke.com</x:v>
      </x:c>
      <x:c r="G7" s="29" t="str">
        <x:v>https://www.seangoedecke.com/rss.xml</x:v>
      </x:c>
      <x:c r="H7" s="29" t="str">
        <x:v>https://www.seangoedecke.com/rss.xml</x:v>
      </x:c>
      <x:c r="I7" s="29" t="str">
        <x:v>有效</x:v>
      </x:c>
      <x:c r="J7" s="29" t="str">
        <x:v>观点源</x:v>
      </x:c>
      <x:c r="K7" s="29" t="str">
        <x:v>观点摘引、文化观察、跨学科连接</x:v>
      </x:c>
      <x:c r="L7" s="29" t="str">
        <x:v>独立作者源；事实、数字和因果需回到论文、文档或数据。观点须明确归因。</x:v>
      </x:c>
    </x:row>
    <x:row r="8" ht="42" customHeight="1">
      <x:c r="A8" s="29" t="n">
        <x:v>4</x:v>
      </x:c>
      <x:c r="B8" s="29" t="str">
        <x:v>krebsonsecurity.com</x:v>
      </x:c>
      <x:c r="C8" s="29" t="str">
        <x:v>Brian Krebs</x:v>
      </x:c>
      <x:c r="D8" s="29" t="str">
        <x:v>AI、科技与工程</x:v>
      </x:c>
      <x:c r="E8" s="29" t="str">
        <x:v>security, malware, fraud</x:v>
      </x:c>
      <x:c r="F8" s="29" t="str">
        <x:v>https://krebsonsecurity.com</x:v>
      </x:c>
      <x:c r="G8" s="29" t="str">
        <x:v>https://krebsonsecurity.com/feed/</x:v>
      </x:c>
      <x:c r="H8" s="29" t="str">
        <x:v>https://krebsonsecurity.com/feed/</x:v>
      </x:c>
      <x:c r="I8" s="29" t="str">
        <x:v>有效</x:v>
      </x:c>
      <x:c r="J8" s="29" t="str">
        <x:v>解释源</x:v>
      </x:c>
      <x:c r="K8" s="29" t="str">
        <x:v>工程洞见、实战复盘、技术解释</x:v>
      </x:c>
      <x:c r="L8" s="29" t="str">
        <x:v>独立作者源；事实、数字和因果需回到论文、文档或数据。观点须明确归因。</x:v>
      </x:c>
    </x:row>
    <x:row r="9" ht="42" customHeight="1">
      <x:c r="A9" s="29" t="n">
        <x:v>5</x:v>
      </x:c>
      <x:c r="B9" s="29" t="str">
        <x:v>daringfireball.net</x:v>
      </x:c>
      <x:c r="C9" s="29" t="str">
        <x:v>John Gruber</x:v>
      </x:c>
      <x:c r="D9" s="29" t="str">
        <x:v>艺术、设计与建筑</x:v>
      </x:c>
      <x:c r="E9" s="29" t="str">
        <x:v>Apple, technology, design</x:v>
      </x:c>
      <x:c r="F9" s="29" t="str">
        <x:v>https://daringfireball.net</x:v>
      </x:c>
      <x:c r="G9" s="29" t="str">
        <x:v>https://daringfireball.net/feeds/main</x:v>
      </x:c>
      <x:c r="H9" s="29" t="str">
        <x:v>https://daringfireball.net/feeds/main</x:v>
      </x:c>
      <x:c r="I9" s="29" t="str">
        <x:v>有效</x:v>
      </x:c>
      <x:c r="J9" s="29" t="str">
        <x:v>解释源</x:v>
      </x:c>
      <x:c r="K9" s="29" t="str">
        <x:v>界面/设计原则、作品拆解、创意技术</x:v>
      </x:c>
      <x:c r="L9" s="29" t="str">
        <x:v>独立作者源；事实、数字和因果需回到论文、文档或数据。观点须明确归因。</x:v>
      </x:c>
    </x:row>
    <x:row r="10" ht="42" customHeight="1">
      <x:c r="A10" s="29" t="n">
        <x:v>6</x:v>
      </x:c>
      <x:c r="B10" s="29" t="str">
        <x:v>ericmigi.com</x:v>
      </x:c>
      <x:c r="C10" s="29" t="str">
        <x:v>Eric Migicovsky</x:v>
      </x:c>
      <x:c r="D10" s="29" t="str">
        <x:v>艺术、设计与建筑</x:v>
      </x:c>
      <x:c r="E10" s="29" t="str">
        <x:v>pebble, hardware, smartwatches</x:v>
      </x:c>
      <x:c r="F10" s="29" t="str">
        <x:v>https://ericmigi.com</x:v>
      </x:c>
      <x:c r="G10" s="29" t="str">
        <x:v>https://ericmigi.com/rss.xml</x:v>
      </x:c>
      <x:c r="H10" s="29" t="str">
        <x:v>https://ericmigi.com/rss.xml</x:v>
      </x:c>
      <x:c r="I10" s="29" t="str">
        <x:v>有效</x:v>
      </x:c>
      <x:c r="J10" s="29" t="str">
        <x:v>解释源</x:v>
      </x:c>
      <x:c r="K10" s="29" t="str">
        <x:v>界面/设计原则、作品拆解、创意技术</x:v>
      </x:c>
      <x:c r="L10" s="29" t="str">
        <x:v>独立作者源；事实、数字和因果需回到论文、文档或数据。观点须明确归因。</x:v>
      </x:c>
    </x:row>
    <x:row r="11" ht="42" customHeight="1">
      <x:c r="A11" s="29" t="n">
        <x:v>7</x:v>
      </x:c>
      <x:c r="B11" s="29" t="str">
        <x:v>antirez.com</x:v>
      </x:c>
      <x:c r="C11" s="29" t="str">
        <x:v>Salvatore Sanfilippo</x:v>
      </x:c>
      <x:c r="D11" s="29" t="str">
        <x:v>AI、科技与工程</x:v>
      </x:c>
      <x:c r="E11" s="29" t="str">
        <x:v>databases, open-source, software development</x:v>
      </x:c>
      <x:c r="F11" s="29" t="str">
        <x:v>http://antirez.com</x:v>
      </x:c>
      <x:c r="G11" s="29" t="str">
        <x:v>http://antirez.com/rss</x:v>
      </x:c>
      <x:c r="H11" s="29" t="str">
        <x:v>https://antirez.com/rss</x:v>
      </x:c>
      <x:c r="I11" s="29" t="str">
        <x:v>重定向后有效</x:v>
      </x:c>
      <x:c r="J11" s="29" t="str">
        <x:v>解释源</x:v>
      </x:c>
      <x:c r="K11" s="29" t="str">
        <x:v>工程洞见、实战复盘、技术解释</x:v>
      </x:c>
      <x:c r="L11" s="29" t="str">
        <x:v>独立作者源；事实、数字和因果需回到论文、文档或数据。观点须明确归因。</x:v>
      </x:c>
    </x:row>
    <x:row r="12" ht="42" customHeight="1">
      <x:c r="A12" s="29" t="n">
        <x:v>8</x:v>
      </x:c>
      <x:c r="B12" s="29" t="str">
        <x:v>idiallo.com</x:v>
      </x:c>
      <x:c r="C12" s="29" t="str">
        <x:v>Ibrahim Diallo</x:v>
      </x:c>
      <x:c r="D12" s="29" t="str">
        <x:v>AI、科技与工程</x:v>
      </x:c>
      <x:c r="E12" s="29" t="str">
        <x:v>programming, software development, technology</x:v>
      </x:c>
      <x:c r="F12" s="29" t="str">
        <x:v>https://idiallo.com</x:v>
      </x:c>
      <x:c r="G12" s="29" t="str">
        <x:v>https://idiallo.com/feed.rss</x:v>
      </x:c>
      <x:c r="H12" s="29" t="str">
        <x:v>https://idiallo.com/feed.rss</x:v>
      </x:c>
      <x:c r="I12" s="29" t="str">
        <x:v>有效</x:v>
      </x:c>
      <x:c r="J12" s="29" t="str">
        <x:v>解释源</x:v>
      </x:c>
      <x:c r="K12" s="29" t="str">
        <x:v>工程洞见、实战复盘、技术解释</x:v>
      </x:c>
      <x:c r="L12" s="29" t="str">
        <x:v>独立作者源；事实、数字和因果需回到论文、文档或数据。观点须明确归因。</x:v>
      </x:c>
    </x:row>
    <x:row r="13" ht="42" customHeight="1">
      <x:c r="A13" s="29" t="n">
        <x:v>9</x:v>
      </x:c>
      <x:c r="B13" s="29" t="str">
        <x:v>maurycyz.com</x:v>
      </x:c>
      <x:c r="C13" s="29" t="str">
        <x:v>Maurycy Z.</x:v>
      </x:c>
      <x:c r="D13" s="29" t="str">
        <x:v>AI、科技与工程</x:v>
      </x:c>
      <x:c r="E13" s="29" t="str">
        <x:v>electronics, programming, photography</x:v>
      </x:c>
      <x:c r="F13" s="29" t="str">
        <x:v>https://maurycyz.com</x:v>
      </x:c>
      <x:c r="G13" s="29" t="str">
        <x:v>https://maurycyz.com/index.xml</x:v>
      </x:c>
      <x:c r="H13" s="29" t="str">
        <x:v>https://maurycyz.com/index.xml</x:v>
      </x:c>
      <x:c r="I13" s="29" t="str">
        <x:v>有效</x:v>
      </x:c>
      <x:c r="J13" s="29" t="str">
        <x:v>解释源</x:v>
      </x:c>
      <x:c r="K13" s="29" t="str">
        <x:v>工程洞见、实战复盘、技术解释</x:v>
      </x:c>
      <x:c r="L13" s="29" t="str">
        <x:v>独立作者源；事实、数字和因果需回到论文、文档或数据。观点须明确归因。</x:v>
      </x:c>
    </x:row>
    <x:row r="14" ht="42" customHeight="1">
      <x:c r="A14" s="29" t="n">
        <x:v>10</x:v>
      </x:c>
      <x:c r="B14" s="29" t="str">
        <x:v>pluralistic.net</x:v>
      </x:c>
      <x:c r="C14" s="29" t="str">
        <x:v>Cory Doctorow</x:v>
      </x:c>
      <x:c r="D14" s="29" t="str">
        <x:v>AI、科技与工程</x:v>
      </x:c>
      <x:c r="E14" s="29" t="str">
        <x:v>activism, technology, copyright</x:v>
      </x:c>
      <x:c r="F14" s="29" t="str">
        <x:v>https://pluralistic.net</x:v>
      </x:c>
      <x:c r="G14" s="29" t="str">
        <x:v>https://pluralistic.net/feed/</x:v>
      </x:c>
      <x:c r="H14" s="29" t="str">
        <x:v>https://pluralistic.net/feed/</x:v>
      </x:c>
      <x:c r="I14" s="29" t="str">
        <x:v>有效</x:v>
      </x:c>
      <x:c r="J14" s="29" t="str">
        <x:v>解释源</x:v>
      </x:c>
      <x:c r="K14" s="29" t="str">
        <x:v>工程洞见、实战复盘、技术解释</x:v>
      </x:c>
      <x:c r="L14" s="29" t="str">
        <x:v>独立作者源；事实、数字和因果需回到论文、文档或数据。观点须明确归因。</x:v>
      </x:c>
    </x:row>
    <x:row r="15" ht="42" customHeight="1">
      <x:c r="A15" s="29" t="n">
        <x:v>11</x:v>
      </x:c>
      <x:c r="B15" s="29" t="str">
        <x:v>shkspr.mobi</x:v>
      </x:c>
      <x:c r="C15" s="29" t="str">
        <x:v>Terence Eden</x:v>
      </x:c>
      <x:c r="D15" s="29" t="str">
        <x:v>AI、科技与工程</x:v>
      </x:c>
      <x:c r="E15" s="29" t="str">
        <x:v>open data, technology, digital rights</x:v>
      </x:c>
      <x:c r="F15" s="29" t="str">
        <x:v>https://shkspr.mobi</x:v>
      </x:c>
      <x:c r="G15" s="29" t="str">
        <x:v>https://shkspr.mobi/blog/feed/</x:v>
      </x:c>
      <x:c r="H15" s="29" t="str">
        <x:v>https://shkspr.mobi/blog/feed/</x:v>
      </x:c>
      <x:c r="I15" s="29" t="str">
        <x:v>有效</x:v>
      </x:c>
      <x:c r="J15" s="29" t="str">
        <x:v>解释源</x:v>
      </x:c>
      <x:c r="K15" s="29" t="str">
        <x:v>工程洞见、实战复盘、技术解释</x:v>
      </x:c>
      <x:c r="L15" s="29" t="str">
        <x:v>独立作者源；事实、数字和因果需回到论文、文档或数据。观点须明确归因。</x:v>
      </x:c>
    </x:row>
    <x:row r="16" ht="42" customHeight="1">
      <x:c r="A16" s="29" t="n">
        <x:v>12</x:v>
      </x:c>
      <x:c r="B16" s="29" t="str">
        <x:v>lcamtuf.substack.com</x:v>
      </x:c>
      <x:c r="C16" s="29" t="str">
        <x:v>Michał Zalewski</x:v>
      </x:c>
      <x:c r="D16" s="29" t="str">
        <x:v>AI、科技与工程</x:v>
      </x:c>
      <x:c r="E16" s="29" t="str">
        <x:v>security, software development, hacking</x:v>
      </x:c>
      <x:c r="F16" s="29" t="str">
        <x:v>https://lcamtuf.substack.com</x:v>
      </x:c>
      <x:c r="G16" s="29" t="str">
        <x:v>https://lcamtuf.substack.com/feed</x:v>
      </x:c>
      <x:c r="H16" s="29" t="str">
        <x:v>https://lcamtuf.substack.com/feed</x:v>
      </x:c>
      <x:c r="I16" s="29" t="str">
        <x:v>有效</x:v>
      </x:c>
      <x:c r="J16" s="29" t="str">
        <x:v>解释源</x:v>
      </x:c>
      <x:c r="K16" s="29" t="str">
        <x:v>工程洞见、实战复盘、技术解释</x:v>
      </x:c>
      <x:c r="L16" s="29" t="str">
        <x:v>独立作者源；事实、数字和因果需回到论文、文档或数据。观点须明确归因。</x:v>
      </x:c>
    </x:row>
    <x:row r="17" ht="42" customHeight="1">
      <x:c r="A17" s="29" t="n">
        <x:v>13</x:v>
      </x:c>
      <x:c r="B17" s="29" t="str">
        <x:v>mitchellh.com</x:v>
      </x:c>
      <x:c r="C17" s="29" t="str">
        <x:v>Mitchell Hashimoto</x:v>
      </x:c>
      <x:c r="D17" s="29" t="str">
        <x:v>AI、科技与工程</x:v>
      </x:c>
      <x:c r="E17" s="29" t="str">
        <x:v>infrastructure, automation, open source</x:v>
      </x:c>
      <x:c r="F17" s="29" t="str">
        <x:v>https://mitchellh.com</x:v>
      </x:c>
      <x:c r="G17" s="29" t="str">
        <x:v>https://mitchellh.com/feed.xml</x:v>
      </x:c>
      <x:c r="H17" s="29" t="str">
        <x:v>https://mitchellh.com/feed.xml</x:v>
      </x:c>
      <x:c r="I17" s="29" t="str">
        <x:v>有效</x:v>
      </x:c>
      <x:c r="J17" s="29" t="str">
        <x:v>解释源</x:v>
      </x:c>
      <x:c r="K17" s="29" t="str">
        <x:v>工程洞见、实战复盘、技术解释</x:v>
      </x:c>
      <x:c r="L17" s="29" t="str">
        <x:v>独立作者源；事实、数字和因果需回到论文、文档或数据。观点须明确归因。</x:v>
      </x:c>
    </x:row>
    <x:row r="18" ht="42" customHeight="1">
      <x:c r="A18" s="29" t="n">
        <x:v>14</x:v>
      </x:c>
      <x:c r="B18" s="29" t="str">
        <x:v>dynomight.net</x:v>
      </x:c>
      <x:c r="C18" s="29" t="str">
        <x:v>Anonymous</x:v>
      </x:c>
      <x:c r="D18" s="29" t="str">
        <x:v>科学与数学</x:v>
      </x:c>
      <x:c r="E18" s="29" t="str">
        <x:v>science, existential angst</x:v>
      </x:c>
      <x:c r="F18" s="29" t="str">
        <x:v>https://dynomight.net</x:v>
      </x:c>
      <x:c r="G18" s="29" t="str">
        <x:v>https://dynomight.net/feed.xml</x:v>
      </x:c>
      <x:c r="H18" s="29" t="str">
        <x:v>https://dynomight.net/feed.xml</x:v>
      </x:c>
      <x:c r="I18" s="29" t="str">
        <x:v>有效</x:v>
      </x:c>
      <x:c r="J18" s="29" t="str">
        <x:v>解释源</x:v>
      </x:c>
      <x:c r="K18" s="29" t="str">
        <x:v>概念解释、反直觉事实、研究脉络</x:v>
      </x:c>
      <x:c r="L18" s="29" t="str">
        <x:v>独立作者源；事实、数字和因果需回到论文、文档或数据。观点须明确归因。</x:v>
      </x:c>
    </x:row>
    <x:row r="19" ht="42" customHeight="1">
      <x:c r="A19" s="29" t="n">
        <x:v>15</x:v>
      </x:c>
      <x:c r="B19" s="29" t="str">
        <x:v>utcc.utoronto.ca/~cks</x:v>
      </x:c>
      <x:c r="C19" s="29" t="str">
        <x:v>Chris Siebenmann</x:v>
      </x:c>
      <x:c r="D19" s="29" t="str">
        <x:v>AI、科技与工程</x:v>
      </x:c>
      <x:c r="E19" s="29" t="str">
        <x:v>Unix, system administration, linux</x:v>
      </x:c>
      <x:c r="F19" s="29" t="str">
        <x:v>https://utcc.utoronto.ca/~cks</x:v>
      </x:c>
      <x:c r="G19" s="29" t="str">
        <x:v>https://utcc.utoronto.ca/~cks/space/blog/?atom</x:v>
      </x:c>
      <x:c r="H19" s="29" t="str">
        <x:v>https://utcc.utoronto.ca/~cks/space/blog/?atom</x:v>
      </x:c>
      <x:c r="I19" s="29" t="str">
        <x:v>有效</x:v>
      </x:c>
      <x:c r="J19" s="29" t="str">
        <x:v>解释源</x:v>
      </x:c>
      <x:c r="K19" s="29" t="str">
        <x:v>工程洞见、实战复盘、技术解释</x:v>
      </x:c>
      <x:c r="L19" s="29" t="str">
        <x:v>独立作者源；事实、数字和因果需回到论文、文档或数据。观点须明确归因。</x:v>
      </x:c>
    </x:row>
    <x:row r="20" ht="42" customHeight="1">
      <x:c r="A20" s="29" t="n">
        <x:v>16</x:v>
      </x:c>
      <x:c r="B20" s="29" t="str">
        <x:v>xeiaso.net</x:v>
      </x:c>
      <x:c r="C20" s="29" t="str">
        <x:v>Xe Iaso</x:v>
      </x:c>
      <x:c r="D20" s="29" t="str">
        <x:v>AI、科技与工程</x:v>
      </x:c>
      <x:c r="E20" s="29" t="str">
        <x:v>software development, Rust programming, Nix</x:v>
      </x:c>
      <x:c r="F20" s="29" t="str">
        <x:v>https://xeiaso.net</x:v>
      </x:c>
      <x:c r="G20" s="29" t="str">
        <x:v>https://xeiaso.net/blog.rss</x:v>
      </x:c>
      <x:c r="H20" s="29" t="str">
        <x:v>https://xeiaso.net/blog.rss</x:v>
      </x:c>
      <x:c r="I20" s="29" t="str">
        <x:v>有效</x:v>
      </x:c>
      <x:c r="J20" s="29" t="str">
        <x:v>解释源</x:v>
      </x:c>
      <x:c r="K20" s="29" t="str">
        <x:v>工程洞见、实战复盘、技术解释</x:v>
      </x:c>
      <x:c r="L20" s="29" t="str">
        <x:v>独立作者源；事实、数字和因果需回到论文、文档或数据。观点须明确归因。</x:v>
      </x:c>
    </x:row>
    <x:row r="21" ht="42" customHeight="1">
      <x:c r="A21" s="29" t="n">
        <x:v>17</x:v>
      </x:c>
      <x:c r="B21" s="29" t="str">
        <x:v>devblogs.microsoft.com/oldnewthing</x:v>
      </x:c>
      <x:c r="C21" s="29" t="str">
        <x:v>Raymond Chen</x:v>
      </x:c>
      <x:c r="D21" s="29" t="str">
        <x:v>历史与考古</x:v>
      </x:c>
      <x:c r="E21" s="29" t="str">
        <x:v>Windows development, programming, software history</x:v>
      </x:c>
      <x:c r="F21" s="29" t="str">
        <x:v>https://devblogs.microsoft.com/oldnewthing</x:v>
      </x:c>
      <x:c r="G21" s="29" t="str">
        <x:v>https://devblogs.microsoft.com/oldnewthing/feed</x:v>
      </x:c>
      <x:c r="H21" s="29" t="str">
        <x:v>https://devblogs.microsoft.com/oldnewthing/feed</x:v>
      </x:c>
      <x:c r="I21" s="29" t="str">
        <x:v>有效</x:v>
      </x:c>
      <x:c r="J21" s="29" t="str">
        <x:v>解释源</x:v>
      </x:c>
      <x:c r="K21" s="29" t="str">
        <x:v>技术史、历史类比、档案式线程</x:v>
      </x:c>
      <x:c r="L21" s="29" t="str">
        <x:v>独立作者源；事实、数字和因果需回到论文、文档或数据。观点须明确归因。</x:v>
      </x:c>
    </x:row>
    <x:row r="22" ht="42" customHeight="1">
      <x:c r="A22" s="29" t="n">
        <x:v>18</x:v>
      </x:c>
      <x:c r="B22" s="29" t="str">
        <x:v>righto.com</x:v>
      </x:c>
      <x:c r="C22" s="29" t="str">
        <x:v>Ken Shirriff</x:v>
      </x:c>
      <x:c r="D22" s="29" t="str">
        <x:v>历史与考古</x:v>
      </x:c>
      <x:c r="E22" s="29" t="str">
        <x:v>computer history, vintage computers, reverse engineering</x:v>
      </x:c>
      <x:c r="F22" s="29" t="str">
        <x:v>https://righto.com</x:v>
      </x:c>
      <x:c r="G22" s="29" t="str">
        <x:v>https://www.righto.com/feeds/posts/default</x:v>
      </x:c>
      <x:c r="H22" s="29" t="str">
        <x:v>https://www.righto.com/feeds/posts/default</x:v>
      </x:c>
      <x:c r="I22" s="29" t="str">
        <x:v>有效</x:v>
      </x:c>
      <x:c r="J22" s="29" t="str">
        <x:v>解释源</x:v>
      </x:c>
      <x:c r="K22" s="29" t="str">
        <x:v>技术史、历史类比、档案式线程</x:v>
      </x:c>
      <x:c r="L22" s="29" t="str">
        <x:v>独立作者源；事实、数字和因果需回到论文、文档或数据。观点须明确归因。</x:v>
      </x:c>
    </x:row>
    <x:row r="23" ht="42" customHeight="1">
      <x:c r="A23" s="29" t="n">
        <x:v>19</x:v>
      </x:c>
      <x:c r="B23" s="29" t="str">
        <x:v>lucumr.pocoo.org</x:v>
      </x:c>
      <x:c r="C23" s="29" t="str">
        <x:v>Armin Ronacher</x:v>
      </x:c>
      <x:c r="D23" s="29" t="str">
        <x:v>AI、科技与工程</x:v>
      </x:c>
      <x:c r="E23" s="29" t="str">
        <x:v>Python, open-source, software development</x:v>
      </x:c>
      <x:c r="F23" s="29" t="str">
        <x:v>https://lucumr.pocoo.org</x:v>
      </x:c>
      <x:c r="G23" s="29" t="str">
        <x:v>https://lucumr.pocoo.org/feed.atom</x:v>
      </x:c>
      <x:c r="H23" s="29" t="str">
        <x:v>https://lucumr.pocoo.org/feed.atom</x:v>
      </x:c>
      <x:c r="I23" s="29" t="str">
        <x:v>有效</x:v>
      </x:c>
      <x:c r="J23" s="29" t="str">
        <x:v>解释源</x:v>
      </x:c>
      <x:c r="K23" s="29" t="str">
        <x:v>工程洞见、实战复盘、技术解释</x:v>
      </x:c>
      <x:c r="L23" s="29" t="str">
        <x:v>独立作者源；事实、数字和因果需回到论文、文档或数据。观点须明确归因。</x:v>
      </x:c>
    </x:row>
    <x:row r="24" ht="42" customHeight="1">
      <x:c r="A24" s="29" t="n">
        <x:v>20</x:v>
      </x:c>
      <x:c r="B24" s="29" t="str">
        <x:v>skyfall.dev</x:v>
      </x:c>
      <x:c r="C24" s="29" t="str">
        <x:v>Mahad Kalam</x:v>
      </x:c>
      <x:c r="D24" s="29" t="str">
        <x:v>AI、科技与工程</x:v>
      </x:c>
      <x:c r="E24" s="29" t="str">
        <x:v>ai, security, web development</x:v>
      </x:c>
      <x:c r="F24" s="29" t="str">
        <x:v>https://skyfall.dev</x:v>
      </x:c>
      <x:c r="G24" s="29" t="str">
        <x:v>https://skyfall.dev/rss.xml</x:v>
      </x:c>
      <x:c r="H24" s="29" t="str">
        <x:v>https://mahadk.com/rss.xml</x:v>
      </x:c>
      <x:c r="I24" s="29" t="str">
        <x:v>重定向后有效</x:v>
      </x:c>
      <x:c r="J24" s="29" t="str">
        <x:v>解释源</x:v>
      </x:c>
      <x:c r="K24" s="29" t="str">
        <x:v>工程洞见、实战复盘、技术解释</x:v>
      </x:c>
      <x:c r="L24" s="29" t="str">
        <x:v>独立作者源；事实、数字和因果需回到论文、文档或数据。观点须明确归因。</x:v>
      </x:c>
    </x:row>
    <x:row r="25" ht="42" customHeight="1">
      <x:c r="A25" s="29" t="n">
        <x:v>21</x:v>
      </x:c>
      <x:c r="B25" s="29" t="str">
        <x:v>garymarcus.substack.com</x:v>
      </x:c>
      <x:c r="C25" s="29" t="str">
        <x:v>Gary Marcus</x:v>
      </x:c>
      <x:c r="D25" s="29" t="str">
        <x:v>AI、科技与工程</x:v>
      </x:c>
      <x:c r="E25" s="29" t="str">
        <x:v>AI, cognitive science, technology</x:v>
      </x:c>
      <x:c r="F25" s="29" t="str">
        <x:v>https://garymarcus.substack.com</x:v>
      </x:c>
      <x:c r="G25" s="29" t="str">
        <x:v>https://garymarcus.substack.com/feed</x:v>
      </x:c>
      <x:c r="H25" s="29" t="str">
        <x:v>https://garymarcus.substack.com/feed</x:v>
      </x:c>
      <x:c r="I25" s="29" t="str">
        <x:v>有效</x:v>
      </x:c>
      <x:c r="J25" s="29" t="str">
        <x:v>解释源</x:v>
      </x:c>
      <x:c r="K25" s="29" t="str">
        <x:v>概念解释、反直觉事实、研究脉络</x:v>
      </x:c>
      <x:c r="L25" s="29" t="str">
        <x:v>独立作者源；事实、数字和因果需回到论文、文档或数据。观点须明确归因。</x:v>
      </x:c>
    </x:row>
    <x:row r="26" ht="42" customHeight="1">
      <x:c r="A26" s="29" t="n">
        <x:v>22</x:v>
      </x:c>
      <x:c r="B26" s="29" t="str">
        <x:v>rachelbythebay.com</x:v>
      </x:c>
      <x:c r="C26" s="29" t="str">
        <x:v>Rachel Kroll</x:v>
      </x:c>
      <x:c r="D26" s="29" t="str">
        <x:v>AI、科技与工程</x:v>
      </x:c>
      <x:c r="E26" s="29" t="str">
        <x:v>software engineering, personal experiences, technology</x:v>
      </x:c>
      <x:c r="F26" s="29" t="str">
        <x:v>https://rachelbythebay.com</x:v>
      </x:c>
      <x:c r="G26" s="29" t="str">
        <x:v>https://rachelbythebay.com/w/atom.xml</x:v>
      </x:c>
      <x:c r="H26" s="29" t="str">
        <x:v>https://rachelbythebay.com/w/atom.xml</x:v>
      </x:c>
      <x:c r="I26" s="29" t="str">
        <x:v>有效</x:v>
      </x:c>
      <x:c r="J26" s="29" t="str">
        <x:v>解释源</x:v>
      </x:c>
      <x:c r="K26" s="29" t="str">
        <x:v>工程洞见、实战复盘、技术解释</x:v>
      </x:c>
      <x:c r="L26" s="29" t="str">
        <x:v>独立作者源；事实、数字和因果需回到论文、文档或数据。观点须明确归因。</x:v>
      </x:c>
    </x:row>
    <x:row r="27" ht="42" customHeight="1">
      <x:c r="A27" s="29" t="n">
        <x:v>23</x:v>
      </x:c>
      <x:c r="B27" s="29" t="str">
        <x:v>overreacted.io</x:v>
      </x:c>
      <x:c r="C27" s="29" t="str">
        <x:v>Dan Abramov</x:v>
      </x:c>
      <x:c r="D27" s="29" t="str">
        <x:v>AI、科技与工程</x:v>
      </x:c>
      <x:c r="E27" s="29" t="str">
        <x:v>React, JavaScript, web development</x:v>
      </x:c>
      <x:c r="F27" s="29" t="str">
        <x:v>https://overreacted.io</x:v>
      </x:c>
      <x:c r="G27" s="29" t="str">
        <x:v>https://overreacted.io/rss.xml</x:v>
      </x:c>
      <x:c r="H27" s="29" t="str">
        <x:v>https://overreacted.io/rss.xml</x:v>
      </x:c>
      <x:c r="I27" s="29" t="str">
        <x:v>有效</x:v>
      </x:c>
      <x:c r="J27" s="29" t="str">
        <x:v>解释源</x:v>
      </x:c>
      <x:c r="K27" s="29" t="str">
        <x:v>工程洞见、实战复盘、技术解释</x:v>
      </x:c>
      <x:c r="L27" s="29" t="str">
        <x:v>独立作者源；事实、数字和因果需回到论文、文档或数据。观点须明确归因。</x:v>
      </x:c>
    </x:row>
    <x:row r="28" ht="42" customHeight="1">
      <x:c r="A28" s="29" t="n">
        <x:v>24</x:v>
      </x:c>
      <x:c r="B28" s="29" t="str">
        <x:v>timsh.org</x:v>
      </x:c>
      <x:c r="C28" s="29" t="str">
        <x:v>Tim Sh</x:v>
      </x:c>
      <x:c r="D28" s="29" t="str">
        <x:v>AI、科技与工程</x:v>
      </x:c>
      <x:c r="E28" s="29" t="str">
        <x:v>programming, technology, personal thoughts</x:v>
      </x:c>
      <x:c r="F28" s="29" t="str">
        <x:v>https://timsh.org</x:v>
      </x:c>
      <x:c r="G28" s="29" t="str">
        <x:v>https://timsh.org/rss/</x:v>
      </x:c>
      <x:c r="H28" s="29" t="str">
        <x:v>https://timsh.org/rss/</x:v>
      </x:c>
      <x:c r="I28" s="29" t="str">
        <x:v>有效</x:v>
      </x:c>
      <x:c r="J28" s="29" t="str">
        <x:v>解释源</x:v>
      </x:c>
      <x:c r="K28" s="29" t="str">
        <x:v>工程洞见、实战复盘、技术解释</x:v>
      </x:c>
      <x:c r="L28" s="29" t="str">
        <x:v>独立作者源；事实、数字和因果需回到论文、文档或数据。观点须明确归因。</x:v>
      </x:c>
    </x:row>
    <x:row r="29" ht="42" customHeight="1">
      <x:c r="A29" s="29" t="n">
        <x:v>25</x:v>
      </x:c>
      <x:c r="B29" s="29" t="str">
        <x:v>johndcook.com</x:v>
      </x:c>
      <x:c r="C29" s="29" t="str">
        <x:v>John D. Cook</x:v>
      </x:c>
      <x:c r="D29" s="29" t="str">
        <x:v>数据与可视化</x:v>
      </x:c>
      <x:c r="E29" s="29" t="str">
        <x:v>mathematics, statistics, software development</x:v>
      </x:c>
      <x:c r="F29" s="29" t="str">
        <x:v>https://johndcook.com</x:v>
      </x:c>
      <x:c r="G29" s="29" t="str">
        <x:v>https://www.johndcook.com/blog/feed/</x:v>
      </x:c>
      <x:c r="H29" s="29" t="str">
        <x:v>https://www.johndcook.com/blog/feed/</x:v>
      </x:c>
      <x:c r="I29" s="29" t="str">
        <x:v>有效</x:v>
      </x:c>
      <x:c r="J29" s="29" t="str">
        <x:v>解释源</x:v>
      </x:c>
      <x:c r="K29" s="29" t="str">
        <x:v>数据图解、统计误区、可视化方法</x:v>
      </x:c>
      <x:c r="L29" s="29" t="str">
        <x:v>独立作者源；事实、数字和因果需回到论文、文档或数据。观点须明确归因。</x:v>
      </x:c>
    </x:row>
    <x:row r="30" ht="42" customHeight="1">
      <x:c r="A30" s="29" t="n">
        <x:v>26</x:v>
      </x:c>
      <x:c r="B30" s="29" t="str">
        <x:v>gilesthomas.com</x:v>
      </x:c>
      <x:c r="C30" s="29" t="str">
        <x:v>Giles Thomas</x:v>
      </x:c>
      <x:c r="D30" s="29" t="str">
        <x:v>商业、管理与创新</x:v>
      </x:c>
      <x:c r="E30" s="29" t="str">
        <x:v>programming, technology, business</x:v>
      </x:c>
      <x:c r="F30" s="29" t="str">
        <x:v>https://gilesthomas.com</x:v>
      </x:c>
      <x:c r="G30" s="29" t="str">
        <x:v>https://gilesthomas.com/feed/rss.xml</x:v>
      </x:c>
      <x:c r="H30" s="29" t="str">
        <x:v>https://www.gilesthomas.com/feed/rss.xml</x:v>
      </x:c>
      <x:c r="I30" s="29" t="str">
        <x:v>重定向后有效</x:v>
      </x:c>
      <x:c r="J30" s="29" t="str">
        <x:v>观点源</x:v>
      </x:c>
      <x:c r="K30" s="29" t="str">
        <x:v>创业经验、产品判断、工程管理</x:v>
      </x:c>
      <x:c r="L30" s="29" t="str">
        <x:v>独立作者源；事实、数字和因果需回到论文、文档或数据。观点须明确归因。</x:v>
      </x:c>
    </x:row>
    <x:row r="31" ht="42" customHeight="1">
      <x:c r="A31" s="29" t="n">
        <x:v>27</x:v>
      </x:c>
      <x:c r="B31" s="29" t="str">
        <x:v>matklad.github.io</x:v>
      </x:c>
      <x:c r="C31" s="29" t="str">
        <x:v>Alex Kladov</x:v>
      </x:c>
      <x:c r="D31" s="29" t="str">
        <x:v>AI、科技与工程</x:v>
      </x:c>
      <x:c r="E31" s="29" t="str">
        <x:v>Rust, software development, programming languages</x:v>
      </x:c>
      <x:c r="F31" s="29" t="str">
        <x:v>https://matklad.github.io</x:v>
      </x:c>
      <x:c r="G31" s="29" t="str">
        <x:v>https://matklad.github.io/feed.xml</x:v>
      </x:c>
      <x:c r="H31" s="29" t="str">
        <x:v>https://matklad.github.io/feed.xml</x:v>
      </x:c>
      <x:c r="I31" s="29" t="str">
        <x:v>有效</x:v>
      </x:c>
      <x:c r="J31" s="29" t="str">
        <x:v>解释源</x:v>
      </x:c>
      <x:c r="K31" s="29" t="str">
        <x:v>工程洞见、实战复盘、技术解释</x:v>
      </x:c>
      <x:c r="L31" s="29" t="str">
        <x:v>独立作者源；事实、数字和因果需回到论文、文档或数据。观点须明确归因。</x:v>
      </x:c>
    </x:row>
    <x:row r="32" ht="42" customHeight="1">
      <x:c r="A32" s="29" t="n">
        <x:v>28</x:v>
      </x:c>
      <x:c r="B32" s="29" t="str">
        <x:v>derekthompson.org</x:v>
      </x:c>
      <x:c r="C32" s="29" t="str">
        <x:v>Derek Thompson</x:v>
      </x:c>
      <x:c r="D32" s="29" t="str">
        <x:v>人文与跨学科</x:v>
      </x:c>
      <x:c r="E32" s="29" t="str">
        <x:v>culture, technology, economics</x:v>
      </x:c>
      <x:c r="F32" s="29" t="str">
        <x:v>https://derekthompson.org</x:v>
      </x:c>
      <x:c r="G32" s="29" t="str">
        <x:v>https://www.theatlantic.com/feed/author/derek-thompson/</x:v>
      </x:c>
      <x:c r="H32" s="29" t="str">
        <x:v>https://www.theatlantic.com/feed/author/derek-thompson/</x:v>
      </x:c>
      <x:c r="I32" s="29" t="str">
        <x:v>有效</x:v>
      </x:c>
      <x:c r="J32" s="29" t="str">
        <x:v>观点源</x:v>
      </x:c>
      <x:c r="K32" s="29" t="str">
        <x:v>观点摘引、文化观察、跨学科连接</x:v>
      </x:c>
      <x:c r="L32" s="29" t="str">
        <x:v>独立作者源；事实、数字和因果需回到论文、文档或数据。观点须明确归因。</x:v>
      </x:c>
    </x:row>
    <x:row r="33" ht="42" customHeight="1">
      <x:c r="A33" s="29" t="n">
        <x:v>29</x:v>
      </x:c>
      <x:c r="B33" s="29" t="str">
        <x:v>evanhahn.com</x:v>
      </x:c>
      <x:c r="C33" s="29" t="str">
        <x:v>Evan Hahn</x:v>
      </x:c>
      <x:c r="D33" s="29" t="str">
        <x:v>商业、管理与创新</x:v>
      </x:c>
      <x:c r="E33" s="29" t="str">
        <x:v>open-source, JavaScript, productivity</x:v>
      </x:c>
      <x:c r="F33" s="29" t="str">
        <x:v>https://evanhahn.com</x:v>
      </x:c>
      <x:c r="G33" s="29" t="str">
        <x:v>https://evanhahn.com/feed.xml</x:v>
      </x:c>
      <x:c r="H33" s="29" t="str">
        <x:v>https://evanhahn.com/blog/index.xml</x:v>
      </x:c>
      <x:c r="I33" s="29" t="str">
        <x:v>重定向后有效</x:v>
      </x:c>
      <x:c r="J33" s="29" t="str">
        <x:v>解释源</x:v>
      </x:c>
      <x:c r="K33" s="29" t="str">
        <x:v>创业经验、产品判断、工程管理</x:v>
      </x:c>
      <x:c r="L33" s="29" t="str">
        <x:v>独立作者源；事实、数字和因果需回到论文、文档或数据。观点须明确归因。</x:v>
      </x:c>
    </x:row>
    <x:row r="34" ht="42" customHeight="1">
      <x:c r="A34" s="29" t="n">
        <x:v>30</x:v>
      </x:c>
      <x:c r="B34" s="29" t="str">
        <x:v>terriblesoftware.org</x:v>
      </x:c>
      <x:c r="C34" s="29" t="str">
        <x:v>Matheus Lima</x:v>
      </x:c>
      <x:c r="D34" s="29" t="str">
        <x:v>AI、科技与工程</x:v>
      </x:c>
      <x:c r="E34" s="29" t="str">
        <x:v>engineering leadership, computer science, tech adventures</x:v>
      </x:c>
      <x:c r="F34" s="29" t="str">
        <x:v>https://terriblesoftware.org</x:v>
      </x:c>
      <x:c r="G34" s="29" t="str">
        <x:v>https://terriblesoftware.org/feed/</x:v>
      </x:c>
      <x:c r="H34" s="29" t="str">
        <x:v>https://terriblesoftware.org/feed/</x:v>
      </x:c>
      <x:c r="I34" s="29" t="str">
        <x:v>有效</x:v>
      </x:c>
      <x:c r="J34" s="29" t="str">
        <x:v>解释源</x:v>
      </x:c>
      <x:c r="K34" s="29" t="str">
        <x:v>概念解释、反直觉事实、研究脉络</x:v>
      </x:c>
      <x:c r="L34" s="29" t="str">
        <x:v>独立作者源；事实、数字和因果需回到论文、文档或数据。观点须明确归因。</x:v>
      </x:c>
    </x:row>
    <x:row r="35" ht="42" customHeight="1">
      <x:c r="A35" s="29" t="n">
        <x:v>31</x:v>
      </x:c>
      <x:c r="B35" s="29" t="str">
        <x:v>rakhim.exotext.com</x:v>
      </x:c>
      <x:c r="C35" s="29" t="str">
        <x:v>Rakhim Davletkaliyev</x:v>
      </x:c>
      <x:c r="D35" s="29" t="str">
        <x:v>AI、科技与工程</x:v>
      </x:c>
      <x:c r="E35" s="29" t="str">
        <x:v>programming, semantic web, technology</x:v>
      </x:c>
      <x:c r="F35" s="29" t="str">
        <x:v>https://rakhim.exotext.com</x:v>
      </x:c>
      <x:c r="G35" s="29" t="str">
        <x:v>https://rakhim.exotext.com/rss.xml</x:v>
      </x:c>
      <x:c r="H35" s="29" t="str">
        <x:v>https://rakhim.exotext.com/rss.xml</x:v>
      </x:c>
      <x:c r="I35" s="29" t="str">
        <x:v>有效</x:v>
      </x:c>
      <x:c r="J35" s="29" t="str">
        <x:v>解释源</x:v>
      </x:c>
      <x:c r="K35" s="29" t="str">
        <x:v>工程洞见、实战复盘、技术解释</x:v>
      </x:c>
      <x:c r="L35" s="29" t="str">
        <x:v>独立作者源；事实、数字和因果需回到论文、文档或数据。观点须明确归因。</x:v>
      </x:c>
    </x:row>
    <x:row r="36" ht="42" customHeight="1">
      <x:c r="A36" s="29" t="n">
        <x:v>32</x:v>
      </x:c>
      <x:c r="B36" s="29" t="str">
        <x:v>joanwestenberg.com</x:v>
      </x:c>
      <x:c r="C36" s="29" t="str">
        <x:v>JA Westenberg</x:v>
      </x:c>
      <x:c r="D36" s="29" t="str">
        <x:v>人文与跨学科</x:v>
      </x:c>
      <x:c r="E36" s="29" t="str">
        <x:v>startups, culture, philosophy</x:v>
      </x:c>
      <x:c r="F36" s="29" t="str">
        <x:v>https://joanwestenberg.com</x:v>
      </x:c>
      <x:c r="G36" s="29" t="str">
        <x:v>https://joanwestenberg.com/rss</x:v>
      </x:c>
      <x:c r="H36" s="29" t="str">
        <x:v>https://www.joanwestenberg.com/feed</x:v>
      </x:c>
      <x:c r="I36" s="29" t="str">
        <x:v>有效</x:v>
      </x:c>
      <x:c r="J36" s="29" t="str">
        <x:v>观点源</x:v>
      </x:c>
      <x:c r="K36" s="29" t="str">
        <x:v>界面/设计原则、作品拆解、创意技术</x:v>
      </x:c>
      <x:c r="L36" s="29" t="str">
        <x:v>独立作者源；事实、数字和因果需回到论文、文档或数据。观点须明确归因。</x:v>
      </x:c>
    </x:row>
    <x:row r="37" ht="42" customHeight="1">
      <x:c r="A37" s="29" t="n">
        <x:v>33</x:v>
      </x:c>
      <x:c r="B37" s="29" t="str">
        <x:v>xania.org</x:v>
      </x:c>
      <x:c r="C37" s="29" t="str">
        <x:v>Matt Godbolt</x:v>
      </x:c>
      <x:c r="D37" s="29" t="str">
        <x:v>AI、科技与工程</x:v>
      </x:c>
      <x:c r="E37" s="29" t="str">
        <x:v>assembly, compilers, performance</x:v>
      </x:c>
      <x:c r="F37" s="29" t="str">
        <x:v>https://xania.org</x:v>
      </x:c>
      <x:c r="G37" s="29" t="str">
        <x:v>https://xania.org/feed</x:v>
      </x:c>
      <x:c r="H37" s="29" t="str">
        <x:v>https://xania.org/feed</x:v>
      </x:c>
      <x:c r="I37" s="29" t="str">
        <x:v>有效</x:v>
      </x:c>
      <x:c r="J37" s="29" t="str">
        <x:v>解释源</x:v>
      </x:c>
      <x:c r="K37" s="29" t="str">
        <x:v>工程洞见、实战复盘、技术解释</x:v>
      </x:c>
      <x:c r="L37" s="29" t="str">
        <x:v>独立作者源；事实、数字和因果需回到论文、文档或数据。观点须明确归因。</x:v>
      </x:c>
    </x:row>
    <x:row r="38" ht="42" customHeight="1">
      <x:c r="A38" s="29" t="n">
        <x:v>34</x:v>
      </x:c>
      <x:c r="B38" s="29" t="str">
        <x:v>micahflee.com</x:v>
      </x:c>
      <x:c r="C38" s="29" t="str">
        <x:v>Micah Lee</x:v>
      </x:c>
      <x:c r="D38" s="29" t="str">
        <x:v>AI、科技与工程</x:v>
      </x:c>
      <x:c r="E38" s="29" t="str">
        <x:v>security, privacy, hacking</x:v>
      </x:c>
      <x:c r="F38" s="29" t="str">
        <x:v>https://micahflee.com</x:v>
      </x:c>
      <x:c r="G38" s="29" t="str">
        <x:v>https://micahflee.com/feed/</x:v>
      </x:c>
      <x:c r="H38" s="29" t="str">
        <x:v>https://micahflee.com/rss/</x:v>
      </x:c>
      <x:c r="I38" s="29" t="str">
        <x:v>重定向后有效</x:v>
      </x:c>
      <x:c r="J38" s="29" t="str">
        <x:v>解释源</x:v>
      </x:c>
      <x:c r="K38" s="29" t="str">
        <x:v>工程洞见、实战复盘、技术解释</x:v>
      </x:c>
      <x:c r="L38" s="29" t="str">
        <x:v>独立作者源；事实、数字和因果需回到论文、文档或数据。观点须明确归因。</x:v>
      </x:c>
    </x:row>
    <x:row r="39" ht="42" customHeight="1">
      <x:c r="A39" s="29" t="n">
        <x:v>35</x:v>
      </x:c>
      <x:c r="B39" s="29" t="str">
        <x:v>nesbitt.io</x:v>
      </x:c>
      <x:c r="C39" s="29" t="str">
        <x:v>Andrew Nesbitt</x:v>
      </x:c>
      <x:c r="D39" s="29" t="str">
        <x:v>商业、管理与创新</x:v>
      </x:c>
      <x:c r="E39" s="29" t="str">
        <x:v>open source, package management, data</x:v>
      </x:c>
      <x:c r="F39" s="29" t="str">
        <x:v>https://nesbitt.io</x:v>
      </x:c>
      <x:c r="G39" s="29" t="str">
        <x:v>https://nesbitt.io/feed.xml</x:v>
      </x:c>
      <x:c r="H39" s="29" t="str">
        <x:v>https://nesbitt.io/feed.xml</x:v>
      </x:c>
      <x:c r="I39" s="29" t="str">
        <x:v>有效</x:v>
      </x:c>
      <x:c r="J39" s="29" t="str">
        <x:v>解释源</x:v>
      </x:c>
      <x:c r="K39" s="29" t="str">
        <x:v>创业经验、产品判断、工程管理</x:v>
      </x:c>
      <x:c r="L39" s="29" t="str">
        <x:v>独立作者源；事实、数字和因果需回到论文、文档或数据。观点须明确归因。</x:v>
      </x:c>
    </x:row>
    <x:row r="40" ht="42" customHeight="1">
      <x:c r="A40" s="29" t="n">
        <x:v>36</x:v>
      </x:c>
      <x:c r="B40" s="29" t="str">
        <x:v>construction-physics.com</x:v>
      </x:c>
      <x:c r="C40" s="29" t="str">
        <x:v>Brian Potter</x:v>
      </x:c>
      <x:c r="D40" s="29" t="str">
        <x:v>商业、管理与创新</x:v>
      </x:c>
      <x:c r="E40" s="29" t="str">
        <x:v>construction,engineering,physics</x:v>
      </x:c>
      <x:c r="F40" s="29" t="str">
        <x:v>https://www.construction-physics.com/</x:v>
      </x:c>
      <x:c r="G40" s="29" t="str">
        <x:v>https://www.construction-physics.com/feed</x:v>
      </x:c>
      <x:c r="H40" s="29" t="str">
        <x:v>https://www.construction-physics.com/feed</x:v>
      </x:c>
      <x:c r="I40" s="29" t="str">
        <x:v>有效</x:v>
      </x:c>
      <x:c r="J40" s="29" t="str">
        <x:v>解释源</x:v>
      </x:c>
      <x:c r="K40" s="29" t="str">
        <x:v>概念解释、反直觉事实、研究脉络；用成本曲线或历史案例解释一个产业瓶颈。</x:v>
      </x:c>
      <x:c r="L40" s="29" t="str">
        <x:v>独立作者源；事实、数字和因果需回到论文、文档或数据。观点须明确归因。；2026-08-17：官方Substack RSS返回200和有效XML；引用数字时回到文中原始数据。</x:v>
      </x:c>
    </x:row>
    <x:row r="41" ht="42" customHeight="1">
      <x:c r="A41" s="29" t="n">
        <x:v>37</x:v>
      </x:c>
      <x:c r="B41" s="29" t="str">
        <x:v>tedium.co</x:v>
      </x:c>
      <x:c r="C41" s="29" t="str">
        <x:v>Ernie Smith</x:v>
      </x:c>
      <x:c r="D41" s="29" t="str">
        <x:v>历史与考古</x:v>
      </x:c>
      <x:c r="E41" s="29" t="str">
        <x:v>obscure history, technology, culture</x:v>
      </x:c>
      <x:c r="F41" s="29" t="str">
        <x:v>https://tedium.co</x:v>
      </x:c>
      <x:c r="G41" s="29" t="str">
        <x:v>https://feed.tedium.co/</x:v>
      </x:c>
      <x:c r="H41" s="29" t="str">
        <x:v>https://feed.tedium.co/</x:v>
      </x:c>
      <x:c r="I41" s="29" t="str">
        <x:v>有效</x:v>
      </x:c>
      <x:c r="J41" s="29" t="str">
        <x:v>观点源</x:v>
      </x:c>
      <x:c r="K41" s="29" t="str">
        <x:v>技术史、历史类比、档案式线程</x:v>
      </x:c>
      <x:c r="L41" s="29" t="str">
        <x:v>独立作者源；事实、数字和因果需回到论文、文档或数据。观点须明确归因。</x:v>
      </x:c>
    </x:row>
    <x:row r="42" ht="42" customHeight="1">
      <x:c r="A42" s="29" t="n">
        <x:v>38</x:v>
      </x:c>
      <x:c r="B42" s="29" t="str">
        <x:v>susam.net</x:v>
      </x:c>
      <x:c r="C42" s="29" t="str">
        <x:v>Susam Pal</x:v>
      </x:c>
      <x:c r="D42" s="29" t="str">
        <x:v>科学与数学</x:v>
      </x:c>
      <x:c r="E42" s="29" t="str">
        <x:v>software development, mathematics, puzzles</x:v>
      </x:c>
      <x:c r="F42" s="29" t="str">
        <x:v>https://susam.net</x:v>
      </x:c>
      <x:c r="G42" s="29" t="str">
        <x:v>https://susam.net/feed.xml</x:v>
      </x:c>
      <x:c r="H42" s="29" t="str">
        <x:v>https://susam.net/feed.xml</x:v>
      </x:c>
      <x:c r="I42" s="29" t="str">
        <x:v>有效</x:v>
      </x:c>
      <x:c r="J42" s="29" t="str">
        <x:v>解释源</x:v>
      </x:c>
      <x:c r="K42" s="29" t="str">
        <x:v>概念解释、反直觉事实、研究脉络</x:v>
      </x:c>
      <x:c r="L42" s="29" t="str">
        <x:v>独立作者源；事实、数字和因果需回到论文、文档或数据。观点须明确归因。</x:v>
      </x:c>
    </x:row>
    <x:row r="43" ht="42" customHeight="1">
      <x:c r="A43" s="29" t="n">
        <x:v>39</x:v>
      </x:c>
      <x:c r="B43" s="29" t="str">
        <x:v>entropicthoughts.com</x:v>
      </x:c>
      <x:c r="C43" s="29" t="str">
        <x:v>Chris</x:v>
      </x:c>
      <x:c r="D43" s="29" t="str">
        <x:v>商业、管理与创新</x:v>
      </x:c>
      <x:c r="E43" s="29" t="str">
        <x:v>software, systems thinking, management</x:v>
      </x:c>
      <x:c r="F43" s="29" t="str">
        <x:v>https://entropicthoughts.com</x:v>
      </x:c>
      <x:c r="G43" s="29" t="str">
        <x:v>https://entropicthoughts.com/feed.xml</x:v>
      </x:c>
      <x:c r="H43" s="29" t="str">
        <x:v>https://entropicthoughts.com/feed.xml</x:v>
      </x:c>
      <x:c r="I43" s="29" t="str">
        <x:v>有效</x:v>
      </x:c>
      <x:c r="J43" s="29" t="str">
        <x:v>解释源</x:v>
      </x:c>
      <x:c r="K43" s="29" t="str">
        <x:v>创业经验、产品判断、工程管理</x:v>
      </x:c>
      <x:c r="L43" s="29" t="str">
        <x:v>独立作者源；事实、数字和因果需回到论文、文档或数据。观点须明确归因。</x:v>
      </x:c>
    </x:row>
    <x:row r="44" ht="42" customHeight="1">
      <x:c r="A44" s="29" t="n">
        <x:v>40</x:v>
      </x:c>
      <x:c r="B44" s="29" t="str">
        <x:v>buttondown.com/hillelwayne</x:v>
      </x:c>
      <x:c r="C44" s="29" t="str">
        <x:v>Hillel Wayne</x:v>
      </x:c>
      <x:c r="D44" s="29" t="str">
        <x:v>AI、科技与工程</x:v>
      </x:c>
      <x:c r="E44" s="29" t="str">
        <x:v>formal methods, software engineering, technology</x:v>
      </x:c>
      <x:c r="F44" s="29" t="str">
        <x:v>https://buttondown.com/hillelwayne</x:v>
      </x:c>
      <x:c r="G44" s="29" t="str">
        <x:v>https://buttondown.com/hillelwayne/rss</x:v>
      </x:c>
      <x:c r="H44" s="29" t="str">
        <x:v>https://buttondown.com/hillelwayne/rss</x:v>
      </x:c>
      <x:c r="I44" s="29" t="str">
        <x:v>有效</x:v>
      </x:c>
      <x:c r="J44" s="29" t="str">
        <x:v>解释源</x:v>
      </x:c>
      <x:c r="K44" s="29" t="str">
        <x:v>工程洞见、实战复盘、技术解释</x:v>
      </x:c>
      <x:c r="L44" s="29" t="str">
        <x:v>独立作者源；事实、数字和因果需回到论文、文档或数据。观点须明确归因。</x:v>
      </x:c>
    </x:row>
    <x:row r="45" ht="42" customHeight="1">
      <x:c r="A45" s="29" t="n">
        <x:v>41</x:v>
      </x:c>
      <x:c r="B45" s="29" t="str">
        <x:v>dwarkesh.com</x:v>
      </x:c>
      <x:c r="C45" s="29" t="str">
        <x:v>Dwarkesh Patel</x:v>
      </x:c>
      <x:c r="D45" s="29" t="str">
        <x:v>AI、科技与工程</x:v>
      </x:c>
      <x:c r="E45" s="29" t="str">
        <x:v>AI, technology, long-form interviews</x:v>
      </x:c>
      <x:c r="F45" s="29" t="str">
        <x:v>https://dwarkesh.com</x:v>
      </x:c>
      <x:c r="G45" s="29" t="str">
        <x:v>https://www.dwarkeshpatel.com/feed</x:v>
      </x:c>
      <x:c r="H45" s="29" t="str">
        <x:v>https://www.dwarkesh.com/feed</x:v>
      </x:c>
      <x:c r="I45" s="29" t="str">
        <x:v>重定向后有效</x:v>
      </x:c>
      <x:c r="J45" s="29" t="str">
        <x:v>解释源</x:v>
      </x:c>
      <x:c r="K45" s="29" t="str">
        <x:v>工程洞见、实战复盘、技术解释</x:v>
      </x:c>
      <x:c r="L45" s="29" t="str">
        <x:v>独立作者源；事实、数字和因果需回到论文、文档或数据。观点须明确归因。</x:v>
      </x:c>
    </x:row>
    <x:row r="46" ht="42" customHeight="1">
      <x:c r="A46" s="29" t="n">
        <x:v>42</x:v>
      </x:c>
      <x:c r="B46" s="29" t="str">
        <x:v>borretti.me</x:v>
      </x:c>
      <x:c r="C46" s="29" t="str">
        <x:v>Fernando Borretti</x:v>
      </x:c>
      <x:c r="D46" s="29" t="str">
        <x:v>AI、科技与工程</x:v>
      </x:c>
      <x:c r="E46" s="29" t="str">
        <x:v>software development, personal projects, programming languages</x:v>
      </x:c>
      <x:c r="F46" s="29" t="str">
        <x:v>https://borretti.me</x:v>
      </x:c>
      <x:c r="G46" s="29" t="str">
        <x:v>https://borretti.me/feed.xml</x:v>
      </x:c>
      <x:c r="H46" s="29" t="str">
        <x:v>https://borretti.me/feed.xml</x:v>
      </x:c>
      <x:c r="I46" s="29" t="str">
        <x:v>有效</x:v>
      </x:c>
      <x:c r="J46" s="29" t="str">
        <x:v>解释源</x:v>
      </x:c>
      <x:c r="K46" s="29" t="str">
        <x:v>工程洞见、实战复盘、技术解释</x:v>
      </x:c>
      <x:c r="L46" s="29" t="str">
        <x:v>独立作者源；事实、数字和因果需回到论文、文档或数据。观点须明确归因。</x:v>
      </x:c>
    </x:row>
    <x:row r="47" ht="42" customHeight="1">
      <x:c r="A47" s="29" t="n">
        <x:v>43</x:v>
      </x:c>
      <x:c r="B47" s="29" t="str">
        <x:v>wheresyoured.at</x:v>
      </x:c>
      <x:c r="C47" s="29" t="str">
        <x:v>Ed Zitron</x:v>
      </x:c>
      <x:c r="D47" s="29" t="str">
        <x:v>AI、科技与工程</x:v>
      </x:c>
      <x:c r="E47" s="29" t="str">
        <x:v>tech industry, AI, media criticism</x:v>
      </x:c>
      <x:c r="F47" s="29" t="str">
        <x:v>https://wheresyoured.at</x:v>
      </x:c>
      <x:c r="G47" s="29" t="str">
        <x:v>https://www.wheresyoured.at/rss/</x:v>
      </x:c>
      <x:c r="H47" s="29" t="str">
        <x:v>https://www.wheresyoured.at/rss/</x:v>
      </x:c>
      <x:c r="I47" s="29" t="str">
        <x:v>有效</x:v>
      </x:c>
      <x:c r="J47" s="29" t="str">
        <x:v>解释源</x:v>
      </x:c>
      <x:c r="K47" s="29" t="str">
        <x:v>工程洞见、实战复盘、技术解释</x:v>
      </x:c>
      <x:c r="L47" s="29" t="str">
        <x:v>独立作者源；事实、数字和因果需回到论文、文档或数据。观点须明确归因。</x:v>
      </x:c>
    </x:row>
    <x:row r="48" ht="42" customHeight="1">
      <x:c r="A48" s="29" t="n">
        <x:v>44</x:v>
      </x:c>
      <x:c r="B48" s="29" t="str">
        <x:v>jayd.ml</x:v>
      </x:c>
      <x:c r="C48" s="29" t="str">
        <x:v>Jayden Milne</x:v>
      </x:c>
      <x:c r="D48" s="29" t="str">
        <x:v>AI、科技与工程</x:v>
      </x:c>
      <x:c r="E48" s="29" t="str">
        <x:v>programming, personal projects, web development</x:v>
      </x:c>
      <x:c r="F48" s="29" t="str">
        <x:v>https://jayd.ml</x:v>
      </x:c>
      <x:c r="G48" s="29" t="str">
        <x:v>https://jayd.ml/feed.xml</x:v>
      </x:c>
      <x:c r="H48" s="29" t="str">
        <x:v>https://jayd.ml/feed.xml</x:v>
      </x:c>
      <x:c r="I48" s="29" t="str">
        <x:v>有效</x:v>
      </x:c>
      <x:c r="J48" s="29" t="str">
        <x:v>解释源</x:v>
      </x:c>
      <x:c r="K48" s="29" t="str">
        <x:v>工程洞见、实战复盘、技术解释</x:v>
      </x:c>
      <x:c r="L48" s="29" t="str">
        <x:v>独立作者源；事实、数字和因果需回到论文、文档或数据。观点须明确归因。</x:v>
      </x:c>
    </x:row>
    <x:row r="49" ht="42" customHeight="1">
      <x:c r="A49" s="29" t="n">
        <x:v>45</x:v>
      </x:c>
      <x:c r="B49" s="29" t="str">
        <x:v>minimaxir.com</x:v>
      </x:c>
      <x:c r="C49" s="29" t="str">
        <x:v>Max Woolf</x:v>
      </x:c>
      <x:c r="D49" s="29" t="str">
        <x:v>科学与数学</x:v>
      </x:c>
      <x:c r="E49" s="29" t="str">
        <x:v>data science, machine learning, software development</x:v>
      </x:c>
      <x:c r="F49" s="29" t="str">
        <x:v>https://minimaxir.com</x:v>
      </x:c>
      <x:c r="G49" s="29" t="str">
        <x:v>https://minimaxir.com/index.xml</x:v>
      </x:c>
      <x:c r="H49" s="29" t="str">
        <x:v>https://minimaxir.com/index.xml</x:v>
      </x:c>
      <x:c r="I49" s="29" t="str">
        <x:v>有效</x:v>
      </x:c>
      <x:c r="J49" s="29" t="str">
        <x:v>解释源</x:v>
      </x:c>
      <x:c r="K49" s="29" t="str">
        <x:v>概念解释、反直觉事实、研究脉络</x:v>
      </x:c>
      <x:c r="L49" s="29" t="str">
        <x:v>独立作者源；事实、数字和因果需回到论文、文档或数据。观点须明确归因。</x:v>
      </x:c>
    </x:row>
    <x:row r="50" ht="42" customHeight="1">
      <x:c r="A50" s="29" t="n">
        <x:v>46</x:v>
      </x:c>
      <x:c r="B50" s="29" t="str">
        <x:v>geohot.github.io</x:v>
      </x:c>
      <x:c r="C50" s="29" t="str">
        <x:v>George Hotz</x:v>
      </x:c>
      <x:c r="D50" s="29" t="str">
        <x:v>AI、科技与工程</x:v>
      </x:c>
      <x:c r="E50" s="29" t="str">
        <x:v>technology, hacking, AI</x:v>
      </x:c>
      <x:c r="F50" s="29" t="str">
        <x:v>https://geohot.github.io</x:v>
      </x:c>
      <x:c r="G50" s="29" t="str">
        <x:v>https://geohot.github.io/blog/feed.xml</x:v>
      </x:c>
      <x:c r="H50" s="29" t="str">
        <x:v>https://geohot.github.io/blog/feed.xml</x:v>
      </x:c>
      <x:c r="I50" s="29" t="str">
        <x:v>有效</x:v>
      </x:c>
      <x:c r="J50" s="29" t="str">
        <x:v>解释源</x:v>
      </x:c>
      <x:c r="K50" s="29" t="str">
        <x:v>工程洞见、实战复盘、技术解释</x:v>
      </x:c>
      <x:c r="L50" s="29" t="str">
        <x:v>独立作者源；事实、数字和因果需回到论文、文档或数据。观点须明确归因。</x:v>
      </x:c>
    </x:row>
    <x:row r="51" ht="42" customHeight="1">
      <x:c r="A51" s="29" t="n">
        <x:v>47</x:v>
      </x:c>
      <x:c r="B51" s="29" t="str">
        <x:v>paulgraham.com</x:v>
      </x:c>
      <x:c r="C51" s="29" t="str">
        <x:v>Paul Graham</x:v>
      </x:c>
      <x:c r="D51" s="29" t="str">
        <x:v>商业、管理与创新</x:v>
      </x:c>
      <x:c r="E51" s="29" t="str">
        <x:v>startups, technology, entrepreneurship</x:v>
      </x:c>
      <x:c r="F51" s="29" t="str">
        <x:v>https://paulgraham.com</x:v>
      </x:c>
      <x:c r="G51" s="29" t="str">
        <x:v>http://www.aaronsw.com/2002/feeds/pgessays.rss</x:v>
      </x:c>
      <x:c r="H51" s="29" t="str">
        <x:v>http://www.aaronsw.com/2002/feeds/pgessays.rss</x:v>
      </x:c>
      <x:c r="I51" s="29" t="str">
        <x:v>有效</x:v>
      </x:c>
      <x:c r="J51" s="29" t="str">
        <x:v>观点源</x:v>
      </x:c>
      <x:c r="K51" s="29" t="str">
        <x:v>界面/设计原则、作品拆解、创意技术</x:v>
      </x:c>
      <x:c r="L51" s="29" t="str">
        <x:v>独立作者源；事实、数字和因果需回到论文、文档或数据。观点须明确归因。</x:v>
      </x:c>
    </x:row>
    <x:row r="52" ht="42" customHeight="1">
      <x:c r="A52" s="29" t="n">
        <x:v>48</x:v>
      </x:c>
      <x:c r="B52" s="29" t="str">
        <x:v>filfre.net</x:v>
      </x:c>
      <x:c r="C52" s="29" t="str">
        <x:v>Jimmy Maher</x:v>
      </x:c>
      <x:c r="D52" s="29" t="str">
        <x:v>历史与考古</x:v>
      </x:c>
      <x:c r="E52" s="29" t="str">
        <x:v>computer history, interactive fiction, technology</x:v>
      </x:c>
      <x:c r="F52" s="29" t="str">
        <x:v>https://filfre.net</x:v>
      </x:c>
      <x:c r="G52" s="29" t="str">
        <x:v>https://www.filfre.net/feed/</x:v>
      </x:c>
      <x:c r="H52" s="29" t="str">
        <x:v>https://www.filfre.net/feed/</x:v>
      </x:c>
      <x:c r="I52" s="29" t="str">
        <x:v>有效</x:v>
      </x:c>
      <x:c r="J52" s="29" t="str">
        <x:v>解释源</x:v>
      </x:c>
      <x:c r="K52" s="29" t="str">
        <x:v>技术史、历史类比、档案式线程</x:v>
      </x:c>
      <x:c r="L52" s="29" t="str">
        <x:v>独立作者源；事实、数字和因果需回到论文、文档或数据。观点须明确归因。</x:v>
      </x:c>
    </x:row>
    <x:row r="53" ht="42" customHeight="1">
      <x:c r="A53" s="29" t="n">
        <x:v>49</x:v>
      </x:c>
      <x:c r="B53" s="29" t="str">
        <x:v>blog.jim-nielsen.com</x:v>
      </x:c>
      <x:c r="C53" s="29" t="str">
        <x:v>Jim Nielsen</x:v>
      </x:c>
      <x:c r="D53" s="29" t="str">
        <x:v>艺术、设计与建筑</x:v>
      </x:c>
      <x:c r="E53" s="29" t="str">
        <x:v>web development, design, technology</x:v>
      </x:c>
      <x:c r="F53" s="29" t="str">
        <x:v>https://blog.jim-nielsen.com</x:v>
      </x:c>
      <x:c r="G53" s="29" t="str">
        <x:v>https://blog.jim-nielsen.com/feed.xml</x:v>
      </x:c>
      <x:c r="H53" s="29" t="str">
        <x:v>https://blog.jim-nielsen.com/feed.xml</x:v>
      </x:c>
      <x:c r="I53" s="29" t="str">
        <x:v>有效</x:v>
      </x:c>
      <x:c r="J53" s="29" t="str">
        <x:v>解释源</x:v>
      </x:c>
      <x:c r="K53" s="29" t="str">
        <x:v>界面/设计原则、作品拆解、创意技术</x:v>
      </x:c>
      <x:c r="L53" s="29" t="str">
        <x:v>独立作者源；事实、数字和因果需回到论文、文档或数据。观点须明确归因。</x:v>
      </x:c>
    </x:row>
    <x:row r="54" ht="42" customHeight="1">
      <x:c r="A54" s="29" t="n">
        <x:v>50</x:v>
      </x:c>
      <x:c r="B54" s="29" t="str">
        <x:v>dfarq.homeip.net</x:v>
      </x:c>
      <x:c r="C54" s="29" t="str">
        <x:v>David Farquhar</x:v>
      </x:c>
      <x:c r="D54" s="29" t="str">
        <x:v>AI、科技与工程</x:v>
      </x:c>
      <x:c r="E54" s="29" t="str">
        <x:v>security, vintage computers, technology</x:v>
      </x:c>
      <x:c r="F54" s="29" t="str">
        <x:v>https://dfarq.homeip.net</x:v>
      </x:c>
      <x:c r="G54" s="29" t="str">
        <x:v>https://dfarq.homeip.net/feed/</x:v>
      </x:c>
      <x:c r="H54" s="29" t="str">
        <x:v>https://dfarq.homeip.net/feed/</x:v>
      </x:c>
      <x:c r="I54" s="29" t="str">
        <x:v>有效</x:v>
      </x:c>
      <x:c r="J54" s="29" t="str">
        <x:v>解释源</x:v>
      </x:c>
      <x:c r="K54" s="29" t="str">
        <x:v>工程洞见、实战复盘、技术解释</x:v>
      </x:c>
      <x:c r="L54" s="29" t="str">
        <x:v>独立作者源；事实、数字和因果需回到论文、文档或数据。观点须明确归因。</x:v>
      </x:c>
    </x:row>
    <x:row r="55" ht="42" customHeight="1">
      <x:c r="A55" s="29" t="n">
        <x:v>51</x:v>
      </x:c>
      <x:c r="B55" s="29" t="str">
        <x:v>jyn.dev</x:v>
      </x:c>
      <x:c r="C55" s="29" t="str">
        <x:v>Jyn Nelson</x:v>
      </x:c>
      <x:c r="D55" s="29" t="str">
        <x:v>AI、科技与工程</x:v>
      </x:c>
      <x:c r="E55" s="29" t="str">
        <x:v>Rust, compilers, programming</x:v>
      </x:c>
      <x:c r="F55" s="29" t="str">
        <x:v>https://jyn.dev</x:v>
      </x:c>
      <x:c r="G55" s="29" t="str">
        <x:v>https://jyn.dev/atom.xml</x:v>
      </x:c>
      <x:c r="H55" s="29" t="str">
        <x:v>https://jyn.dev/atom.xml</x:v>
      </x:c>
      <x:c r="I55" s="29" t="str">
        <x:v>有效</x:v>
      </x:c>
      <x:c r="J55" s="29" t="str">
        <x:v>解释源</x:v>
      </x:c>
      <x:c r="K55" s="29" t="str">
        <x:v>工程洞见、实战复盘、技术解释</x:v>
      </x:c>
      <x:c r="L55" s="29" t="str">
        <x:v>独立作者源；事实、数字和因果需回到论文、文档或数据。观点须明确归因。</x:v>
      </x:c>
    </x:row>
    <x:row r="56" ht="42" customHeight="1">
      <x:c r="A56" s="29" t="n">
        <x:v>52</x:v>
      </x:c>
      <x:c r="B56" s="29" t="str">
        <x:v>geoffreylitt.com</x:v>
      </x:c>
      <x:c r="C56" s="29" t="str">
        <x:v>Geoffrey Litt</x:v>
      </x:c>
      <x:c r="D56" s="29" t="str">
        <x:v>AI、科技与工程</x:v>
      </x:c>
      <x:c r="E56" s="29" t="str">
        <x:v>software development, human-computer interaction</x:v>
      </x:c>
      <x:c r="F56" s="29" t="str">
        <x:v>https://geoffreylitt.com</x:v>
      </x:c>
      <x:c r="G56" s="29" t="str">
        <x:v>https://www.geoffreylitt.com/feed.xml</x:v>
      </x:c>
      <x:c r="H56" s="29" t="str">
        <x:v>https://www.geoffreylitt.com/feed.xml</x:v>
      </x:c>
      <x:c r="I56" s="29" t="str">
        <x:v>有效</x:v>
      </x:c>
      <x:c r="J56" s="29" t="str">
        <x:v>解释源</x:v>
      </x:c>
      <x:c r="K56" s="29" t="str">
        <x:v>工程洞见、实战复盘、技术解释</x:v>
      </x:c>
      <x:c r="L56" s="29" t="str">
        <x:v>独立作者源；事实、数字和因果需回到论文、文档或数据。观点须明确归因。</x:v>
      </x:c>
    </x:row>
    <x:row r="57" ht="42" customHeight="1">
      <x:c r="A57" s="29" t="n">
        <x:v>53</x:v>
      </x:c>
      <x:c r="B57" s="29" t="str">
        <x:v>downtowndougbrown.com</x:v>
      </x:c>
      <x:c r="C57" s="29" t="str">
        <x:v>Doug Brown</x:v>
      </x:c>
      <x:c r="D57" s="29" t="str">
        <x:v>AI、科技与工程</x:v>
      </x:c>
      <x:c r="E57" s="29" t="str">
        <x:v>urban planning, development</x:v>
      </x:c>
      <x:c r="F57" s="29" t="str">
        <x:v>https://downtowndougbrown.com</x:v>
      </x:c>
      <x:c r="G57" s="29" t="str">
        <x:v>https://www.downtowndougbrown.com/feed/</x:v>
      </x:c>
      <x:c r="H57" s="29" t="str">
        <x:v>https://www.downtowndougbrown.com/feed/</x:v>
      </x:c>
      <x:c r="I57" s="29" t="str">
        <x:v>有效</x:v>
      </x:c>
      <x:c r="J57" s="29" t="str">
        <x:v>解释源</x:v>
      </x:c>
      <x:c r="K57" s="29" t="str">
        <x:v>工程洞见、实战复盘、技术解释</x:v>
      </x:c>
      <x:c r="L57" s="29" t="str">
        <x:v>独立作者源；事实、数字和因果需回到论文、文档或数据。观点须明确归因。</x:v>
      </x:c>
    </x:row>
    <x:row r="58" ht="42" customHeight="1">
      <x:c r="A58" s="29" t="n">
        <x:v>54</x:v>
      </x:c>
      <x:c r="B58" s="29" t="str">
        <x:v>brutecat.com</x:v>
      </x:c>
      <x:c r="C58" s="29" t="str">
        <x:v>skull</x:v>
      </x:c>
      <x:c r="D58" s="29" t="str">
        <x:v>AI、科技与工程</x:v>
      </x:c>
      <x:c r="E58" s="29" t="str">
        <x:v>bug bounties, Google vulnerabilities</x:v>
      </x:c>
      <x:c r="F58" s="29" t="str">
        <x:v>https://brutecat.com</x:v>
      </x:c>
      <x:c r="G58" s="29" t="str">
        <x:v>https://brutecat.com/rss.xml</x:v>
      </x:c>
      <x:c r="H58" s="29" t="str">
        <x:v>https://brutecat.com/rss.xml</x:v>
      </x:c>
      <x:c r="I58" s="29" t="str">
        <x:v>有效</x:v>
      </x:c>
      <x:c r="J58" s="29" t="str">
        <x:v>解释源</x:v>
      </x:c>
      <x:c r="K58" s="29" t="str">
        <x:v>工程洞见、实战复盘、技术解释</x:v>
      </x:c>
      <x:c r="L58" s="29" t="str">
        <x:v>独立作者源；事实、数字和因果需回到论文、文档或数据。观点须明确归因。</x:v>
      </x:c>
    </x:row>
    <x:row r="59" ht="42" customHeight="1">
      <x:c r="A59" s="29" t="n">
        <x:v>55</x:v>
      </x:c>
      <x:c r="B59" s="29" t="str">
        <x:v>eli.thegreenplace.net</x:v>
      </x:c>
      <x:c r="C59" s="29" t="str">
        <x:v>Eli Bendersky</x:v>
      </x:c>
      <x:c r="D59" s="29" t="str">
        <x:v>AI、科技与工程</x:v>
      </x:c>
      <x:c r="E59" s="29" t="str">
        <x:v>programming, compilers, technology</x:v>
      </x:c>
      <x:c r="F59" s="29" t="str">
        <x:v>https://eli.thegreenplace.net</x:v>
      </x:c>
      <x:c r="G59" s="29" t="str">
        <x:v>https://eli.thegreenplace.net/feeds/all.atom.xml</x:v>
      </x:c>
      <x:c r="H59" s="29" t="str">
        <x:v>https://eli.thegreenplace.net/feeds/all.atom.xml</x:v>
      </x:c>
      <x:c r="I59" s="29" t="str">
        <x:v>有效</x:v>
      </x:c>
      <x:c r="J59" s="29" t="str">
        <x:v>解释源</x:v>
      </x:c>
      <x:c r="K59" s="29" t="str">
        <x:v>工程洞见、实战复盘、技术解释</x:v>
      </x:c>
      <x:c r="L59" s="29" t="str">
        <x:v>独立作者源；事实、数字和因果需回到论文、文档或数据。观点须明确归因。</x:v>
      </x:c>
    </x:row>
    <x:row r="60" ht="42" customHeight="1">
      <x:c r="A60" s="29" t="n">
        <x:v>56</x:v>
      </x:c>
      <x:c r="B60" s="29" t="str">
        <x:v>abortretry.fail</x:v>
      </x:c>
      <x:c r="C60" s="29" t="str">
        <x:v>Bradford Morgan White</x:v>
      </x:c>
      <x:c r="D60" s="29" t="str">
        <x:v>AI、科技与工程</x:v>
      </x:c>
      <x:c r="E60" s="29" t="str">
        <x:v>vintage software</x:v>
      </x:c>
      <x:c r="F60" s="29" t="str">
        <x:v>https://abortretry.fail</x:v>
      </x:c>
      <x:c r="G60" s="29" t="str">
        <x:v>https://www.abortretry.fail/feed</x:v>
      </x:c>
      <x:c r="H60" s="29" t="str">
        <x:v>https://www.abortretry.fail/feed</x:v>
      </x:c>
      <x:c r="I60" s="29" t="str">
        <x:v>有效</x:v>
      </x:c>
      <x:c r="J60" s="29" t="str">
        <x:v>解释源</x:v>
      </x:c>
      <x:c r="K60" s="29" t="str">
        <x:v>工程洞见、实战复盘、技术解释</x:v>
      </x:c>
      <x:c r="L60" s="29" t="str">
        <x:v>独立作者源；事实、数字和因果需回到论文、文档或数据。观点须明确归因。</x:v>
      </x:c>
    </x:row>
    <x:row r="61" ht="42" customHeight="1">
      <x:c r="A61" s="29" t="n">
        <x:v>57</x:v>
      </x:c>
      <x:c r="B61" s="29" t="str">
        <x:v>fabiensanglard.net</x:v>
      </x:c>
      <x:c r="C61" s="29" t="str">
        <x:v>Fabien Sanglard</x:v>
      </x:c>
      <x:c r="D61" s="29" t="str">
        <x:v>AI、科技与工程</x:v>
      </x:c>
      <x:c r="E61" s="29" t="str">
        <x:v>game development, software engineering, retro computing</x:v>
      </x:c>
      <x:c r="F61" s="29" t="str">
        <x:v>https://fabiensanglard.net</x:v>
      </x:c>
      <x:c r="G61" s="29" t="str">
        <x:v>https://fabiensanglard.net/rss.xml</x:v>
      </x:c>
      <x:c r="H61" s="29" t="str">
        <x:v>https://fabiensanglard.net/rss.xml</x:v>
      </x:c>
      <x:c r="I61" s="29" t="str">
        <x:v>有效</x:v>
      </x:c>
      <x:c r="J61" s="29" t="str">
        <x:v>解释源</x:v>
      </x:c>
      <x:c r="K61" s="29" t="str">
        <x:v>工程洞见、实战复盘、技术解释</x:v>
      </x:c>
      <x:c r="L61" s="29" t="str">
        <x:v>独立作者源；事实、数字和因果需回到论文、文档或数据。观点须明确归因。</x:v>
      </x:c>
    </x:row>
    <x:row r="62" ht="42" customHeight="1">
      <x:c r="A62" s="29" t="n">
        <x:v>58</x:v>
      </x:c>
      <x:c r="B62" s="29" t="str">
        <x:v>oldvcr.blogspot.com</x:v>
      </x:c>
      <x:c r="C62" s="29" t="str">
        <x:v>Cameron Kaiser</x:v>
      </x:c>
      <x:c r="D62" s="29" t="str">
        <x:v>AI、科技与工程</x:v>
      </x:c>
      <x:c r="E62" s="29" t="str">
        <x:v>vintage computers, linux</x:v>
      </x:c>
      <x:c r="F62" s="29" t="str">
        <x:v>https://oldvcr.blogspot.com</x:v>
      </x:c>
      <x:c r="G62" s="29" t="str">
        <x:v>https://oldvcr.blogspot.com/feeds/posts/default</x:v>
      </x:c>
      <x:c r="H62" s="29" t="str">
        <x:v>https://oldvcr.blogspot.com/feeds/posts/default</x:v>
      </x:c>
      <x:c r="I62" s="29" t="str">
        <x:v>有效</x:v>
      </x:c>
      <x:c r="J62" s="29" t="str">
        <x:v>解释源</x:v>
      </x:c>
      <x:c r="K62" s="29" t="str">
        <x:v>工程洞见、实战复盘、技术解释</x:v>
      </x:c>
      <x:c r="L62" s="29" t="str">
        <x:v>独立作者源；事实、数字和因果需回到论文、文档或数据。观点须明确归因。</x:v>
      </x:c>
    </x:row>
    <x:row r="63" ht="42" customHeight="1">
      <x:c r="A63" s="29" t="n">
        <x:v>59</x:v>
      </x:c>
      <x:c r="B63" s="29" t="str">
        <x:v>bogdanthegeek.github.io</x:v>
      </x:c>
      <x:c r="C63" s="29" t="str">
        <x:v>Bogdan Ionescu</x:v>
      </x:c>
      <x:c r="D63" s="29" t="str">
        <x:v>AI、科技与工程</x:v>
      </x:c>
      <x:c r="E63" s="29" t="str">
        <x:v>electronics, chemistry, programming</x:v>
      </x:c>
      <x:c r="F63" s="29" t="str">
        <x:v>https://bogdanthegeek.github.io</x:v>
      </x:c>
      <x:c r="G63" s="29" t="str">
        <x:v>https://bogdanthegeek.github.io/blog/index.xml</x:v>
      </x:c>
      <x:c r="H63" s="29" t="str">
        <x:v>https://bogdanthegeek.github.io/blog/index.xml</x:v>
      </x:c>
      <x:c r="I63" s="29" t="str">
        <x:v>有效</x:v>
      </x:c>
      <x:c r="J63" s="29" t="str">
        <x:v>解释源</x:v>
      </x:c>
      <x:c r="K63" s="29" t="str">
        <x:v>工程洞见、实战复盘、技术解释</x:v>
      </x:c>
      <x:c r="L63" s="29" t="str">
        <x:v>独立作者源；事实、数字和因果需回到论文、文档或数据。观点须明确归因。</x:v>
      </x:c>
    </x:row>
    <x:row r="64" ht="42" customHeight="1">
      <x:c r="A64" s="29" t="n">
        <x:v>60</x:v>
      </x:c>
      <x:c r="B64" s="29" t="str">
        <x:v>hugotunius.se</x:v>
      </x:c>
      <x:c r="C64" s="29" t="str">
        <x:v>Hugo Tunius</x:v>
      </x:c>
      <x:c r="D64" s="29" t="str">
        <x:v>AI、科技与工程</x:v>
      </x:c>
      <x:c r="E64" s="29" t="str">
        <x:v>iOS, mobile development, technology</x:v>
      </x:c>
      <x:c r="F64" s="29" t="str">
        <x:v>https://hugotunius.se</x:v>
      </x:c>
      <x:c r="G64" s="29" t="str">
        <x:v>https://hugotunius.se/feed.xml</x:v>
      </x:c>
      <x:c r="H64" s="29" t="str">
        <x:v>https://hugotunius.se/feed.xml</x:v>
      </x:c>
      <x:c r="I64" s="29" t="str">
        <x:v>有效</x:v>
      </x:c>
      <x:c r="J64" s="29" t="str">
        <x:v>解释源</x:v>
      </x:c>
      <x:c r="K64" s="29" t="str">
        <x:v>工程洞见、实战复盘、技术解释</x:v>
      </x:c>
      <x:c r="L64" s="29" t="str">
        <x:v>独立作者源；事实、数字和因果需回到论文、文档或数据。观点须明确归因。</x:v>
      </x:c>
    </x:row>
    <x:row r="65" ht="42" customHeight="1">
      <x:c r="A65" s="29" t="n">
        <x:v>61</x:v>
      </x:c>
      <x:c r="B65" s="29" t="str">
        <x:v>gwern.net</x:v>
      </x:c>
      <x:c r="C65" s="29" t="str">
        <x:v>Gwern Branwen</x:v>
      </x:c>
      <x:c r="D65" s="29" t="str">
        <x:v>AI、科技与工程</x:v>
      </x:c>
      <x:c r="E65" s="29" t="str">
        <x:v>psychology, statistics, technology</x:v>
      </x:c>
      <x:c r="F65" s="29" t="str">
        <x:v>https://gwern.net</x:v>
      </x:c>
      <x:c r="G65" s="29" t="str">
        <x:v>https://gwern.substack.com/feed</x:v>
      </x:c>
      <x:c r="H65" s="29" t="str">
        <x:v>https://gwern.substack.com/feed</x:v>
      </x:c>
      <x:c r="I65" s="29" t="str">
        <x:v>有效</x:v>
      </x:c>
      <x:c r="J65" s="29" t="str">
        <x:v>解释源</x:v>
      </x:c>
      <x:c r="K65" s="29" t="str">
        <x:v>数据图解、统计误区、可视化方法</x:v>
      </x:c>
      <x:c r="L65" s="29" t="str">
        <x:v>独立作者源；事实、数字和因果需回到论文、文档或数据。观点须明确归因。</x:v>
      </x:c>
    </x:row>
    <x:row r="66" ht="42" customHeight="1">
      <x:c r="A66" s="29" t="n">
        <x:v>62</x:v>
      </x:c>
      <x:c r="B66" s="29" t="str">
        <x:v>berthub.eu</x:v>
      </x:c>
      <x:c r="C66" s="29" t="str">
        <x:v>Bert Hubert</x:v>
      </x:c>
      <x:c r="D66" s="29" t="str">
        <x:v>AI、科技与工程</x:v>
      </x:c>
      <x:c r="E66" s="29" t="str">
        <x:v>DNS, software development, technology</x:v>
      </x:c>
      <x:c r="F66" s="29" t="str">
        <x:v>https://berthub.eu</x:v>
      </x:c>
      <x:c r="G66" s="29" t="str">
        <x:v>https://berthub.eu/articles/index.xml</x:v>
      </x:c>
      <x:c r="H66" s="29" t="str">
        <x:v>https://berthub.eu/articles/index.xml</x:v>
      </x:c>
      <x:c r="I66" s="29" t="str">
        <x:v>有效</x:v>
      </x:c>
      <x:c r="J66" s="29" t="str">
        <x:v>解释源</x:v>
      </x:c>
      <x:c r="K66" s="29" t="str">
        <x:v>工程洞见、实战复盘、技术解释</x:v>
      </x:c>
      <x:c r="L66" s="29" t="str">
        <x:v>独立作者源；事实、数字和因果需回到论文、文档或数据。观点须明确归因。</x:v>
      </x:c>
    </x:row>
    <x:row r="67" ht="42" customHeight="1">
      <x:c r="A67" s="29" t="n">
        <x:v>63</x:v>
      </x:c>
      <x:c r="B67" s="29" t="str">
        <x:v>chadnauseam.com</x:v>
      </x:c>
      <x:c r="C67" s="29" t="str">
        <x:v>Chad Nauseam</x:v>
      </x:c>
      <x:c r="D67" s="29" t="str">
        <x:v>人文与跨学科</x:v>
      </x:c>
      <x:c r="E67" s="29" t="str">
        <x:v>technology, culture, personal essays</x:v>
      </x:c>
      <x:c r="F67" s="29" t="str">
        <x:v>https://chadnauseam.com</x:v>
      </x:c>
      <x:c r="G67" s="29" t="str">
        <x:v>https://chadnauseam.com/rss.xml</x:v>
      </x:c>
      <x:c r="H67" s="29" t="str">
        <x:v>https://chadnauseam.com/rss.xml</x:v>
      </x:c>
      <x:c r="I67" s="29" t="str">
        <x:v>有效</x:v>
      </x:c>
      <x:c r="J67" s="29" t="str">
        <x:v>观点源</x:v>
      </x:c>
      <x:c r="K67" s="29" t="str">
        <x:v>观点摘引、文化观察、跨学科连接</x:v>
      </x:c>
      <x:c r="L67" s="29" t="str">
        <x:v>独立作者源；事实、数字和因果需回到论文、文档或数据。观点须明确归因。</x:v>
      </x:c>
    </x:row>
    <x:row r="68" ht="42" customHeight="1">
      <x:c r="A68" s="29" t="n">
        <x:v>64</x:v>
      </x:c>
      <x:c r="B68" s="29" t="str">
        <x:v>simone.org</x:v>
      </x:c>
      <x:c r="C68" s="29" t="str">
        <x:v>Simone Salis</x:v>
      </x:c>
      <x:c r="D68" s="29" t="str">
        <x:v>人文与跨学科</x:v>
      </x:c>
      <x:c r="E68" s="29" t="str">
        <x:v>digital minimalism, philosophy, technology</x:v>
      </x:c>
      <x:c r="F68" s="29" t="str">
        <x:v>https://simone.org</x:v>
      </x:c>
      <x:c r="G68" s="29" t="str">
        <x:v>https://simone.org/feed/</x:v>
      </x:c>
      <x:c r="H68" s="29" t="str">
        <x:v>https://simone.org/rss/</x:v>
      </x:c>
      <x:c r="I68" s="29" t="str">
        <x:v>重定向后有效</x:v>
      </x:c>
      <x:c r="J68" s="29" t="str">
        <x:v>解释源</x:v>
      </x:c>
      <x:c r="K68" s="29" t="str">
        <x:v>观点摘引、文化观察、跨学科连接</x:v>
      </x:c>
      <x:c r="L68" s="29" t="str">
        <x:v>独立作者源；事实、数字和因果需回到论文、文档或数据。观点须明确归因。</x:v>
      </x:c>
    </x:row>
    <x:row r="69" ht="42" customHeight="1">
      <x:c r="A69" s="29" t="n">
        <x:v>65</x:v>
      </x:c>
      <x:c r="B69" s="29" t="str">
        <x:v>it-notes.dragas.net</x:v>
      </x:c>
      <x:c r="C69" s="29" t="str">
        <x:v>Stefano Marinelli</x:v>
      </x:c>
      <x:c r="D69" s="29" t="str">
        <x:v>AI、科技与工程</x:v>
      </x:c>
      <x:c r="E69" s="29" t="str">
        <x:v>FreeBSD, Linux, system administration</x:v>
      </x:c>
      <x:c r="F69" s="29" t="str">
        <x:v>https://it-notes.dragas.net</x:v>
      </x:c>
      <x:c r="G69" s="29" t="str">
        <x:v>https://it-notes.dragas.net/feed/</x:v>
      </x:c>
      <x:c r="H69" s="29" t="str">
        <x:v>https://it-notes.dragas.net/feed/</x:v>
      </x:c>
      <x:c r="I69" s="29" t="str">
        <x:v>有效</x:v>
      </x:c>
      <x:c r="J69" s="29" t="str">
        <x:v>解释源</x:v>
      </x:c>
      <x:c r="K69" s="29" t="str">
        <x:v>工程洞见、实战复盘、技术解释</x:v>
      </x:c>
      <x:c r="L69" s="29" t="str">
        <x:v>独立作者源；事实、数字和因果需回到论文、文档或数据。观点须明确归因。</x:v>
      </x:c>
    </x:row>
    <x:row r="70" ht="42" customHeight="1">
      <x:c r="A70" s="29" t="n">
        <x:v>66</x:v>
      </x:c>
      <x:c r="B70" s="29" t="str">
        <x:v>beej.us</x:v>
      </x:c>
      <x:c r="C70" s="29" t="str">
        <x:v>Brian "Beej" Hall</x:v>
      </x:c>
      <x:c r="D70" s="29" t="str">
        <x:v>AI、科技与工程</x:v>
      </x:c>
      <x:c r="E70" s="29" t="str">
        <x:v>network programming, software development, education</x:v>
      </x:c>
      <x:c r="F70" s="29" t="str">
        <x:v>https://beej.us</x:v>
      </x:c>
      <x:c r="G70" s="29" t="str">
        <x:v>https://beej.us/blog/rss.xml</x:v>
      </x:c>
      <x:c r="H70" s="29" t="str">
        <x:v>https://beej.us/blog/rss.xml</x:v>
      </x:c>
      <x:c r="I70" s="29" t="str">
        <x:v>有效</x:v>
      </x:c>
      <x:c r="J70" s="29" t="str">
        <x:v>解释源</x:v>
      </x:c>
      <x:c r="K70" s="29" t="str">
        <x:v>工程洞见、实战复盘、技术解释</x:v>
      </x:c>
      <x:c r="L70" s="29" t="str">
        <x:v>独立作者源；事实、数字和因果需回到论文、文档或数据。观点须明确归因。</x:v>
      </x:c>
    </x:row>
    <x:row r="71" ht="42" customHeight="1">
      <x:c r="A71" s="29" t="n">
        <x:v>67</x:v>
      </x:c>
      <x:c r="B71" s="29" t="str">
        <x:v>hey.paris</x:v>
      </x:c>
      <x:c r="C71" s="29" t="str">
        <x:v>Paris Buttfield-Addison</x:v>
      </x:c>
      <x:c r="D71" s="29" t="str">
        <x:v>AI、科技与工程</x:v>
      </x:c>
      <x:c r="E71" s="29" t="str">
        <x:v>game development, AI, technology</x:v>
      </x:c>
      <x:c r="F71" s="29" t="str">
        <x:v>https://hey.paris</x:v>
      </x:c>
      <x:c r="G71" s="29" t="str">
        <x:v>https://hey.paris/index.xml</x:v>
      </x:c>
      <x:c r="H71" s="29" t="str">
        <x:v>https://hey.paris/index.xml</x:v>
      </x:c>
      <x:c r="I71" s="29" t="str">
        <x:v>有效</x:v>
      </x:c>
      <x:c r="J71" s="29" t="str">
        <x:v>解释源</x:v>
      </x:c>
      <x:c r="K71" s="29" t="str">
        <x:v>工程洞见、实战复盘、技术解释</x:v>
      </x:c>
      <x:c r="L71" s="29" t="str">
        <x:v>独立作者源；事实、数字和因果需回到论文、文档或数据。观点须明确归因。</x:v>
      </x:c>
    </x:row>
    <x:row r="72" ht="42" customHeight="1">
      <x:c r="A72" s="29" t="n">
        <x:v>68</x:v>
      </x:c>
      <x:c r="B72" s="29" t="str">
        <x:v>danielwirtz.com</x:v>
      </x:c>
      <x:c r="C72" s="29" t="str">
        <x:v>Daniel Wirtz</x:v>
      </x:c>
      <x:c r="D72" s="29" t="str">
        <x:v>艺术、设计与建筑</x:v>
      </x:c>
      <x:c r="E72" s="29" t="str">
        <x:v>design, no-code tools, productivity</x:v>
      </x:c>
      <x:c r="F72" s="29" t="str">
        <x:v>https://danielwirtz.com</x:v>
      </x:c>
      <x:c r="G72" s="29" t="str">
        <x:v>https://danielwirtz.com/rss.xml</x:v>
      </x:c>
      <x:c r="H72" s="29" t="str">
        <x:v>https://danielwirtz.com/rss.xml</x:v>
      </x:c>
      <x:c r="I72" s="29" t="str">
        <x:v>有效</x:v>
      </x:c>
      <x:c r="J72" s="29" t="str">
        <x:v>解释源</x:v>
      </x:c>
      <x:c r="K72" s="29" t="str">
        <x:v>界面/设计原则、作品拆解、创意技术</x:v>
      </x:c>
      <x:c r="L72" s="29" t="str">
        <x:v>独立作者源；事实、数字和因果需回到论文、文档或数据。观点须明确归因。</x:v>
      </x:c>
    </x:row>
    <x:row r="73" ht="42" customHeight="1">
      <x:c r="A73" s="29" t="n">
        <x:v>69</x:v>
      </x:c>
      <x:c r="B73" s="29" t="str">
        <x:v>matduggan.com</x:v>
      </x:c>
      <x:c r="C73" s="29" t="str">
        <x:v>Mat Duggan</x:v>
      </x:c>
      <x:c r="D73" s="29" t="str">
        <x:v>人文与跨学科</x:v>
      </x:c>
      <x:c r="E73" s="29" t="str">
        <x:v>writing, technology, culture</x:v>
      </x:c>
      <x:c r="F73" s="29" t="str">
        <x:v>https://matduggan.com</x:v>
      </x:c>
      <x:c r="G73" s="29" t="str">
        <x:v>https://matduggan.com/rss/</x:v>
      </x:c>
      <x:c r="H73" s="29" t="str">
        <x:v>https://matduggan.com/rss/</x:v>
      </x:c>
      <x:c r="I73" s="29" t="str">
        <x:v>有效</x:v>
      </x:c>
      <x:c r="J73" s="29" t="str">
        <x:v>观点源</x:v>
      </x:c>
      <x:c r="K73" s="29" t="str">
        <x:v>观点摘引、文化观察、跨学科连接</x:v>
      </x:c>
      <x:c r="L73" s="29" t="str">
        <x:v>独立作者源；事实、数字和因果需回到论文、文档或数据。观点须明确归因。</x:v>
      </x:c>
    </x:row>
    <x:row r="74" ht="42" customHeight="1">
      <x:c r="A74" s="29" t="n">
        <x:v>70</x:v>
      </x:c>
      <x:c r="B74" s="29" t="str">
        <x:v>refactoringenglish.com</x:v>
      </x:c>
      <x:c r="C74" s="29" t="str">
        <x:v>Michael Lynch</x:v>
      </x:c>
      <x:c r="D74" s="29" t="str">
        <x:v>人文与跨学科</x:v>
      </x:c>
      <x:c r="E74" s="29" t="str">
        <x:v>blogging, writing, english</x:v>
      </x:c>
      <x:c r="F74" s="29" t="str">
        <x:v>https://refactoringenglish.com</x:v>
      </x:c>
      <x:c r="G74" s="29" t="str">
        <x:v>https://refactoringenglish.com/index.xml</x:v>
      </x:c>
      <x:c r="H74" s="29" t="str">
        <x:v>https://refactoringenglish.com/index.xml</x:v>
      </x:c>
      <x:c r="I74" s="29" t="str">
        <x:v>有效</x:v>
      </x:c>
      <x:c r="J74" s="29" t="str">
        <x:v>观点源</x:v>
      </x:c>
      <x:c r="K74" s="29" t="str">
        <x:v>观点摘引、文化观察、跨学科连接</x:v>
      </x:c>
      <x:c r="L74" s="29" t="str">
        <x:v>独立作者源；事实、数字和因果需回到论文、文档或数据。观点须明确归因。</x:v>
      </x:c>
    </x:row>
    <x:row r="75" ht="42" customHeight="1">
      <x:c r="A75" s="29" t="n">
        <x:v>71</x:v>
      </x:c>
      <x:c r="B75" s="29" t="str">
        <x:v>worksonmymachine.substack.com</x:v>
      </x:c>
      <x:c r="C75" s="29" t="str">
        <x:v>Scott Werner</x:v>
      </x:c>
      <x:c r="D75" s="29" t="str">
        <x:v>AI、科技与工程</x:v>
      </x:c>
      <x:c r="E75" s="29" t="str">
        <x:v>AI, software development, future of work</x:v>
      </x:c>
      <x:c r="F75" s="29" t="str">
        <x:v>https://worksonmymachine.substack.com</x:v>
      </x:c>
      <x:c r="G75" s="29" t="str">
        <x:v>https://worksonmymachine.substack.com/feed</x:v>
      </x:c>
      <x:c r="H75" s="29" t="str">
        <x:v>https://worksonmymachine.ai/feed</x:v>
      </x:c>
      <x:c r="I75" s="29" t="str">
        <x:v>重定向后有效</x:v>
      </x:c>
      <x:c r="J75" s="29" t="str">
        <x:v>解释源</x:v>
      </x:c>
      <x:c r="K75" s="29" t="str">
        <x:v>工程洞见、实战复盘、技术解释</x:v>
      </x:c>
      <x:c r="L75" s="29" t="str">
        <x:v>独立作者源；事实、数字和因果需回到论文、文档或数据。观点须明确归因。</x:v>
      </x:c>
    </x:row>
    <x:row r="76" ht="42" customHeight="1">
      <x:c r="A76" s="29" t="n">
        <x:v>72</x:v>
      </x:c>
      <x:c r="B76" s="29" t="str">
        <x:v>philiplaine.com</x:v>
      </x:c>
      <x:c r="C76" s="29" t="str">
        <x:v>Philip Laine</x:v>
      </x:c>
      <x:c r="D76" s="29" t="str">
        <x:v>AI、科技与工程</x:v>
      </x:c>
      <x:c r="E76" s="29" t="str">
        <x:v>software development, cloud infrastructure</x:v>
      </x:c>
      <x:c r="F76" s="29" t="str">
        <x:v>https://philiplaine.com</x:v>
      </x:c>
      <x:c r="G76" s="29" t="str">
        <x:v>https://philiplaine.com/index.xml</x:v>
      </x:c>
      <x:c r="H76" s="29" t="str">
        <x:v>https://philiplaine.com/index.xml</x:v>
      </x:c>
      <x:c r="I76" s="29" t="str">
        <x:v>有效</x:v>
      </x:c>
      <x:c r="J76" s="29" t="str">
        <x:v>解释源</x:v>
      </x:c>
      <x:c r="K76" s="29" t="str">
        <x:v>工程洞见、实战复盘、技术解释</x:v>
      </x:c>
      <x:c r="L76" s="29" t="str">
        <x:v>独立作者源；事实、数字和因果需回到论文、文档或数据。观点须明确归因。</x:v>
      </x:c>
    </x:row>
    <x:row r="77" ht="42" customHeight="1">
      <x:c r="A77" s="29" t="n">
        <x:v>73</x:v>
      </x:c>
      <x:c r="B77" s="29" t="str">
        <x:v>steveblank.com</x:v>
      </x:c>
      <x:c r="C77" s="29" t="str">
        <x:v>Steve Blank</x:v>
      </x:c>
      <x:c r="D77" s="29" t="str">
        <x:v>商业、管理与创新</x:v>
      </x:c>
      <x:c r="E77" s="29" t="str">
        <x:v>startups, entrepreneurship, lean startup methodology</x:v>
      </x:c>
      <x:c r="F77" s="29" t="str">
        <x:v>https://steveblank.com</x:v>
      </x:c>
      <x:c r="G77" s="29" t="str">
        <x:v>https://steveblank.com/feed/</x:v>
      </x:c>
      <x:c r="H77" s="29" t="str">
        <x:v>https://steveblank.com/feed/</x:v>
      </x:c>
      <x:c r="I77" s="29" t="str">
        <x:v>有效</x:v>
      </x:c>
      <x:c r="J77" s="29" t="str">
        <x:v>观点源</x:v>
      </x:c>
      <x:c r="K77" s="29" t="str">
        <x:v>界面/设计原则、作品拆解、创意技术</x:v>
      </x:c>
      <x:c r="L77" s="29" t="str">
        <x:v>独立作者源；事实、数字和因果需回到论文、文档或数据。观点须明确归因。</x:v>
      </x:c>
    </x:row>
    <x:row r="78" ht="42" customHeight="1">
      <x:c r="A78" s="29" t="n">
        <x:v>74</x:v>
      </x:c>
      <x:c r="B78" s="29" t="str">
        <x:v>bernsteinbear.com</x:v>
      </x:c>
      <x:c r="C78" s="29" t="str">
        <x:v>Max Bernstein</x:v>
      </x:c>
      <x:c r="D78" s="29" t="str">
        <x:v>AI、科技与工程</x:v>
      </x:c>
      <x:c r="E78" s="29" t="str">
        <x:v>compilers, programming languages, implementation</x:v>
      </x:c>
      <x:c r="F78" s="29" t="str">
        <x:v>https://bernsteinbear.com</x:v>
      </x:c>
      <x:c r="G78" s="29" t="str">
        <x:v>https://bernsteinbear.com/feed.xml</x:v>
      </x:c>
      <x:c r="H78" s="29" t="str">
        <x:v>https://bernsteinbear.com/feed.xml</x:v>
      </x:c>
      <x:c r="I78" s="29" t="str">
        <x:v>有效</x:v>
      </x:c>
      <x:c r="J78" s="29" t="str">
        <x:v>解释源</x:v>
      </x:c>
      <x:c r="K78" s="29" t="str">
        <x:v>工程洞见、实战复盘、技术解释</x:v>
      </x:c>
      <x:c r="L78" s="29" t="str">
        <x:v>独立作者源；事实、数字和因果需回到论文、文档或数据。观点须明确归因。</x:v>
      </x:c>
    </x:row>
    <x:row r="79" ht="42" customHeight="1">
      <x:c r="A79" s="29" t="n">
        <x:v>75</x:v>
      </x:c>
      <x:c r="B79" s="29" t="str">
        <x:v>danieldelaney.net</x:v>
      </x:c>
      <x:c r="C79" s="29" t="str">
        <x:v>Daniel Delaney</x:v>
      </x:c>
      <x:c r="D79" s="29" t="str">
        <x:v>AI、科技与工程</x:v>
      </x:c>
      <x:c r="E79" s="29" t="str">
        <x:v>programming, technology, personal projects</x:v>
      </x:c>
      <x:c r="F79" s="29" t="str">
        <x:v>https://danieldelaney.net</x:v>
      </x:c>
      <x:c r="G79" s="29" t="str">
        <x:v>https://danieldelaney.net/feed</x:v>
      </x:c>
      <x:c r="H79" s="29" t="str">
        <x:v>https://danieldelaney.net/feed</x:v>
      </x:c>
      <x:c r="I79" s="29" t="str">
        <x:v>有效</x:v>
      </x:c>
      <x:c r="J79" s="29" t="str">
        <x:v>解释源</x:v>
      </x:c>
      <x:c r="K79" s="29" t="str">
        <x:v>工程洞见、实战复盘、技术解释</x:v>
      </x:c>
      <x:c r="L79" s="29" t="str">
        <x:v>独立作者源；事实、数字和因果需回到论文、文档或数据。观点须明确归因。</x:v>
      </x:c>
    </x:row>
    <x:row r="80" ht="42" customHeight="1">
      <x:c r="A80" s="29" t="n">
        <x:v>76</x:v>
      </x:c>
      <x:c r="B80" s="29" t="str">
        <x:v>troyhunt.com</x:v>
      </x:c>
      <x:c r="C80" s="29" t="str">
        <x:v>Troy Hunt</x:v>
      </x:c>
      <x:c r="D80" s="29" t="str">
        <x:v>AI、科技与工程</x:v>
      </x:c>
      <x:c r="E80" s="29" t="str">
        <x:v>security, data breaches, web security</x:v>
      </x:c>
      <x:c r="F80" s="29" t="str">
        <x:v>https://troyhunt.com</x:v>
      </x:c>
      <x:c r="G80" s="29" t="str">
        <x:v>https://www.troyhunt.com/rss/</x:v>
      </x:c>
      <x:c r="H80" s="29" t="str">
        <x:v>https://www.troyhunt.com/rss/</x:v>
      </x:c>
      <x:c r="I80" s="29" t="str">
        <x:v>有效</x:v>
      </x:c>
      <x:c r="J80" s="29" t="str">
        <x:v>解释源</x:v>
      </x:c>
      <x:c r="K80" s="29" t="str">
        <x:v>工程洞见、实战复盘、技术解释</x:v>
      </x:c>
      <x:c r="L80" s="29" t="str">
        <x:v>独立作者源；事实、数字和因果需回到论文、文档或数据。观点须明确归因。</x:v>
      </x:c>
    </x:row>
    <x:row r="81" ht="42" customHeight="1">
      <x:c r="A81" s="29" t="n">
        <x:v>77</x:v>
      </x:c>
      <x:c r="B81" s="29" t="str">
        <x:v>herman.bearblog.dev</x:v>
      </x:c>
      <x:c r="C81" s="29" t="str">
        <x:v>Herman Martinus</x:v>
      </x:c>
      <x:c r="D81" s="29" t="str">
        <x:v>AI、科技与工程</x:v>
      </x:c>
      <x:c r="E81" s="29" t="str">
        <x:v>software development, technology</x:v>
      </x:c>
      <x:c r="F81" s="29" t="str">
        <x:v>https://herman.bearblog.dev</x:v>
      </x:c>
      <x:c r="G81" s="29" t="str">
        <x:v>https://herman.bearblog.dev/feed/</x:v>
      </x:c>
      <x:c r="H81" s="29" t="str">
        <x:v>https://herman.bearblog.dev/feed/</x:v>
      </x:c>
      <x:c r="I81" s="29" t="str">
        <x:v>有效</x:v>
      </x:c>
      <x:c r="J81" s="29" t="str">
        <x:v>解释源</x:v>
      </x:c>
      <x:c r="K81" s="29" t="str">
        <x:v>工程洞见、实战复盘、技术解释</x:v>
      </x:c>
      <x:c r="L81" s="29" t="str">
        <x:v>独立作者源；事实、数字和因果需回到论文、文档或数据。观点须明确归因。</x:v>
      </x:c>
    </x:row>
    <x:row r="82" ht="42" customHeight="1">
      <x:c r="A82" s="29" t="n">
        <x:v>78</x:v>
      </x:c>
      <x:c r="B82" s="29" t="str">
        <x:v>tomrenner.com</x:v>
      </x:c>
      <x:c r="C82" s="29" t="str">
        <x:v>Tom Renner</x:v>
      </x:c>
      <x:c r="D82" s="29" t="str">
        <x:v>AI、科技与工程</x:v>
      </x:c>
      <x:c r="E82" s="29" t="str">
        <x:v>software development, ethical tech</x:v>
      </x:c>
      <x:c r="F82" s="29" t="str">
        <x:v>https://tomrenner.com</x:v>
      </x:c>
      <x:c r="G82" s="29" t="str">
        <x:v>https://tomrenner.com/index.xml</x:v>
      </x:c>
      <x:c r="H82" s="29" t="str">
        <x:v>https://tomrenner.com/index.xml</x:v>
      </x:c>
      <x:c r="I82" s="29" t="str">
        <x:v>有效</x:v>
      </x:c>
      <x:c r="J82" s="29" t="str">
        <x:v>解释源</x:v>
      </x:c>
      <x:c r="K82" s="29" t="str">
        <x:v>工程洞见、实战复盘、技术解释</x:v>
      </x:c>
      <x:c r="L82" s="29" t="str">
        <x:v>独立作者源；事实、数字和因果需回到论文、文档或数据。观点须明确归因。</x:v>
      </x:c>
    </x:row>
    <x:row r="83" ht="42" customHeight="1">
      <x:c r="A83" s="29" t="n">
        <x:v>79</x:v>
      </x:c>
      <x:c r="B83" s="29" t="str">
        <x:v>blog.pixelmelt.dev</x:v>
      </x:c>
      <x:c r="C83" s="29" t="str">
        <x:v>Ciarán</x:v>
      </x:c>
      <x:c r="D83" s="29" t="str">
        <x:v>AI、科技与工程</x:v>
      </x:c>
      <x:c r="E83" s="29" t="str">
        <x:v>reverse engineering, obfuscation, javascript</x:v>
      </x:c>
      <x:c r="F83" s="29" t="str">
        <x:v>https://blog.pixelmelt.dev</x:v>
      </x:c>
      <x:c r="G83" s="29" t="str">
        <x:v>https://blog.pixelmelt.dev/rss/</x:v>
      </x:c>
      <x:c r="H83" s="29" t="str">
        <x:v>https://blog.pixelmelt.dev/rss/</x:v>
      </x:c>
      <x:c r="I83" s="29" t="str">
        <x:v>有效</x:v>
      </x:c>
      <x:c r="J83" s="29" t="str">
        <x:v>解释源</x:v>
      </x:c>
      <x:c r="K83" s="29" t="str">
        <x:v>工程洞见、实战复盘、技术解释</x:v>
      </x:c>
      <x:c r="L83" s="29" t="str">
        <x:v>独立作者源；事实、数字和因果需回到论文、文档或数据。观点须明确归因。</x:v>
      </x:c>
    </x:row>
    <x:row r="84" ht="42" customHeight="1">
      <x:c r="A84" s="29" t="n">
        <x:v>80</x:v>
      </x:c>
      <x:c r="B84" s="29" t="str">
        <x:v>martinalderson.com</x:v>
      </x:c>
      <x:c r="C84" s="29" t="str">
        <x:v>Martin Alderson</x:v>
      </x:c>
      <x:c r="D84" s="29" t="str">
        <x:v>AI、科技与工程</x:v>
      </x:c>
      <x:c r="E84" s="29" t="str">
        <x:v>web development, AI, performance</x:v>
      </x:c>
      <x:c r="F84" s="29" t="str">
        <x:v>https://martinalderson.com</x:v>
      </x:c>
      <x:c r="G84" s="29" t="str">
        <x:v>https://martinalderson.com/feed.xml</x:v>
      </x:c>
      <x:c r="H84" s="29" t="str">
        <x:v>https://martinalderson.com/feed.xml</x:v>
      </x:c>
      <x:c r="I84" s="29" t="str">
        <x:v>有效</x:v>
      </x:c>
      <x:c r="J84" s="29" t="str">
        <x:v>解释源</x:v>
      </x:c>
      <x:c r="K84" s="29" t="str">
        <x:v>工程洞见、实战复盘、技术解释</x:v>
      </x:c>
      <x:c r="L84" s="29" t="str">
        <x:v>独立作者源；事实、数字和因果需回到论文、文档或数据。观点须明确归因。</x:v>
      </x:c>
    </x:row>
    <x:row r="85" ht="42" customHeight="1">
      <x:c r="A85" s="29" t="n">
        <x:v>81</x:v>
      </x:c>
      <x:c r="B85" s="29" t="str">
        <x:v>danielchasehooper.com</x:v>
      </x:c>
      <x:c r="C85" s="29" t="str">
        <x:v>Daniel Chase Hooper</x:v>
      </x:c>
      <x:c r="D85" s="29" t="str">
        <x:v>AI、科技与工程</x:v>
      </x:c>
      <x:c r="E85" s="29" t="str">
        <x:v>graphics programming, software development</x:v>
      </x:c>
      <x:c r="F85" s="29" t="str">
        <x:v>https://danielchasehooper.com</x:v>
      </x:c>
      <x:c r="G85" s="29" t="str">
        <x:v>https://danielchasehooper.com/feed.xml</x:v>
      </x:c>
      <x:c r="H85" s="29" t="str">
        <x:v>https://danielchasehooper.com/feed.xml</x:v>
      </x:c>
      <x:c r="I85" s="29" t="str">
        <x:v>有效</x:v>
      </x:c>
      <x:c r="J85" s="29" t="str">
        <x:v>解释源</x:v>
      </x:c>
      <x:c r="K85" s="29" t="str">
        <x:v>工程洞见、实战复盘、技术解释</x:v>
      </x:c>
      <x:c r="L85" s="29" t="str">
        <x:v>独立作者源；事实、数字和因果需回到论文、文档或数据。观点须明确归因。</x:v>
      </x:c>
    </x:row>
    <x:row r="86" ht="42" customHeight="1">
      <x:c r="A86" s="29" t="n">
        <x:v>82</x:v>
      </x:c>
      <x:c r="B86" s="29" t="str">
        <x:v>chiark.greenend.org.uk/~sgtatham</x:v>
      </x:c>
      <x:c r="C86" s="29" t="str">
        <x:v>Simon Tatham</x:v>
      </x:c>
      <x:c r="D86" s="29" t="str">
        <x:v>AI、科技与工程</x:v>
      </x:c>
      <x:c r="E86" s="29" t="str">
        <x:v>programming, puzzles, software tools</x:v>
      </x:c>
      <x:c r="F86" s="29" t="str">
        <x:v>https://chiark.greenend.org.uk/~sgtatham</x:v>
      </x:c>
      <x:c r="G86" s="29" t="str">
        <x:v>https://www.chiark.greenend.org.uk/~sgtatham/quasiblog/feed.xml</x:v>
      </x:c>
      <x:c r="H86" s="29" t="str">
        <x:v>https://www.chiark.greenend.org.uk/~sgtatham/quasiblog/feed.xml</x:v>
      </x:c>
      <x:c r="I86" s="29" t="str">
        <x:v>有效</x:v>
      </x:c>
      <x:c r="J86" s="29" t="str">
        <x:v>解释源</x:v>
      </x:c>
      <x:c r="K86" s="29" t="str">
        <x:v>工程洞见、实战复盘、技术解释</x:v>
      </x:c>
      <x:c r="L86" s="29" t="str">
        <x:v>独立作者源；事实、数字和因果需回到论文、文档或数据。观点须明确归因。</x:v>
      </x:c>
    </x:row>
    <x:row r="87" ht="42" customHeight="1">
      <x:c r="A87" s="29" t="n">
        <x:v>83</x:v>
      </x:c>
      <x:c r="B87" s="29" t="str">
        <x:v>grantslatton.com</x:v>
      </x:c>
      <x:c r="C87" s="29" t="str">
        <x:v>Grant Slatton</x:v>
      </x:c>
      <x:c r="D87" s="29" t="str">
        <x:v>AI、科技与工程</x:v>
      </x:c>
      <x:c r="E87" s="29" t="str">
        <x:v>technology, programming, personal essays</x:v>
      </x:c>
      <x:c r="F87" s="29" t="str">
        <x:v>https://grantslatton.com</x:v>
      </x:c>
      <x:c r="G87" s="29" t="str">
        <x:v>https://grantslatton.com/rss.xml</x:v>
      </x:c>
      <x:c r="H87" s="29" t="str">
        <x:v>https://grantslatton.com/rss.xml</x:v>
      </x:c>
      <x:c r="I87" s="29" t="str">
        <x:v>有效</x:v>
      </x:c>
      <x:c r="J87" s="29" t="str">
        <x:v>解释源</x:v>
      </x:c>
      <x:c r="K87" s="29" t="str">
        <x:v>工程洞见、实战复盘、技术解释</x:v>
      </x:c>
      <x:c r="L87" s="29" t="str">
        <x:v>独立作者源；事实、数字和因果需回到论文、文档或数据。观点须明确归因。</x:v>
      </x:c>
    </x:row>
    <x:row r="88" ht="42" customHeight="1">
      <x:c r="A88" s="29" t="n">
        <x:v>84</x:v>
      </x:c>
      <x:c r="B88" s="29" t="str">
        <x:v>experimental-history.com</x:v>
      </x:c>
      <x:c r="C88" s="29" t="str">
        <x:v>Adam Mastroianni</x:v>
      </x:c>
      <x:c r="D88" s="29" t="str">
        <x:v>历史与考古</x:v>
      </x:c>
      <x:c r="E88" s="29" t="str">
        <x:v>history, technology, urban planning</x:v>
      </x:c>
      <x:c r="F88" s="29" t="str">
        <x:v>https://experimental-history.com</x:v>
      </x:c>
      <x:c r="G88" s="29" t="str">
        <x:v>https://www.experimental-history.com/feed</x:v>
      </x:c>
      <x:c r="H88" s="29" t="str">
        <x:v>https://www.experimental-history.com/feed</x:v>
      </x:c>
      <x:c r="I88" s="29" t="str">
        <x:v>有效</x:v>
      </x:c>
      <x:c r="J88" s="29" t="str">
        <x:v>解释源</x:v>
      </x:c>
      <x:c r="K88" s="29" t="str">
        <x:v>技术史、历史类比、档案式线程</x:v>
      </x:c>
      <x:c r="L88" s="29" t="str">
        <x:v>独立作者源；事实、数字和因果需回到论文、文档或数据。观点须明确归因。</x:v>
      </x:c>
    </x:row>
    <x:row r="89" ht="42" customHeight="1">
      <x:c r="A89" s="29" t="n">
        <x:v>85</x:v>
      </x:c>
      <x:c r="B89" s="29" t="str">
        <x:v>anildash.com</x:v>
      </x:c>
      <x:c r="C89" s="29" t="str">
        <x:v>Anil Dash</x:v>
      </x:c>
      <x:c r="D89" s="29" t="str">
        <x:v>人文与跨学科</x:v>
      </x:c>
      <x:c r="E89" s="29" t="str">
        <x:v>culture, technology, policy</x:v>
      </x:c>
      <x:c r="F89" s="29" t="str">
        <x:v>https://anildash.com</x:v>
      </x:c>
      <x:c r="G89" s="29" t="str">
        <x:v>https://anildash.com/feed.xml</x:v>
      </x:c>
      <x:c r="H89" s="29" t="str">
        <x:v>https://www.anildash.com/feed.xml</x:v>
      </x:c>
      <x:c r="I89" s="29" t="str">
        <x:v>重定向后有效</x:v>
      </x:c>
      <x:c r="J89" s="29" t="str">
        <x:v>观点源</x:v>
      </x:c>
      <x:c r="K89" s="29" t="str">
        <x:v>观点摘引、文化观察、跨学科连接</x:v>
      </x:c>
      <x:c r="L89" s="29" t="str">
        <x:v>独立作者源；事实、数字和因果需回到论文、文档或数据。观点须明确归因。</x:v>
      </x:c>
    </x:row>
    <x:row r="90" ht="42" customHeight="1">
      <x:c r="A90" s="29" t="n">
        <x:v>86</x:v>
      </x:c>
      <x:c r="B90" s="29" t="str">
        <x:v>aresluna.org</x:v>
      </x:c>
      <x:c r="C90" s="29" t="str">
        <x:v>Marcin Wichary</x:v>
      </x:c>
      <x:c r="D90" s="29" t="str">
        <x:v>艺术、设计与建筑</x:v>
      </x:c>
      <x:c r="E90" s="29" t="str">
        <x:v>typography</x:v>
      </x:c>
      <x:c r="F90" s="29" t="str">
        <x:v>https://aresluna.org</x:v>
      </x:c>
      <x:c r="G90" s="29" t="str">
        <x:v>https://aresluna.org/main.rss</x:v>
      </x:c>
      <x:c r="H90" s="29" t="str">
        <x:v>https://aresluna.org/main.rss</x:v>
      </x:c>
      <x:c r="I90" s="29" t="str">
        <x:v>有效</x:v>
      </x:c>
      <x:c r="J90" s="29" t="str">
        <x:v>解释源</x:v>
      </x:c>
      <x:c r="K90" s="29" t="str">
        <x:v>界面/设计原则、作品拆解、创意技术</x:v>
      </x:c>
      <x:c r="L90" s="29" t="str">
        <x:v>独立作者源；事实、数字和因果需回到论文、文档或数据。观点须明确归因。</x:v>
      </x:c>
    </x:row>
    <x:row r="91" ht="42" customHeight="1">
      <x:c r="A91" s="29" t="n">
        <x:v>87</x:v>
      </x:c>
      <x:c r="B91" s="29" t="str">
        <x:v>michael.stapelberg.ch</x:v>
      </x:c>
      <x:c r="C91" s="29" t="str">
        <x:v>Michael Stapelberg</x:v>
      </x:c>
      <x:c r="D91" s="29" t="str">
        <x:v>AI、科技与工程</x:v>
      </x:c>
      <x:c r="E91" s="29" t="str">
        <x:v>software development, Linux, open source</x:v>
      </x:c>
      <x:c r="F91" s="29" t="str">
        <x:v>https://michael.stapelberg.ch</x:v>
      </x:c>
      <x:c r="G91" s="29" t="str">
        <x:v>https://michael.stapelberg.ch/feed.xml</x:v>
      </x:c>
      <x:c r="H91" s="29" t="str">
        <x:v>https://michael.stapelberg.ch/feed.xml</x:v>
      </x:c>
      <x:c r="I91" s="29" t="str">
        <x:v>有效</x:v>
      </x:c>
      <x:c r="J91" s="29" t="str">
        <x:v>解释源</x:v>
      </x:c>
      <x:c r="K91" s="29" t="str">
        <x:v>工程洞见、实战复盘、技术解释</x:v>
      </x:c>
      <x:c r="L91" s="29" t="str">
        <x:v>独立作者源；事实、数字和因果需回到论文、文档或数据。观点须明确归因。</x:v>
      </x:c>
    </x:row>
    <x:row r="92" ht="42" customHeight="1">
      <x:c r="A92" s="29" t="n">
        <x:v>88</x:v>
      </x:c>
      <x:c r="B92" s="29" t="str">
        <x:v>miguelgrinberg.com</x:v>
      </x:c>
      <x:c r="C92" s="29" t="str">
        <x:v>Miguel Grinberg</x:v>
      </x:c>
      <x:c r="D92" s="29" t="str">
        <x:v>AI、科技与工程</x:v>
      </x:c>
      <x:c r="E92" s="29" t="str">
        <x:v>Python, Flask, web development</x:v>
      </x:c>
      <x:c r="F92" s="29" t="str">
        <x:v>https://miguelgrinberg.com</x:v>
      </x:c>
      <x:c r="G92" s="29" t="str">
        <x:v>https://blog.miguelgrinberg.com/feed</x:v>
      </x:c>
      <x:c r="H92" s="29" t="str">
        <x:v>https://blog.miguelgrinberg.com/feed</x:v>
      </x:c>
      <x:c r="I92" s="29" t="str">
        <x:v>有效</x:v>
      </x:c>
      <x:c r="J92" s="29" t="str">
        <x:v>解释源</x:v>
      </x:c>
      <x:c r="K92" s="29" t="str">
        <x:v>工程洞见、实战复盘、技术解释</x:v>
      </x:c>
      <x:c r="L92" s="29" t="str">
        <x:v>独立作者源；事实、数字和因果需回到论文、文档或数据。观点须明确归因。</x:v>
      </x:c>
    </x:row>
    <x:row r="93" ht="42" customHeight="1">
      <x:c r="A93" s="29" t="n">
        <x:v>89</x:v>
      </x:c>
      <x:c r="B93" s="29" t="str">
        <x:v>keygen.sh</x:v>
      </x:c>
      <x:c r="C93" s="29" t="str">
        <x:v>Zeke Gabrielse</x:v>
      </x:c>
      <x:c r="D93" s="29" t="str">
        <x:v>商业、管理与创新</x:v>
      </x:c>
      <x:c r="E93" s="29" t="str">
        <x:v>indie business, software development</x:v>
      </x:c>
      <x:c r="F93" s="29" t="str">
        <x:v>https://keygen.sh</x:v>
      </x:c>
      <x:c r="G93" s="29" t="str">
        <x:v>https://keygen.sh/blog/feed.xml</x:v>
      </x:c>
      <x:c r="H93" s="29" t="str">
        <x:v>https://keygen.sh/blog/feed.xml</x:v>
      </x:c>
      <x:c r="I93" s="29" t="str">
        <x:v>有效</x:v>
      </x:c>
      <x:c r="J93" s="29" t="str">
        <x:v>观点源</x:v>
      </x:c>
      <x:c r="K93" s="29" t="str">
        <x:v>创业经验、产品判断、工程管理</x:v>
      </x:c>
      <x:c r="L93" s="29" t="str">
        <x:v>独立作者源；事实、数字和因果需回到论文、文档或数据。观点须明确归因。</x:v>
      </x:c>
    </x:row>
    <x:row r="94" ht="42" customHeight="1">
      <x:c r="A94" s="29" t="n">
        <x:v>90</x:v>
      </x:c>
      <x:c r="B94" s="29" t="str">
        <x:v>mjg59.dreamwidth.org</x:v>
      </x:c>
      <x:c r="C94" s="29" t="str">
        <x:v>Matthew Garrett</x:v>
      </x:c>
      <x:c r="D94" s="29" t="str">
        <x:v>AI、科技与工程</x:v>
      </x:c>
      <x:c r="E94" s="29" t="str">
        <x:v>security, Linux, open-source</x:v>
      </x:c>
      <x:c r="F94" s="29" t="str">
        <x:v>https://mjg59.dreamwidth.org</x:v>
      </x:c>
      <x:c r="G94" s="29" t="str">
        <x:v>https://mjg59.dreamwidth.org/data/rss</x:v>
      </x:c>
      <x:c r="H94" s="29" t="str">
        <x:v>https://mjg59.dreamwidth.org/data/rss</x:v>
      </x:c>
      <x:c r="I94" s="29" t="str">
        <x:v>有效</x:v>
      </x:c>
      <x:c r="J94" s="29" t="str">
        <x:v>解释源</x:v>
      </x:c>
      <x:c r="K94" s="29" t="str">
        <x:v>工程洞见、实战复盘、技术解释</x:v>
      </x:c>
      <x:c r="L94" s="29" t="str">
        <x:v>独立作者源；事实、数字和因果需回到论文、文档或数据。观点须明确归因。</x:v>
      </x:c>
    </x:row>
    <x:row r="95" ht="42" customHeight="1">
      <x:c r="A95" s="29" t="n">
        <x:v>91</x:v>
      </x:c>
      <x:c r="B95" s="29" t="str">
        <x:v>computer.rip</x:v>
      </x:c>
      <x:c r="C95" s="29" t="str">
        <x:v>J.B. Crawford</x:v>
      </x:c>
      <x:c r="D95" s="29" t="str">
        <x:v>历史与考古</x:v>
      </x:c>
      <x:c r="E95" s="29" t="str">
        <x:v>computer history</x:v>
      </x:c>
      <x:c r="F95" s="29" t="str">
        <x:v>https://computer.rip</x:v>
      </x:c>
      <x:c r="G95" s="29" t="str">
        <x:v>https://computer.rip/rss.xml</x:v>
      </x:c>
      <x:c r="H95" s="29" t="str">
        <x:v>https://computer.rip/rss.xml</x:v>
      </x:c>
      <x:c r="I95" s="29" t="str">
        <x:v>有效</x:v>
      </x:c>
      <x:c r="J95" s="29" t="str">
        <x:v>解释源</x:v>
      </x:c>
      <x:c r="K95" s="29" t="str">
        <x:v>技术史、历史类比、档案式线程</x:v>
      </x:c>
      <x:c r="L95" s="29" t="str">
        <x:v>独立作者源；事实、数字和因果需回到论文、文档或数据。观点须明确归因。</x:v>
      </x:c>
    </x:row>
    <x:row r="96" ht="42" customHeight="1">
      <x:c r="A96" s="31" t="n">
        <x:v>92</x:v>
      </x:c>
      <x:c r="B96" s="31" t="str">
        <x:v>tedunangst.com</x:v>
      </x:c>
      <x:c r="C96" s="31" t="str">
        <x:v>Ted Unangst</x:v>
      </x:c>
      <x:c r="D96" s="31" t="str">
        <x:v>AI、科技与工程</x:v>
      </x:c>
      <x:c r="E96" s="31" t="str">
        <x:v>OpenBSD, software development, security</x:v>
      </x:c>
      <x:c r="F96" s="31" t="str">
        <x:v>https://tedunangst.com</x:v>
      </x:c>
      <x:c r="G96" s="31" t="str">
        <x:v>https://www.tedunangst.com/flak/rss</x:v>
      </x:c>
      <x:c r="H96" s="31" t="str">
        <x:v>https://www.tedunangst.com/flak/rss</x:v>
      </x:c>
      <x:c r="I96" s="31" t="str">
        <x:v>超时/网络错误</x:v>
      </x:c>
      <x:c r="J96" s="31" t="str">
        <x:v>解释源</x:v>
      </x:c>
      <x:c r="K96" s="31" t="str">
        <x:v>工程洞见、实战复盘、技术解释</x:v>
      </x:c>
      <x:c r="L96" s="31" t="str">
        <x:v>独立作者源；事实、数字和因果需回到论文、文档或数据。观点须明确归因。；fetch failed</x:v>
      </x:c>
    </x:row>
  </x:sheetData>
  <x:mergeCells>
    <x:mergeCell ref="A1:H1"/>
    <x:mergeCell ref="A2:L2"/>
  </x:mergeCells>
  <x:conditionalFormatting sqref="I5:I96">
    <x:cfRule type="containsText" dxfId="16" priority="1" operator="containsText" text="有效"/>
    <x:cfRule type="containsText" dxfId="17" priority="2" operator="containsText" text="受限"/>
    <x:cfRule type="containsText" dxfId="18" priority="3" operator="containsText" text="失效"/>
    <x:cfRule type="containsText" dxfId="19" priority="4" operator="containsText" text="非Feed"/>
  </x:conditionalFormatting>
  <x:pageMargins left="0.7" right="0.7" top="0.75" bottom="0.75" header="0.3" footer="0.3"/>
  <x:tableParts count="1">
    <x:tablePart xmlns:r="http://schemas.openxmlformats.org/officeDocument/2006/relationships" r:id="R4e35751bd5fc49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4" hidden="0" customWidth="1"/>
    <x:col min="5" max="5" width="26" hidden="0" customWidth="1"/>
    <x:col min="6" max="6" width="28" hidden="0" customWidth="1"/>
    <x:col min="7" max="7" width="40" hidden="0" customWidth="1"/>
    <x:col min="8" max="8" width="46" hidden="0" customWidth="1"/>
    <x:col min="9" max="9" width="12" hidden="0" customWidth="1"/>
    <x:col min="10" max="10" width="36" hidden="0" customWidth="1"/>
    <x:col min="11" max="11" width="18" hidden="0" customWidth="1"/>
    <x:col min="12" max="12" width="52" hidden="0" customWidth="1"/>
  </x:cols>
  <x:sheetData>
    <x:row r="1" ht="34" customHeight="1">
      <x:c r="A1" s="3" t="str">
        <x:v>YouTube 高质量创作者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标准频道 RSS 只提供最新上传，不代表热门程度。要找热门视频，需结合 YouTube Data API 的播放量与发布时长计算播放速度。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2" customHeight="1">
      <x:c r="A4" s="13" t="str">
        <x:v>优先级</x:v>
      </x:c>
      <x:c r="B4" s="13" t="str">
        <x:v>综合分</x:v>
      </x:c>
      <x:c r="C4" s="13" t="str">
        <x:v>主分类</x:v>
      </x:c>
      <x:c r="D4" s="13" t="str">
        <x:v>细分主题</x:v>
      </x:c>
      <x:c r="E4" s="13" t="str">
        <x:v>频道</x:v>
      </x:c>
      <x:c r="F4" s="13" t="str">
        <x:v>Channel ID</x:v>
      </x:c>
      <x:c r="G4" s="13" t="str">
        <x:v>频道URL</x:v>
      </x:c>
      <x:c r="H4" s="13" t="str">
        <x:v>RSS</x:v>
      </x:c>
      <x:c r="I4" s="13" t="str">
        <x:v>引用角色</x:v>
      </x:c>
      <x:c r="J4" s="13" t="str">
        <x:v>适合X帖型</x:v>
      </x:c>
      <x:c r="K4" s="13" t="str">
        <x:v>Feed状态</x:v>
      </x:c>
      <x:c r="L4" s="13" t="str">
        <x:v>核验提醒</x:v>
      </x:c>
    </x:row>
    <x:row r="5" ht="46" customHeight="1">
      <x:c r="A5" s="27" t="str">
        <x:v>A</x:v>
      </x:c>
      <x:c r="B5" s="27" t="n">
        <x:v>90</x:v>
      </x:c>
      <x:c r="C5" s="27" t="str">
        <x:v>历史与考古</x:v>
      </x:c>
      <x:c r="D5" s="27" t="str">
        <x:v>博物馆/科学史</x:v>
      </x:c>
      <x:c r="E5" s="27" t="str">
        <x:v>Objectivity</x:v>
      </x:c>
      <x:c r="F5" s="27" t="str">
        <x:v>UCtwKon9qMt5YLVgQt1tvJKg</x:v>
      </x:c>
      <x:c r="G5" s="27" t="str">
        <x:v>https://www.youtube.com/channel/UCtwKon9qMt5YLVgQt1tvJKg</x:v>
      </x:c>
      <x:c r="H5" s="27" t="str">
        <x:v>https://www.youtube.com/feeds/videos.xml?channel_id=UCtwKon9qMt5YLVgQt1tvJKg</x:v>
      </x:c>
      <x:c r="I5" s="27" t="str">
        <x:v>解释源</x:v>
      </x:c>
      <x:c r="J5" s="27" t="str">
        <x:v>视频观点拆解、概念科普、选题与案例线索</x:v>
      </x:c>
      <x:c r="K5" s="27" t="str">
        <x:v>有效</x:v>
      </x:c>
      <x:c r="L5" s="27" t="str">
        <x:v>高质量解释源；具体数字和研究结论仍应回到论文、数据集或机构原文。</x:v>
      </x:c>
    </x:row>
    <x:row r="6" ht="46" customHeight="1">
      <x:c r="A6" s="29" t="str">
        <x:v>B</x:v>
      </x:c>
      <x:c r="B6" s="29" t="n">
        <x:v>88</x:v>
      </x:c>
      <x:c r="C6" s="29" t="str">
        <x:v>地球、地理与城市</x:v>
      </x:c>
      <x:c r="D6" s="29" t="str">
        <x:v>自然地理</x:v>
      </x:c>
      <x:c r="E6" s="29" t="str">
        <x:v>Atlas Pro</x:v>
      </x:c>
      <x:c r="F6" s="29" t="str">
        <x:v>UCz1oFxMrgrQ82-276UCOU9w</x:v>
      </x:c>
      <x:c r="G6" s="29" t="str">
        <x:v>https://www.youtube.com/channel/UCz1oFxMrgrQ82-276UCOU9w</x:v>
      </x:c>
      <x:c r="H6" s="29" t="str">
        <x:v>https://www.youtube.com/feeds/videos.xml?channel_id=UCz1oFxMrgrQ82-276UCOU9w</x:v>
      </x:c>
      <x:c r="I6" s="29" t="str">
        <x:v>解释源</x:v>
      </x:c>
      <x:c r="J6" s="29" t="str">
        <x:v>视频观点拆解、概念科普、选题与案例线索</x:v>
      </x:c>
      <x:c r="K6" s="29" t="str">
        <x:v>有效</x:v>
      </x:c>
      <x:c r="L6" s="29" t="str">
        <x:v>高质量解释源；具体数字和研究结论仍应回到论文、数据集或机构原文。</x:v>
      </x:c>
    </x:row>
    <x:row r="7" ht="46" customHeight="1">
      <x:c r="A7" s="29" t="str">
        <x:v>B</x:v>
      </x:c>
      <x:c r="B7" s="29" t="n">
        <x:v>88</x:v>
      </x:c>
      <x:c r="C7" s="29" t="str">
        <x:v>地球、地理与城市</x:v>
      </x:c>
      <x:c r="D7" s="29" t="str">
        <x:v>制度/地理/解释</x:v>
      </x:c>
      <x:c r="E7" s="29" t="str">
        <x:v>CGP Grey</x:v>
      </x:c>
      <x:c r="F7" s="29" t="str">
        <x:v>UC2C_jShtL725hvbm1arSV9w</x:v>
      </x:c>
      <x:c r="G7" s="29" t="str">
        <x:v>https://www.youtube.com/channel/UC2C_jShtL725hvbm1arSV9w</x:v>
      </x:c>
      <x:c r="H7" s="29" t="str">
        <x:v>https://www.youtube.com/feeds/videos.xml?channel_id=UC2C_jShtL725hvbm1arSV9w</x:v>
      </x:c>
      <x:c r="I7" s="29" t="str">
        <x:v>解释源</x:v>
      </x:c>
      <x:c r="J7" s="29" t="str">
        <x:v>视频观点拆解、概念科普、选题与案例线索</x:v>
      </x:c>
      <x:c r="K7" s="29" t="str">
        <x:v>有效</x:v>
      </x:c>
      <x:c r="L7" s="29" t="str">
        <x:v>高质量解释源；具体数字和研究结论仍应回到论文、数据集或机构原文。</x:v>
      </x:c>
    </x:row>
    <x:row r="8" ht="46" customHeight="1">
      <x:c r="A8" s="29" t="str">
        <x:v>B</x:v>
      </x:c>
      <x:c r="B8" s="29" t="n">
        <x:v>88</x:v>
      </x:c>
      <x:c r="C8" s="29" t="str">
        <x:v>地球、地理与城市</x:v>
      </x:c>
      <x:c r="D8" s="29" t="str">
        <x:v>城市规划</x:v>
      </x:c>
      <x:c r="E8" s="29" t="str">
        <x:v>City Beautiful</x:v>
      </x:c>
      <x:c r="F8" s="29" t="str">
        <x:v>UCGc8ZVCsrR3dAuhvUbkbToQ</x:v>
      </x:c>
      <x:c r="G8" s="29" t="str">
        <x:v>https://www.youtube.com/channel/UCGc8ZVCsrR3dAuhvUbkbToQ</x:v>
      </x:c>
      <x:c r="H8" s="29" t="str">
        <x:v>https://www.youtube.com/feeds/videos.xml?channel_id=UCGc8ZVCsrR3dAuhvUbkbToQ</x:v>
      </x:c>
      <x:c r="I8" s="29" t="str">
        <x:v>解释源</x:v>
      </x:c>
      <x:c r="J8" s="29" t="str">
        <x:v>视频观点拆解、概念科普、选题与案例线索</x:v>
      </x:c>
      <x:c r="K8" s="29" t="str">
        <x:v>有效</x:v>
      </x:c>
      <x:c r="L8" s="29" t="str">
        <x:v>高质量解释源；具体数字和研究结论仍应回到论文、数据集或机构原文。</x:v>
      </x:c>
    </x:row>
    <x:row r="9" ht="46" customHeight="1">
      <x:c r="A9" s="29" t="str">
        <x:v>B</x:v>
      </x:c>
      <x:c r="B9" s="29" t="n">
        <x:v>88</x:v>
      </x:c>
      <x:c r="C9" s="29" t="str">
        <x:v>地球、地理与城市</x:v>
      </x:c>
      <x:c r="D9" s="29" t="str">
        <x:v>地理</x:v>
      </x:c>
      <x:c r="E9" s="29" t="str">
        <x:v>Geography Now</x:v>
      </x:c>
      <x:c r="F9" s="29" t="str">
        <x:v>UCmmPgObSUPw1HL2lq6H4ffA</x:v>
      </x:c>
      <x:c r="G9" s="29" t="str">
        <x:v>https://www.youtube.com/channel/UCmmPgObSUPw1HL2lq6H4ffA</x:v>
      </x:c>
      <x:c r="H9" s="29" t="str">
        <x:v>https://www.youtube.com/feeds/videos.xml?channel_id=UCmmPgObSUPw1HL2lq6H4ffA</x:v>
      </x:c>
      <x:c r="I9" s="29" t="str">
        <x:v>解释源</x:v>
      </x:c>
      <x:c r="J9" s="29" t="str">
        <x:v>视频观点拆解、概念科普、选题与案例线索</x:v>
      </x:c>
      <x:c r="K9" s="29" t="str">
        <x:v>有效</x:v>
      </x:c>
      <x:c r="L9" s="29" t="str">
        <x:v>高质量解释源；具体数字和研究结论仍应回到论文、数据集或机构原文。</x:v>
      </x:c>
    </x:row>
    <x:row r="10" ht="46" customHeight="1">
      <x:c r="A10" s="29" t="str">
        <x:v>B</x:v>
      </x:c>
      <x:c r="B10" s="29" t="n">
        <x:v>88</x:v>
      </x:c>
      <x:c r="C10" s="29" t="str">
        <x:v>地球、地理与城市</x:v>
      </x:c>
      <x:c r="D10" s="29" t="str">
        <x:v>城市/交通</x:v>
      </x:c>
      <x:c r="E10" s="29" t="str">
        <x:v>Not Just Bikes</x:v>
      </x:c>
      <x:c r="F10" s="29" t="str">
        <x:v>UC0intLFzLaudFG-xAvUEO-A</x:v>
      </x:c>
      <x:c r="G10" s="29" t="str">
        <x:v>https://www.youtube.com/channel/UC0intLFzLaudFG-xAvUEO-A</x:v>
      </x:c>
      <x:c r="H10" s="29" t="str">
        <x:v>https://www.youtube.com/feeds/videos.xml?channel_id=UC0intLFzLaudFG-xAvUEO-A</x:v>
      </x:c>
      <x:c r="I10" s="29" t="str">
        <x:v>解释源</x:v>
      </x:c>
      <x:c r="J10" s="29" t="str">
        <x:v>视频观点拆解、概念科普、选题与案例线索</x:v>
      </x:c>
      <x:c r="K10" s="29" t="str">
        <x:v>有效</x:v>
      </x:c>
      <x:c r="L10" s="29" t="str">
        <x:v>高质量解释源；具体数字和研究结论仍应回到论文、数据集或机构原文。</x:v>
      </x:c>
    </x:row>
    <x:row r="11" ht="46" customHeight="1">
      <x:c r="A11" s="29" t="str">
        <x:v>B</x:v>
      </x:c>
      <x:c r="B11" s="29" t="n">
        <x:v>88</x:v>
      </x:c>
      <x:c r="C11" s="29" t="str">
        <x:v>地球、地理与城市</x:v>
      </x:c>
      <x:c r="D11" s="29" t="str">
        <x:v>工程/基建</x:v>
      </x:c>
      <x:c r="E11" s="29" t="str">
        <x:v>Practical Engineering</x:v>
      </x:c>
      <x:c r="F11" s="29" t="str">
        <x:v>UCMOqf8ab-42UUQIdVoKwjlQ</x:v>
      </x:c>
      <x:c r="G11" s="29" t="str">
        <x:v>https://www.youtube.com/channel/UCMOqf8ab-42UUQIdVoKwjlQ</x:v>
      </x:c>
      <x:c r="H11" s="29" t="str">
        <x:v>https://www.youtube.com/feeds/videos.xml?channel_id=UCMOqf8ab-42UUQIdVoKwjlQ</x:v>
      </x:c>
      <x:c r="I11" s="29" t="str">
        <x:v>解释源</x:v>
      </x:c>
      <x:c r="J11" s="29" t="str">
        <x:v>视频观点拆解、概念科普、选题与案例线索</x:v>
      </x:c>
      <x:c r="K11" s="29" t="str">
        <x:v>有效</x:v>
      </x:c>
      <x:c r="L11" s="29" t="str">
        <x:v>高质量解释源；具体数字和研究结论仍应回到论文、数据集或机构原文。</x:v>
      </x:c>
    </x:row>
    <x:row r="12" ht="46" customHeight="1">
      <x:c r="A12" s="29" t="str">
        <x:v>B</x:v>
      </x:c>
      <x:c r="B12" s="29" t="n">
        <x:v>88</x:v>
      </x:c>
      <x:c r="C12" s="29" t="str">
        <x:v>地球、地理与城市</x:v>
      </x:c>
      <x:c r="D12" s="29" t="str">
        <x:v>科技/地理/文化</x:v>
      </x:c>
      <x:c r="E12" s="29" t="str">
        <x:v>Tom Scott</x:v>
      </x:c>
      <x:c r="F12" s="29" t="str">
        <x:v>UCBa659QWEk1AI4Tg--mrJ2A</x:v>
      </x:c>
      <x:c r="G12" s="29" t="str">
        <x:v>https://www.youtube.com/channel/UCBa659QWEk1AI4Tg--mrJ2A</x:v>
      </x:c>
      <x:c r="H12" s="29" t="str">
        <x:v>https://www.youtube.com/feeds/videos.xml?channel_id=UCBa659QWEk1AI4Tg--mrJ2A</x:v>
      </x:c>
      <x:c r="I12" s="29" t="str">
        <x:v>解释源</x:v>
      </x:c>
      <x:c r="J12" s="29" t="str">
        <x:v>视频观点拆解、概念科普、选题与案例线索</x:v>
      </x:c>
      <x:c r="K12" s="29" t="str">
        <x:v>有效</x:v>
      </x:c>
      <x:c r="L12" s="29" t="str">
        <x:v>高质量解释源；具体数字和研究结论仍应回到论文、数据集或机构原文。</x:v>
      </x:c>
    </x:row>
    <x:row r="13" ht="46" customHeight="1">
      <x:c r="A13" s="29" t="str">
        <x:v>B</x:v>
      </x:c>
      <x:c r="B13" s="29" t="n">
        <x:v>88</x:v>
      </x:c>
      <x:c r="C13" s="29" t="str">
        <x:v>科学与数学</x:v>
      </x:c>
      <x:c r="D13" s="29" t="str">
        <x:v>数学/可视化</x:v>
      </x:c>
      <x:c r="E13" s="29" t="str">
        <x:v>3Blue1Brown</x:v>
      </x:c>
      <x:c r="F13" s="29" t="str">
        <x:v>UCYO_jab_esuFRV4b17AJtAw</x:v>
      </x:c>
      <x:c r="G13" s="29" t="str">
        <x:v>https://www.youtube.com/channel/UCYO_jab_esuFRV4b17AJtAw</x:v>
      </x:c>
      <x:c r="H13" s="29" t="str">
        <x:v>https://www.youtube.com/feeds/videos.xml?channel_id=UCYO_jab_esuFRV4b17AJtAw</x:v>
      </x:c>
      <x:c r="I13" s="29" t="str">
        <x:v>解释源</x:v>
      </x:c>
      <x:c r="J13" s="29" t="str">
        <x:v>视频观点拆解、概念科普、选题与案例线索</x:v>
      </x:c>
      <x:c r="K13" s="29" t="str">
        <x:v>有效</x:v>
      </x:c>
      <x:c r="L13" s="29" t="str">
        <x:v>高质量解释源；具体数字和研究结论仍应回到论文、数据集或机构原文。</x:v>
      </x:c>
    </x:row>
    <x:row r="14" ht="46" customHeight="1">
      <x:c r="A14" s="29" t="str">
        <x:v>B</x:v>
      </x:c>
      <x:c r="B14" s="29" t="n">
        <x:v>88</x:v>
      </x:c>
      <x:c r="C14" s="29" t="str">
        <x:v>科学与数学</x:v>
      </x:c>
      <x:c r="D14" s="29" t="str">
        <x:v>科学</x:v>
      </x:c>
      <x:c r="E14" s="29" t="str">
        <x:v>Be Smart</x:v>
      </x:c>
      <x:c r="F14" s="29" t="str">
        <x:v>UCH4BNI0-FOK2dMXoFtViWHw</x:v>
      </x:c>
      <x:c r="G14" s="29" t="str">
        <x:v>https://www.youtube.com/channel/UCH4BNI0-FOK2dMXoFtViWHw</x:v>
      </x:c>
      <x:c r="H14" s="29" t="str">
        <x:v>https://www.youtube.com/feeds/videos.xml?channel_id=UCH4BNI0-FOK2dMXoFtViWHw</x:v>
      </x:c>
      <x:c r="I14" s="29" t="str">
        <x:v>解释源</x:v>
      </x:c>
      <x:c r="J14" s="29" t="str">
        <x:v>视频观点拆解、概念科普、选题与案例线索</x:v>
      </x:c>
      <x:c r="K14" s="29" t="str">
        <x:v>有效</x:v>
      </x:c>
      <x:c r="L14" s="29" t="str">
        <x:v>高质量解释源；具体数字和研究结论仍应回到论文、数据集或机构原文。</x:v>
      </x:c>
    </x:row>
    <x:row r="15" ht="46" customHeight="1">
      <x:c r="A15" s="29" t="str">
        <x:v>B</x:v>
      </x:c>
      <x:c r="B15" s="29" t="n">
        <x:v>88</x:v>
      </x:c>
      <x:c r="C15" s="29" t="str">
        <x:v>科学与数学</x:v>
      </x:c>
      <x:c r="D15" s="29" t="str">
        <x:v>通识教育</x:v>
      </x:c>
      <x:c r="E15" s="29" t="str">
        <x:v>Crash Course</x:v>
      </x:c>
      <x:c r="F15" s="29" t="str">
        <x:v>UCX6b17PVsYBQ0ip5gyeme-Q</x:v>
      </x:c>
      <x:c r="G15" s="29" t="str">
        <x:v>https://www.youtube.com/channel/UCX6b17PVsYBQ0ip5gyeme-Q</x:v>
      </x:c>
      <x:c r="H15" s="29" t="str">
        <x:v>https://www.youtube.com/feeds/videos.xml?channel_id=UCX6b17PVsYBQ0ip5gyeme-Q</x:v>
      </x:c>
      <x:c r="I15" s="29" t="str">
        <x:v>解释源</x:v>
      </x:c>
      <x:c r="J15" s="29" t="str">
        <x:v>视频观点拆解、概念科普、选题与案例线索</x:v>
      </x:c>
      <x:c r="K15" s="29" t="str">
        <x:v>有效</x:v>
      </x:c>
      <x:c r="L15" s="29" t="str">
        <x:v>高质量解释源；具体数字和研究结论仍应回到论文、数据集或机构原文。</x:v>
      </x:c>
    </x:row>
    <x:row r="16" ht="46" customHeight="1">
      <x:c r="A16" s="29" t="str">
        <x:v>B</x:v>
      </x:c>
      <x:c r="B16" s="29" t="n">
        <x:v>88</x:v>
      </x:c>
      <x:c r="C16" s="29" t="str">
        <x:v>科学与数学</x:v>
      </x:c>
      <x:c r="D16" s="29" t="str">
        <x:v>自然/微观影像</x:v>
      </x:c>
      <x:c r="E16" s="29" t="str">
        <x:v>Deep Look</x:v>
      </x:c>
      <x:c r="F16" s="29" t="str">
        <x:v>UC-3SbfTPJsL8fJAPKiVqBLg</x:v>
      </x:c>
      <x:c r="G16" s="29" t="str">
        <x:v>https://www.youtube.com/channel/UC-3SbfTPJsL8fJAPKiVqBLg</x:v>
      </x:c>
      <x:c r="H16" s="29" t="str">
        <x:v>https://www.youtube.com/feeds/videos.xml?channel_id=UC-3SbfTPJsL8fJAPKiVqBLg</x:v>
      </x:c>
      <x:c r="I16" s="29" t="str">
        <x:v>解释源</x:v>
      </x:c>
      <x:c r="J16" s="29" t="str">
        <x:v>视频观点拆解、概念科普、选题与案例线索</x:v>
      </x:c>
      <x:c r="K16" s="29" t="str">
        <x:v>有效</x:v>
      </x:c>
      <x:c r="L16" s="29" t="str">
        <x:v>高质量解释源；具体数字和研究结论仍应回到论文、数据集或机构原文。</x:v>
      </x:c>
    </x:row>
    <x:row r="17" ht="46" customHeight="1">
      <x:c r="A17" s="29" t="str">
        <x:v>B</x:v>
      </x:c>
      <x:c r="B17" s="29" t="n">
        <x:v>88</x:v>
      </x:c>
      <x:c r="C17" s="29" t="str">
        <x:v>科学与数学</x:v>
      </x:c>
      <x:c r="D17" s="29" t="str">
        <x:v>科学/社会</x:v>
      </x:c>
      <x:c r="E17" s="29" t="str">
        <x:v>Kurzgesagt</x:v>
      </x:c>
      <x:c r="F17" s="29" t="str">
        <x:v>UCsXVk37bltHxD1rDPwtNM8Q</x:v>
      </x:c>
      <x:c r="G17" s="29" t="str">
        <x:v>https://www.youtube.com/channel/UCsXVk37bltHxD1rDPwtNM8Q</x:v>
      </x:c>
      <x:c r="H17" s="29" t="str">
        <x:v>https://www.youtube.com/feeds/videos.xml?channel_id=UCsXVk37bltHxD1rDPwtNM8Q</x:v>
      </x:c>
      <x:c r="I17" s="29" t="str">
        <x:v>解释源</x:v>
      </x:c>
      <x:c r="J17" s="29" t="str">
        <x:v>视频观点拆解、概念科普、选题与案例线索</x:v>
      </x:c>
      <x:c r="K17" s="29" t="str">
        <x:v>有效</x:v>
      </x:c>
      <x:c r="L17" s="29" t="str">
        <x:v>高质量解释源；具体数字和研究结论仍应回到论文、数据集或机构原文。</x:v>
      </x:c>
    </x:row>
    <x:row r="18" ht="46" customHeight="1">
      <x:c r="A18" s="29" t="str">
        <x:v>B</x:v>
      </x:c>
      <x:c r="B18" s="29" t="n">
        <x:v>88</x:v>
      </x:c>
      <x:c r="C18" s="29" t="str">
        <x:v>科学与数学</x:v>
      </x:c>
      <x:c r="D18" s="29" t="str">
        <x:v>物理</x:v>
      </x:c>
      <x:c r="E18" s="29" t="str">
        <x:v>minutephysics</x:v>
      </x:c>
      <x:c r="F18" s="29" t="str">
        <x:v>UCUHW94eEFW7hkUMVaZz4eDg</x:v>
      </x:c>
      <x:c r="G18" s="29" t="str">
        <x:v>https://www.youtube.com/channel/UCUHW94eEFW7hkUMVaZz4eDg</x:v>
      </x:c>
      <x:c r="H18" s="29" t="str">
        <x:v>https://www.youtube.com/feeds/videos.xml?channel_id=UCUHW94eEFW7hkUMVaZz4eDg</x:v>
      </x:c>
      <x:c r="I18" s="29" t="str">
        <x:v>解释源</x:v>
      </x:c>
      <x:c r="J18" s="29" t="str">
        <x:v>视频观点拆解、概念科普、选题与案例线索</x:v>
      </x:c>
      <x:c r="K18" s="29" t="str">
        <x:v>有效</x:v>
      </x:c>
      <x:c r="L18" s="29" t="str">
        <x:v>高质量解释源；具体数字和研究结论仍应回到论文、数据集或机构原文。</x:v>
      </x:c>
    </x:row>
    <x:row r="19" ht="46" customHeight="1">
      <x:c r="A19" s="29" t="str">
        <x:v>B</x:v>
      </x:c>
      <x:c r="B19" s="29" t="n">
        <x:v>88</x:v>
      </x:c>
      <x:c r="C19" s="29" t="str">
        <x:v>科学与数学</x:v>
      </x:c>
      <x:c r="D19" s="29" t="str">
        <x:v>数学</x:v>
      </x:c>
      <x:c r="E19" s="29" t="str">
        <x:v>Numberphile</x:v>
      </x:c>
      <x:c r="F19" s="29" t="str">
        <x:v>UCoxcjq-8xIDTYp3uz647V5A</x:v>
      </x:c>
      <x:c r="G19" s="29" t="str">
        <x:v>https://www.youtube.com/channel/UCoxcjq-8xIDTYp3uz647V5A</x:v>
      </x:c>
      <x:c r="H19" s="29" t="str">
        <x:v>https://www.youtube.com/feeds/videos.xml?channel_id=UCoxcjq-8xIDTYp3uz647V5A</x:v>
      </x:c>
      <x:c r="I19" s="29" t="str">
        <x:v>解释源</x:v>
      </x:c>
      <x:c r="J19" s="29" t="str">
        <x:v>视频观点拆解、概念科普、选题与案例线索</x:v>
      </x:c>
      <x:c r="K19" s="29" t="str">
        <x:v>有效</x:v>
      </x:c>
      <x:c r="L19" s="29" t="str">
        <x:v>高质量解释源；具体数字和研究结论仍应回到论文、数据集或机构原文。</x:v>
      </x:c>
    </x:row>
    <x:row r="20" ht="46" customHeight="1">
      <x:c r="A20" s="29" t="str">
        <x:v>B</x:v>
      </x:c>
      <x:c r="B20" s="29" t="n">
        <x:v>88</x:v>
      </x:c>
      <x:c r="C20" s="29" t="str">
        <x:v>科学与数学</x:v>
      </x:c>
      <x:c r="D20" s="29" t="str">
        <x:v>工程/科学</x:v>
      </x:c>
      <x:c r="E20" s="29" t="str">
        <x:v>Smarter Every Day</x:v>
      </x:c>
      <x:c r="F20" s="29" t="str">
        <x:v>UC6107grRI4m0o2-emgoDnAA</x:v>
      </x:c>
      <x:c r="G20" s="29" t="str">
        <x:v>https://www.youtube.com/channel/UC6107grRI4m0o2-emgoDnAA</x:v>
      </x:c>
      <x:c r="H20" s="29" t="str">
        <x:v>https://www.youtube.com/feeds/videos.xml?channel_id=UC6107grRI4m0o2-emgoDnAA</x:v>
      </x:c>
      <x:c r="I20" s="29" t="str">
        <x:v>解释源</x:v>
      </x:c>
      <x:c r="J20" s="29" t="str">
        <x:v>视频观点拆解、概念科普、选题与案例线索</x:v>
      </x:c>
      <x:c r="K20" s="29" t="str">
        <x:v>有效</x:v>
      </x:c>
      <x:c r="L20" s="29" t="str">
        <x:v>高质量解释源；具体数字和研究结论仍应回到论文、数据集或机构原文。</x:v>
      </x:c>
    </x:row>
    <x:row r="21" ht="46" customHeight="1">
      <x:c r="A21" s="29" t="str">
        <x:v>B</x:v>
      </x:c>
      <x:c r="B21" s="29" t="n">
        <x:v>88</x:v>
      </x:c>
      <x:c r="C21" s="29" t="str">
        <x:v>科学与数学</x:v>
      </x:c>
      <x:c r="D21" s="29" t="str">
        <x:v>数学</x:v>
      </x:c>
      <x:c r="E21" s="29" t="str">
        <x:v>Stand-up Maths</x:v>
      </x:c>
      <x:c r="F21" s="29" t="str">
        <x:v>UCSju5G2aFaWMqn-_0YBtq5A</x:v>
      </x:c>
      <x:c r="G21" s="29" t="str">
        <x:v>https://www.youtube.com/channel/UCSju5G2aFaWMqn-_0YBtq5A</x:v>
      </x:c>
      <x:c r="H21" s="29" t="str">
        <x:v>https://www.youtube.com/feeds/videos.xml?channel_id=UCSju5G2aFaWMqn-_0YBtq5A</x:v>
      </x:c>
      <x:c r="I21" s="29" t="str">
        <x:v>解释源</x:v>
      </x:c>
      <x:c r="J21" s="29" t="str">
        <x:v>视频观点拆解、概念科普、选题与案例线索</x:v>
      </x:c>
      <x:c r="K21" s="29" t="str">
        <x:v>有效</x:v>
      </x:c>
      <x:c r="L21" s="29" t="str">
        <x:v>高质量解释源；具体数字和研究结论仍应回到论文、数据集或机构原文。</x:v>
      </x:c>
    </x:row>
    <x:row r="22" ht="46" customHeight="1">
      <x:c r="A22" s="29" t="str">
        <x:v>B</x:v>
      </x:c>
      <x:c r="B22" s="29" t="n">
        <x:v>88</x:v>
      </x:c>
      <x:c r="C22" s="29" t="str">
        <x:v>科学与数学</x:v>
      </x:c>
      <x:c r="D22" s="29" t="str">
        <x:v>科学</x:v>
      </x:c>
      <x:c r="E22" s="29" t="str">
        <x:v>Veritasium</x:v>
      </x:c>
      <x:c r="F22" s="29" t="str">
        <x:v>UCHnyfMqiRRG1u-2MsSQLbXA</x:v>
      </x:c>
      <x:c r="G22" s="29" t="str">
        <x:v>https://www.youtube.com/channel/UCHnyfMqiRRG1u-2MsSQLbXA</x:v>
      </x:c>
      <x:c r="H22" s="29" t="str">
        <x:v>https://www.youtube.com/feeds/videos.xml?channel_id=UCHnyfMqiRRG1u-2MsSQLbXA</x:v>
      </x:c>
      <x:c r="I22" s="29" t="str">
        <x:v>解释源</x:v>
      </x:c>
      <x:c r="J22" s="29" t="str">
        <x:v>视频观点拆解、概念科普、选题与案例线索</x:v>
      </x:c>
      <x:c r="K22" s="29" t="str">
        <x:v>有效</x:v>
      </x:c>
      <x:c r="L22" s="29" t="str">
        <x:v>高质量解释源；具体数字和研究结论仍应回到论文、数据集或机构原文。</x:v>
      </x:c>
    </x:row>
    <x:row r="23" ht="46" customHeight="1">
      <x:c r="A23" s="29" t="str">
        <x:v>B</x:v>
      </x:c>
      <x:c r="B23" s="29" t="n">
        <x:v>88</x:v>
      </x:c>
      <x:c r="C23" s="29" t="str">
        <x:v>历史与考古</x:v>
      </x:c>
      <x:c r="D23" s="29" t="str">
        <x:v>历史</x:v>
      </x:c>
      <x:c r="E23" s="29" t="str">
        <x:v>Fall of Civilizations</x:v>
      </x:c>
      <x:c r="F23" s="29" t="str">
        <x:v>UCT6Y5JJPKe_JDMivpKgVXew</x:v>
      </x:c>
      <x:c r="G23" s="29" t="str">
        <x:v>https://www.youtube.com/channel/UCT6Y5JJPKe_JDMivpKgVXew</x:v>
      </x:c>
      <x:c r="H23" s="29" t="str">
        <x:v>https://www.youtube.com/feeds/videos.xml?channel_id=UCT6Y5JJPKe_JDMivpKgVXew</x:v>
      </x:c>
      <x:c r="I23" s="29" t="str">
        <x:v>解释源</x:v>
      </x:c>
      <x:c r="J23" s="29" t="str">
        <x:v>视频观点拆解、概念科普、选题与案例线索</x:v>
      </x:c>
      <x:c r="K23" s="29" t="str">
        <x:v>有效</x:v>
      </x:c>
      <x:c r="L23" s="29" t="str">
        <x:v>高质量解释源；具体数字和研究结论仍应回到论文、数据集或机构原文。</x:v>
      </x:c>
    </x:row>
    <x:row r="24" ht="46" customHeight="1">
      <x:c r="A24" s="29" t="str">
        <x:v>B</x:v>
      </x:c>
      <x:c r="B24" s="29" t="n">
        <x:v>88</x:v>
      </x:c>
      <x:c r="C24" s="29" t="str">
        <x:v>历史与考古</x:v>
      </x:c>
      <x:c r="D24" s="29" t="str">
        <x:v>古代史</x:v>
      </x:c>
      <x:c r="E24" s="29" t="str">
        <x:v>Historia Civilis</x:v>
      </x:c>
      <x:c r="F24" s="29" t="str">
        <x:v>UCv_vLHiWVBh_FR9vbeuiY-A</x:v>
      </x:c>
      <x:c r="G24" s="29" t="str">
        <x:v>https://www.youtube.com/channel/UCv_vLHiWVBh_FR9vbeuiY-A</x:v>
      </x:c>
      <x:c r="H24" s="29" t="str">
        <x:v>https://www.youtube.com/feeds/videos.xml?channel_id=UCv_vLHiWVBh_FR9vbeuiY-A</x:v>
      </x:c>
      <x:c r="I24" s="29" t="str">
        <x:v>解释源</x:v>
      </x:c>
      <x:c r="J24" s="29" t="str">
        <x:v>视频观点拆解、概念科普、选题与案例线索</x:v>
      </x:c>
      <x:c r="K24" s="29" t="str">
        <x:v>有效</x:v>
      </x:c>
      <x:c r="L24" s="29" t="str">
        <x:v>高质量解释源；具体数字和研究结论仍应回到论文、数据集或机构原文。</x:v>
      </x:c>
    </x:row>
    <x:row r="25" ht="46" customHeight="1">
      <x:c r="A25" s="29" t="str">
        <x:v>B</x:v>
      </x:c>
      <x:c r="B25" s="29" t="n">
        <x:v>88</x:v>
      </x:c>
      <x:c r="C25" s="29" t="str">
        <x:v>历史与考古</x:v>
      </x:c>
      <x:c r="D25" s="29" t="str">
        <x:v>短历史解释</x:v>
      </x:c>
      <x:c r="E25" s="29" t="str">
        <x:v>History Matters</x:v>
      </x:c>
      <x:c r="F25" s="29" t="str">
        <x:v>UC22BdTgxefuvUivrjesETjg</x:v>
      </x:c>
      <x:c r="G25" s="29" t="str">
        <x:v>https://www.youtube.com/channel/UC22BdTgxefuvUivrjesETjg</x:v>
      </x:c>
      <x:c r="H25" s="29" t="str">
        <x:v>https://www.youtube.com/feeds/videos.xml?channel_id=UC22BdTgxefuvUivrjesETjg</x:v>
      </x:c>
      <x:c r="I25" s="29" t="str">
        <x:v>解释源</x:v>
      </x:c>
      <x:c r="J25" s="29" t="str">
        <x:v>视频观点拆解、概念科普、选题与案例线索</x:v>
      </x:c>
      <x:c r="K25" s="29" t="str">
        <x:v>有效</x:v>
      </x:c>
      <x:c r="L25" s="29" t="str">
        <x:v>高质量解释源；具体数字和研究结论仍应回到论文、数据集或机构原文。</x:v>
      </x:c>
    </x:row>
    <x:row r="26" ht="46" customHeight="1">
      <x:c r="A26" s="29" t="str">
        <x:v>B</x:v>
      </x:c>
      <x:c r="B26" s="29" t="n">
        <x:v>88</x:v>
      </x:c>
      <x:c r="C26" s="29" t="str">
        <x:v>历史与考古</x:v>
      </x:c>
      <x:c r="D26" s="29" t="str">
        <x:v>中文历史/文化</x:v>
      </x:c>
      <x:c r="E26" s="29" t="str">
        <x:v>Taiwan Bar</x:v>
      </x:c>
      <x:c r="F26" s="29" t="str">
        <x:v>UCRNsHFT7BFoAPBcuAa5sgEQ</x:v>
      </x:c>
      <x:c r="G26" s="29" t="str">
        <x:v>https://www.youtube.com/channel/UCRNsHFT7BFoAPBcuAa5sgEQ</x:v>
      </x:c>
      <x:c r="H26" s="29" t="str">
        <x:v>https://www.youtube.com/feeds/videos.xml?channel_id=UCRNsHFT7BFoAPBcuAa5sgEQ</x:v>
      </x:c>
      <x:c r="I26" s="29" t="str">
        <x:v>解释源</x:v>
      </x:c>
      <x:c r="J26" s="29" t="str">
        <x:v>视频观点拆解、概念科普、选题与案例线索</x:v>
      </x:c>
      <x:c r="K26" s="29" t="str">
        <x:v>有效</x:v>
      </x:c>
      <x:c r="L26" s="29" t="str">
        <x:v>高质量解释源；具体数字和研究结论仍应回到论文、数据集或机构原文。</x:v>
      </x:c>
    </x:row>
    <x:row r="27" ht="46" customHeight="1">
      <x:c r="A27" s="29" t="str">
        <x:v>B</x:v>
      </x:c>
      <x:c r="B27" s="29" t="n">
        <x:v>88</x:v>
      </x:c>
      <x:c r="C27" s="29" t="str">
        <x:v>历史与考古</x:v>
      </x:c>
      <x:c r="D27" s="29" t="str">
        <x:v>古典史/考古</x:v>
      </x:c>
      <x:c r="E27" s="29" t="str">
        <x:v>Told in Stone</x:v>
      </x:c>
      <x:c r="F27" s="29" t="str">
        <x:v>UCqBiWcuTF8IaLH7wBqnihsQ</x:v>
      </x:c>
      <x:c r="G27" s="29" t="str">
        <x:v>https://www.youtube.com/channel/UCqBiWcuTF8IaLH7wBqnihsQ</x:v>
      </x:c>
      <x:c r="H27" s="29" t="str">
        <x:v>https://www.youtube.com/feeds/videos.xml?channel_id=UCqBiWcuTF8IaLH7wBqnihsQ</x:v>
      </x:c>
      <x:c r="I27" s="29" t="str">
        <x:v>解释源</x:v>
      </x:c>
      <x:c r="J27" s="29" t="str">
        <x:v>视频观点拆解、概念科普、选题与案例线索</x:v>
      </x:c>
      <x:c r="K27" s="29" t="str">
        <x:v>有效</x:v>
      </x:c>
      <x:c r="L27" s="29" t="str">
        <x:v>高质量解释源；具体数字和研究结论仍应回到论文、数据集或机构原文。</x:v>
      </x:c>
    </x:row>
    <x:row r="28" ht="46" customHeight="1">
      <x:c r="A28" s="29" t="str">
        <x:v>B</x:v>
      </x:c>
      <x:c r="B28" s="29" t="n">
        <x:v>88</x:v>
      </x:c>
      <x:c r="C28" s="29" t="str">
        <x:v>历史与考古</x:v>
      </x:c>
      <x:c r="D28" s="29" t="str">
        <x:v>历史文献</x:v>
      </x:c>
      <x:c r="E28" s="29" t="str">
        <x:v>Voices of the Past</x:v>
      </x:c>
      <x:c r="F28" s="29" t="str">
        <x:v>UCqoGR_EedlhKDVuWNwYWRbg</x:v>
      </x:c>
      <x:c r="G28" s="29" t="str">
        <x:v>https://www.youtube.com/channel/UCqoGR_EedlhKDVuWNwYWRbg</x:v>
      </x:c>
      <x:c r="H28" s="29" t="str">
        <x:v>https://www.youtube.com/feeds/videos.xml?channel_id=UCqoGR_EedlhKDVuWNwYWRbg</x:v>
      </x:c>
      <x:c r="I28" s="29" t="str">
        <x:v>解释源</x:v>
      </x:c>
      <x:c r="J28" s="29" t="str">
        <x:v>视频观点拆解、概念科普、选题与案例线索</x:v>
      </x:c>
      <x:c r="K28" s="29" t="str">
        <x:v>有效</x:v>
      </x:c>
      <x:c r="L28" s="29" t="str">
        <x:v>高质量解释源；具体数字和研究结论仍应回到论文、数据集或机构原文。</x:v>
      </x:c>
    </x:row>
    <x:row r="29" ht="46" customHeight="1">
      <x:c r="A29" s="29" t="str">
        <x:v>B</x:v>
      </x:c>
      <x:c r="B29" s="29" t="n">
        <x:v>88</x:v>
      </x:c>
      <x:c r="C29" s="29" t="str">
        <x:v>人文与跨学科</x:v>
      </x:c>
      <x:c r="D29" s="29" t="str">
        <x:v>跨学科动画教育</x:v>
      </x:c>
      <x:c r="E29" s="29" t="str">
        <x:v>TED-Ed</x:v>
      </x:c>
      <x:c r="F29" s="29" t="str">
        <x:v>UCsooa4yRKGN_zEE8iknghZA</x:v>
      </x:c>
      <x:c r="G29" s="29" t="str">
        <x:v>https://www.youtube.com/channel/UCsooa4yRKGN_zEE8iknghZA</x:v>
      </x:c>
      <x:c r="H29" s="29" t="str">
        <x:v>https://www.youtube.com/feeds/videos.xml?channel_id=UCsooa4yRKGN_zEE8iknghZA</x:v>
      </x:c>
      <x:c r="I29" s="29" t="str">
        <x:v>解释源</x:v>
      </x:c>
      <x:c r="J29" s="29" t="str">
        <x:v>视频观点拆解、概念科普、选题与案例线索</x:v>
      </x:c>
      <x:c r="K29" s="29" t="str">
        <x:v>有效</x:v>
      </x:c>
      <x:c r="L29" s="29" t="str">
        <x:v>高质量解释源；具体数字和研究结论仍应回到论文、数据集或机构原文。</x:v>
      </x:c>
    </x:row>
    <x:row r="30" ht="46" customHeight="1">
      <x:c r="A30" s="29" t="str">
        <x:v>B</x:v>
      </x:c>
      <x:c r="B30" s="29" t="n">
        <x:v>88</x:v>
      </x:c>
      <x:c r="C30" s="29" t="str">
        <x:v>天文与太空</x:v>
      </x:c>
      <x:c r="D30" s="29" t="str">
        <x:v>天文/科学新闻</x:v>
      </x:c>
      <x:c r="E30" s="29" t="str">
        <x:v>Anton Petrov</x:v>
      </x:c>
      <x:c r="F30" s="29" t="str">
        <x:v>UCciQ8wFcVoIIMi-lfu8-cjQ</x:v>
      </x:c>
      <x:c r="G30" s="29" t="str">
        <x:v>https://www.youtube.com/channel/UCciQ8wFcVoIIMi-lfu8-cjQ</x:v>
      </x:c>
      <x:c r="H30" s="29" t="str">
        <x:v>https://www.youtube.com/feeds/videos.xml?channel_id=UCciQ8wFcVoIIMi-lfu8-cjQ</x:v>
      </x:c>
      <x:c r="I30" s="29" t="str">
        <x:v>解释源</x:v>
      </x:c>
      <x:c r="J30" s="29" t="str">
        <x:v>视频观点拆解、概念科普、选题与案例线索</x:v>
      </x:c>
      <x:c r="K30" s="29" t="str">
        <x:v>有效</x:v>
      </x:c>
      <x:c r="L30" s="29" t="str">
        <x:v>高质量解释源；具体数字和研究结论仍应回到论文、数据集或机构原文。</x:v>
      </x:c>
    </x:row>
    <x:row r="31" ht="46" customHeight="1">
      <x:c r="A31" s="29" t="str">
        <x:v>B</x:v>
      </x:c>
      <x:c r="B31" s="29" t="n">
        <x:v>88</x:v>
      </x:c>
      <x:c r="C31" s="29" t="str">
        <x:v>天文与太空</x:v>
      </x:c>
      <x:c r="D31" s="29" t="str">
        <x:v>太空/天文</x:v>
      </x:c>
      <x:c r="E31" s="29" t="str">
        <x:v>Astrum</x:v>
      </x:c>
      <x:c r="F31" s="29" t="str">
        <x:v>UC-9b7aDP6ZN0coj9-xFnrtw</x:v>
      </x:c>
      <x:c r="G31" s="29" t="str">
        <x:v>https://www.youtube.com/channel/UC-9b7aDP6ZN0coj9-xFnrtw</x:v>
      </x:c>
      <x:c r="H31" s="29" t="str">
        <x:v>https://www.youtube.com/feeds/videos.xml?channel_id=UC-9b7aDP6ZN0coj9-xFnrtw</x:v>
      </x:c>
      <x:c r="I31" s="29" t="str">
        <x:v>解释源</x:v>
      </x:c>
      <x:c r="J31" s="29" t="str">
        <x:v>视频观点拆解、概念科普、选题与案例线索</x:v>
      </x:c>
      <x:c r="K31" s="29" t="str">
        <x:v>有效</x:v>
      </x:c>
      <x:c r="L31" s="29" t="str">
        <x:v>高质量解释源；具体数字和研究结论仍应回到论文、数据集或机构原文。</x:v>
      </x:c>
    </x:row>
    <x:row r="32" ht="46" customHeight="1">
      <x:c r="A32" s="29" t="str">
        <x:v>B</x:v>
      </x:c>
      <x:c r="B32" s="29" t="n">
        <x:v>88</x:v>
      </x:c>
      <x:c r="C32" s="29" t="str">
        <x:v>天文与太空</x:v>
      </x:c>
      <x:c r="D32" s="29" t="str">
        <x:v>天文/系外行星</x:v>
      </x:c>
      <x:c r="E32" s="29" t="str">
        <x:v>Cool Worlds</x:v>
      </x:c>
      <x:c r="F32" s="29" t="str">
        <x:v>UCGHZpIpAWJQ-Jy_CeCdXhMA</x:v>
      </x:c>
      <x:c r="G32" s="29" t="str">
        <x:v>https://www.youtube.com/channel/UCGHZpIpAWJQ-Jy_CeCdXhMA</x:v>
      </x:c>
      <x:c r="H32" s="29" t="str">
        <x:v>https://www.youtube.com/feeds/videos.xml?channel_id=UCGHZpIpAWJQ-Jy_CeCdXhMA</x:v>
      </x:c>
      <x:c r="I32" s="29" t="str">
        <x:v>解释源</x:v>
      </x:c>
      <x:c r="J32" s="29" t="str">
        <x:v>视频观点拆解、概念科普、选题与案例线索</x:v>
      </x:c>
      <x:c r="K32" s="29" t="str">
        <x:v>有效</x:v>
      </x:c>
      <x:c r="L32" s="29" t="str">
        <x:v>高质量解释源；具体数字和研究结论仍应回到论文、数据集或机构原文。</x:v>
      </x:c>
    </x:row>
    <x:row r="33" ht="46" customHeight="1">
      <x:c r="A33" s="29" t="str">
        <x:v>B</x:v>
      </x:c>
      <x:c r="B33" s="29" t="n">
        <x:v>88</x:v>
      </x:c>
      <x:c r="C33" s="29" t="str">
        <x:v>天文与太空</x:v>
      </x:c>
      <x:c r="D33" s="29" t="str">
        <x:v>天文</x:v>
      </x:c>
      <x:c r="E33" s="29" t="str">
        <x:v>Dr Becky</x:v>
      </x:c>
      <x:c r="F33" s="29" t="str">
        <x:v>UCYNbYGl89UUowy8oXkipC-Q</x:v>
      </x:c>
      <x:c r="G33" s="29" t="str">
        <x:v>https://www.youtube.com/channel/UCYNbYGl89UUowy8oXkipC-Q</x:v>
      </x:c>
      <x:c r="H33" s="29" t="str">
        <x:v>https://www.youtube.com/feeds/videos.xml?channel_id=UCYNbYGl89UUowy8oXkipC-Q</x:v>
      </x:c>
      <x:c r="I33" s="29" t="str">
        <x:v>解释源</x:v>
      </x:c>
      <x:c r="J33" s="29" t="str">
        <x:v>视频观点拆解、概念科普、选题与案例线索</x:v>
      </x:c>
      <x:c r="K33" s="29" t="str">
        <x:v>有效</x:v>
      </x:c>
      <x:c r="L33" s="29" t="str">
        <x:v>高质量解释源；具体数字和研究结论仍应回到论文、数据集或机构原文。</x:v>
      </x:c>
    </x:row>
    <x:row r="34" ht="46" customHeight="1">
      <x:c r="A34" s="29" t="str">
        <x:v>B</x:v>
      </x:c>
      <x:c r="B34" s="29" t="n">
        <x:v>88</x:v>
      </x:c>
      <x:c r="C34" s="29" t="str">
        <x:v>天文与太空</x:v>
      </x:c>
      <x:c r="D34" s="29" t="str">
        <x:v>物理/天文</x:v>
      </x:c>
      <x:c r="E34" s="29" t="str">
        <x:v>PBS Space Time</x:v>
      </x:c>
      <x:c r="F34" s="29" t="str">
        <x:v>UC7_gcs09iThXybpVgjHZ_7g</x:v>
      </x:c>
      <x:c r="G34" s="29" t="str">
        <x:v>https://www.youtube.com/channel/UC7_gcs09iThXybpVgjHZ_7g</x:v>
      </x:c>
      <x:c r="H34" s="29" t="str">
        <x:v>https://www.youtube.com/feeds/videos.xml?channel_id=UC7_gcs09iThXybpVgjHZ_7g</x:v>
      </x:c>
      <x:c r="I34" s="29" t="str">
        <x:v>解释源</x:v>
      </x:c>
      <x:c r="J34" s="29" t="str">
        <x:v>视频观点拆解、概念科普、选题与案例线索</x:v>
      </x:c>
      <x:c r="K34" s="29" t="str">
        <x:v>有效</x:v>
      </x:c>
      <x:c r="L34" s="29" t="str">
        <x:v>高质量解释源；具体数字和研究结论仍应回到论文、数据集或机构原文。</x:v>
      </x:c>
    </x:row>
    <x:row r="35" ht="46" customHeight="1">
      <x:c r="A35" s="29" t="str">
        <x:v>B</x:v>
      </x:c>
      <x:c r="B35" s="29" t="n">
        <x:v>88</x:v>
      </x:c>
      <x:c r="C35" s="29" t="str">
        <x:v>艺术、设计与建筑</x:v>
      </x:c>
      <x:c r="D35" s="29" t="str">
        <x:v>艺术家/建筑师/作家访谈</x:v>
      </x:c>
      <x:c r="E35" s="29" t="str">
        <x:v>Louisiana Channel</x:v>
      </x:c>
      <x:c r="F35" s="29" t="str">
        <x:v>UCY2mhw-XNZSxrUynsI5K8Zw</x:v>
      </x:c>
      <x:c r="G35" s="29" t="str">
        <x:v>https://www.youtube.com/channel/UCY2mhw-XNZSxrUynsI5K8Zw</x:v>
      </x:c>
      <x:c r="H35" s="29" t="str">
        <x:v>https://www.youtube.com/feeds/videos.xml?channel_id=UCY2mhw-XNZSxrUynsI5K8Zw</x:v>
      </x:c>
      <x:c r="I35" s="29" t="str">
        <x:v>解释源</x:v>
      </x:c>
      <x:c r="J35" s="29" t="str">
        <x:v>视频观点拆解、概念科普、选题与案例线索</x:v>
      </x:c>
      <x:c r="K35" s="29" t="str">
        <x:v>有效</x:v>
      </x:c>
      <x:c r="L35" s="29" t="str">
        <x:v>高质量解释源；具体数字和研究结论仍应回到论文、数据集或机构原文。</x:v>
      </x:c>
    </x:row>
    <x:row r="36" ht="46" customHeight="1">
      <x:c r="A36" s="29" t="str">
        <x:v>B</x:v>
      </x:c>
      <x:c r="B36" s="29" t="n">
        <x:v>88</x:v>
      </x:c>
      <x:c r="C36" s="29" t="str">
        <x:v>AI、科技与工程</x:v>
      </x:c>
      <x:c r="D36" s="29" t="str">
        <x:v>AI/技术</x:v>
      </x:c>
      <x:c r="E36" s="29" t="str">
        <x:v>Andrej Karpathy</x:v>
      </x:c>
      <x:c r="F36" s="29" t="str">
        <x:v>UCXUPKJO5MZQN11PqgIvyuvQ</x:v>
      </x:c>
      <x:c r="G36" s="29" t="str">
        <x:v>https://www.youtube.com/channel/UCXUPKJO5MZQN11PqgIvyuvQ</x:v>
      </x:c>
      <x:c r="H36" s="29" t="str">
        <x:v>https://www.youtube.com/feeds/videos.xml?channel_id=UCXUPKJO5MZQN11PqgIvyuvQ</x:v>
      </x:c>
      <x:c r="I36" s="29" t="str">
        <x:v>解释源</x:v>
      </x:c>
      <x:c r="J36" s="29" t="str">
        <x:v>视频观点拆解、概念科普、选题与案例线索</x:v>
      </x:c>
      <x:c r="K36" s="29" t="str">
        <x:v>有效</x:v>
      </x:c>
      <x:c r="L36" s="29" t="str">
        <x:v>高质量解释源；具体数字和研究结论仍应回到论文、数据集或机构原文。</x:v>
      </x:c>
    </x:row>
    <x:row r="37" ht="46" customHeight="1">
      <x:c r="A37" s="29" t="str">
        <x:v>B</x:v>
      </x:c>
      <x:c r="B37" s="29" t="n">
        <x:v>88</x:v>
      </x:c>
      <x:c r="C37" s="29" t="str">
        <x:v>AI、科技与工程</x:v>
      </x:c>
      <x:c r="D37" s="29" t="str">
        <x:v>半导体/科技史</x:v>
      </x:c>
      <x:c r="E37" s="29" t="str">
        <x:v>Asianometry</x:v>
      </x:c>
      <x:c r="F37" s="29" t="str">
        <x:v>UC1LpsuAUaKoMzzJSEt5WImw</x:v>
      </x:c>
      <x:c r="G37" s="29" t="str">
        <x:v>https://www.youtube.com/channel/UC1LpsuAUaKoMzzJSEt5WImw</x:v>
      </x:c>
      <x:c r="H37" s="29" t="str">
        <x:v>https://www.youtube.com/feeds/videos.xml?channel_id=UC1LpsuAUaKoMzzJSEt5WImw</x:v>
      </x:c>
      <x:c r="I37" s="29" t="str">
        <x:v>解释源</x:v>
      </x:c>
      <x:c r="J37" s="29" t="str">
        <x:v>视频观点拆解、概念科普、选题与案例线索</x:v>
      </x:c>
      <x:c r="K37" s="29" t="str">
        <x:v>有效</x:v>
      </x:c>
      <x:c r="L37" s="29" t="str">
        <x:v>高质量解释源；具体数字和研究结论仍应回到论文、数据集或机构原文。</x:v>
      </x:c>
    </x:row>
    <x:row r="38" ht="46" customHeight="1">
      <x:c r="A38" s="29" t="str">
        <x:v>B</x:v>
      </x:c>
      <x:c r="B38" s="29" t="n">
        <x:v>88</x:v>
      </x:c>
      <x:c r="C38" s="29" t="str">
        <x:v>AI、科技与工程</x:v>
      </x:c>
      <x:c r="D38" s="29" t="str">
        <x:v>计算机科学</x:v>
      </x:c>
      <x:c r="E38" s="29" t="str">
        <x:v>Computerphile</x:v>
      </x:c>
      <x:c r="F38" s="29" t="str">
        <x:v>UC9-y-6csu5WGm29I7JiwpnA</x:v>
      </x:c>
      <x:c r="G38" s="29" t="str">
        <x:v>https://www.youtube.com/channel/UC9-y-6csu5WGm29I7JiwpnA</x:v>
      </x:c>
      <x:c r="H38" s="29" t="str">
        <x:v>https://www.youtube.com/feeds/videos.xml?channel_id=UC9-y-6csu5WGm29I7JiwpnA</x:v>
      </x:c>
      <x:c r="I38" s="29" t="str">
        <x:v>解释源</x:v>
      </x:c>
      <x:c r="J38" s="29" t="str">
        <x:v>视频观点拆解、概念科普、选题与案例线索</x:v>
      </x:c>
      <x:c r="K38" s="29" t="str">
        <x:v>有效</x:v>
      </x:c>
      <x:c r="L38" s="29" t="str">
        <x:v>高质量解释源；具体数字和研究结论仍应回到论文、数据集或机构原文。</x:v>
      </x:c>
    </x:row>
    <x:row r="39" ht="46" customHeight="1">
      <x:c r="A39" s="29" t="str">
        <x:v>B</x:v>
      </x:c>
      <x:c r="B39" s="29" t="n">
        <x:v>88</x:v>
      </x:c>
      <x:c r="C39" s="29" t="str">
        <x:v>AI、科技与工程</x:v>
      </x:c>
      <x:c r="D39" s="29" t="str">
        <x:v>技术史/工程</x:v>
      </x:c>
      <x:c r="E39" s="29" t="str">
        <x:v>Technology Connections</x:v>
      </x:c>
      <x:c r="F39" s="29" t="str">
        <x:v>UCy0tKL1T7wFoYcxCe0xjN6Q</x:v>
      </x:c>
      <x:c r="G39" s="29" t="str">
        <x:v>https://www.youtube.com/channel/UCy0tKL1T7wFoYcxCe0xjN6Q</x:v>
      </x:c>
      <x:c r="H39" s="29" t="str">
        <x:v>https://www.youtube.com/feeds/videos.xml?channel_id=UCy0tKL1T7wFoYcxCe0xjN6Q</x:v>
      </x:c>
      <x:c r="I39" s="29" t="str">
        <x:v>解释源</x:v>
      </x:c>
      <x:c r="J39" s="29" t="str">
        <x:v>视频观点拆解、概念科普、选题与案例线索</x:v>
      </x:c>
      <x:c r="K39" s="29" t="str">
        <x:v>有效</x:v>
      </x:c>
      <x:c r="L39" s="29" t="str">
        <x:v>高质量解释源；具体数字和研究结论仍应回到论文、数据集或机构原文。</x:v>
      </x:c>
    </x:row>
    <x:row r="40" ht="46" customHeight="1">
      <x:c r="A40" s="29" t="str">
        <x:v>B</x:v>
      </x:c>
      <x:c r="B40" s="29" t="n">
        <x:v>88</x:v>
      </x:c>
      <x:c r="C40" s="29" t="str">
        <x:v>AI、科技与工程</x:v>
      </x:c>
      <x:c r="D40" s="29" t="str">
        <x:v>AI/论文</x:v>
      </x:c>
      <x:c r="E40" s="29" t="str">
        <x:v>Two Minute Papers</x:v>
      </x:c>
      <x:c r="F40" s="29" t="str">
        <x:v>UCbfYPyITQ-7l4upoX8nvctg</x:v>
      </x:c>
      <x:c r="G40" s="29" t="str">
        <x:v>https://www.youtube.com/channel/UCbfYPyITQ-7l4upoX8nvctg</x:v>
      </x:c>
      <x:c r="H40" s="29" t="str">
        <x:v>https://www.youtube.com/feeds/videos.xml?channel_id=UCbfYPyITQ-7l4upoX8nvctg</x:v>
      </x:c>
      <x:c r="I40" s="29" t="str">
        <x:v>解释源</x:v>
      </x:c>
      <x:c r="J40" s="29" t="str">
        <x:v>视频观点拆解、概念科普、选题与案例线索</x:v>
      </x:c>
      <x:c r="K40" s="29" t="str">
        <x:v>有效</x:v>
      </x:c>
      <x:c r="L40" s="29" t="str">
        <x:v>高质量解释源；具体数字和研究结论仍应回到论文、数据集或机构原文。</x:v>
      </x:c>
    </x:row>
    <x:row r="41" ht="46" customHeight="1">
      <x:c r="A41" s="29" t="str">
        <x:v>C</x:v>
      </x:c>
      <x:c r="B41" s="29" t="n">
        <x:v>77</x:v>
      </x:c>
      <x:c r="C41" s="29" t="str">
        <x:v>哲学与思想</x:v>
      </x:c>
      <x:c r="D41" s="29" t="str">
        <x:v>哲学/宇宙学</x:v>
      </x:c>
      <x:c r="E41" s="29" t="str">
        <x:v>Closer To Truth</x:v>
      </x:c>
      <x:c r="F41" s="29" t="str">
        <x:v>UCl9StMQ79LtEvlrskzjoYbQ</x:v>
      </x:c>
      <x:c r="G41" s="29" t="str">
        <x:v>https://www.youtube.com/channel/UCl9StMQ79LtEvlrskzjoYbQ</x:v>
      </x:c>
      <x:c r="H41" s="29" t="str">
        <x:v>https://www.youtube.com/feeds/videos.xml?channel_id=UCl9StMQ79LtEvlrskzjoYbQ</x:v>
      </x:c>
      <x:c r="I41" s="29" t="str">
        <x:v>观点源</x:v>
      </x:c>
      <x:c r="J41" s="29" t="str">
        <x:v>视频观点拆解、概念科普、选题与案例线索</x:v>
      </x:c>
      <x:c r="K41" s="29" t="str">
        <x:v>有效</x:v>
      </x:c>
      <x:c r="L41" s="29" t="str">
        <x:v>观点/解释内容需明确归因；哲学命题应回查原典或学术资料。</x:v>
      </x:c>
    </x:row>
    <x:row r="42" ht="46" customHeight="1">
      <x:c r="A42" s="29" t="str">
        <x:v>C</x:v>
      </x:c>
      <x:c r="B42" s="29" t="n">
        <x:v>77</x:v>
      </x:c>
      <x:c r="C42" s="29" t="str">
        <x:v>哲学与思想</x:v>
      </x:c>
      <x:c r="D42" s="29" t="str">
        <x:v>哲学/文化</x:v>
      </x:c>
      <x:c r="E42" s="29" t="str">
        <x:v>Philosophy Tube</x:v>
      </x:c>
      <x:c r="F42" s="29" t="str">
        <x:v>UC2PA-AKmVpU6NKCGtZq_rKQ</x:v>
      </x:c>
      <x:c r="G42" s="29" t="str">
        <x:v>https://www.youtube.com/channel/UC2PA-AKmVpU6NKCGtZq_rKQ</x:v>
      </x:c>
      <x:c r="H42" s="29" t="str">
        <x:v>https://www.youtube.com/feeds/videos.xml?channel_id=UC2PA-AKmVpU6NKCGtZq_rKQ</x:v>
      </x:c>
      <x:c r="I42" s="29" t="str">
        <x:v>观点源</x:v>
      </x:c>
      <x:c r="J42" s="29" t="str">
        <x:v>视频观点拆解、概念科普、选题与案例线索</x:v>
      </x:c>
      <x:c r="K42" s="29" t="str">
        <x:v>有效</x:v>
      </x:c>
      <x:c r="L42" s="29" t="str">
        <x:v>观点/解释内容需明确归因；哲学命题应回查原典或学术资料。</x:v>
      </x:c>
    </x:row>
    <x:row r="43" ht="46" customHeight="1">
      <x:c r="A43" s="29" t="str">
        <x:v>C</x:v>
      </x:c>
      <x:c r="B43" s="29" t="n">
        <x:v>77</x:v>
      </x:c>
      <x:c r="C43" s="29" t="str">
        <x:v>哲学与思想</x:v>
      </x:c>
      <x:c r="D43" s="29" t="str">
        <x:v>哲学/思想史</x:v>
      </x:c>
      <x:c r="E43" s="29" t="str">
        <x:v>Then &amp; Now</x:v>
      </x:c>
      <x:c r="F43" s="29" t="str">
        <x:v>UCkS_HP3m9NXOgswVAKbMeJQ</x:v>
      </x:c>
      <x:c r="G43" s="29" t="str">
        <x:v>https://www.youtube.com/channel/UCkS_HP3m9NXOgswVAKbMeJQ</x:v>
      </x:c>
      <x:c r="H43" s="29" t="str">
        <x:v>https://www.youtube.com/feeds/videos.xml?channel_id=UCkS_HP3m9NXOgswVAKbMeJQ</x:v>
      </x:c>
      <x:c r="I43" s="29" t="str">
        <x:v>观点源</x:v>
      </x:c>
      <x:c r="J43" s="29" t="str">
        <x:v>视频观点拆解、概念科普、选题与案例线索</x:v>
      </x:c>
      <x:c r="K43" s="29" t="str">
        <x:v>有效</x:v>
      </x:c>
      <x:c r="L43" s="29" t="str">
        <x:v>观点/解释内容需明确归因；哲学命题应回查原典或学术资料。</x:v>
      </x:c>
    </x:row>
    <x:row r="44" ht="46" customHeight="1">
      <x:c r="A44" s="29" t="str">
        <x:v>C</x:v>
      </x:c>
      <x:c r="B44" s="29" t="n">
        <x:v>77</x:v>
      </x:c>
      <x:c r="C44" s="29" t="str">
        <x:v>哲学与思想</x:v>
      </x:c>
      <x:c r="D44" s="29" t="str">
        <x:v>科学/哲思</x:v>
      </x:c>
      <x:c r="E44" s="29" t="str">
        <x:v>Vsauce</x:v>
      </x:c>
      <x:c r="F44" s="29" t="str">
        <x:v>UC6nSFpj9HTCZ5t-N3Rm3-HA</x:v>
      </x:c>
      <x:c r="G44" s="29" t="str">
        <x:v>https://www.youtube.com/channel/UC6nSFpj9HTCZ5t-N3Rm3-HA</x:v>
      </x:c>
      <x:c r="H44" s="29" t="str">
        <x:v>https://www.youtube.com/feeds/videos.xml?channel_id=UC6nSFpj9HTCZ5t-N3Rm3-HA</x:v>
      </x:c>
      <x:c r="I44" s="29" t="str">
        <x:v>观点源</x:v>
      </x:c>
      <x:c r="J44" s="29" t="str">
        <x:v>视频观点拆解、概念科普、选题与案例线索</x:v>
      </x:c>
      <x:c r="K44" s="29" t="str">
        <x:v>有效</x:v>
      </x:c>
      <x:c r="L44" s="29" t="str">
        <x:v>观点/解释内容需明确归因；哲学命题应回查原典或学术资料。</x:v>
      </x:c>
    </x:row>
    <x:row r="45" ht="46" customHeight="1">
      <x:c r="A45" s="29" t="str">
        <x:v>C</x:v>
      </x:c>
      <x:c r="B45" s="29" t="n">
        <x:v>71</x:v>
      </x:c>
      <x:c r="C45" s="29" t="str">
        <x:v>地球、地理与城市</x:v>
      </x:c>
      <x:c r="D45" s="29" t="str">
        <x:v>建筑/城市</x:v>
      </x:c>
      <x:c r="E45" s="29" t="str">
        <x:v>DamiLee</x:v>
      </x:c>
      <x:c r="F45" s="29" t="str">
        <x:v>UCJ_2hNMxOzNjviJBiLWHMqg</x:v>
      </x:c>
      <x:c r="G45" s="29" t="str">
        <x:v>https://www.youtube.com/channel/UCJ_2hNMxOzNjviJBiLWHMqg</x:v>
      </x:c>
      <x:c r="H45" s="29" t="str">
        <x:v>https://www.youtube.com/feeds/videos.xml?channel_id=UCJ_2hNMxOzNjviJBiLWHMqg</x:v>
      </x:c>
      <x:c r="I45" s="29" t="str">
        <x:v>灵感源</x:v>
      </x:c>
      <x:c r="J45" s="29" t="str">
        <x:v>视觉拆解、作品/方法介绍、叙事结构复盘</x:v>
      </x:c>
      <x:c r="K45" s="29" t="str">
        <x:v>有效</x:v>
      </x:c>
      <x:c r="L45" s="29" t="str">
        <x:v>可借鉴表达与案例；图片、片段和作品版权需单独核验。</x:v>
      </x:c>
    </x:row>
    <x:row r="46" ht="46" customHeight="1">
      <x:c r="A46" s="29" t="str">
        <x:v>C</x:v>
      </x:c>
      <x:c r="B46" s="29" t="n">
        <x:v>71</x:v>
      </x:c>
      <x:c r="C46" s="29" t="str">
        <x:v>数据与可视化</x:v>
      </x:c>
      <x:c r="D46" s="29" t="str">
        <x:v>工程可视化</x:v>
      </x:c>
      <x:c r="E46" s="29" t="str">
        <x:v>Branch Education</x:v>
      </x:c>
      <x:c r="F46" s="29" t="str">
        <x:v>UCdp4_l1vPmpN-gDbUwhaRUQ</x:v>
      </x:c>
      <x:c r="G46" s="29" t="str">
        <x:v>https://www.youtube.com/channel/UCdp4_l1vPmpN-gDbUwhaRUQ</x:v>
      </x:c>
      <x:c r="H46" s="29" t="str">
        <x:v>https://www.youtube.com/feeds/videos.xml?channel_id=UCdp4_l1vPmpN-gDbUwhaRUQ</x:v>
      </x:c>
      <x:c r="I46" s="29" t="str">
        <x:v>灵感源</x:v>
      </x:c>
      <x:c r="J46" s="29" t="str">
        <x:v>视觉拆解、作品/方法介绍、叙事结构复盘</x:v>
      </x:c>
      <x:c r="K46" s="29" t="str">
        <x:v>有效</x:v>
      </x:c>
      <x:c r="L46" s="29" t="str">
        <x:v>可借鉴表达与案例；图片、片段和作品版权需单独核验。</x:v>
      </x:c>
    </x:row>
    <x:row r="47" ht="46" customHeight="1">
      <x:c r="A47" s="29" t="str">
        <x:v>C</x:v>
      </x:c>
      <x:c r="B47" s="29" t="n">
        <x:v>71</x:v>
      </x:c>
      <x:c r="C47" s="29" t="str">
        <x:v>艺术、设计与建筑</x:v>
      </x:c>
      <x:c r="D47" s="29" t="str">
        <x:v>电影/视觉叙事</x:v>
      </x:c>
      <x:c r="E47" s="29" t="str">
        <x:v>Every Frame a Painting</x:v>
      </x:c>
      <x:c r="F47" s="29" t="str">
        <x:v>UCjFqcJQXGZ6T6sxyFB-5i6A</x:v>
      </x:c>
      <x:c r="G47" s="29" t="str">
        <x:v>https://www.youtube.com/channel/UCjFqcJQXGZ6T6sxyFB-5i6A</x:v>
      </x:c>
      <x:c r="H47" s="29" t="str">
        <x:v>https://www.youtube.com/feeds/videos.xml?channel_id=UCjFqcJQXGZ6T6sxyFB-5i6A</x:v>
      </x:c>
      <x:c r="I47" s="29" t="str">
        <x:v>灵感源</x:v>
      </x:c>
      <x:c r="J47" s="29" t="str">
        <x:v>视觉拆解、作品/方法介绍、叙事结构复盘</x:v>
      </x:c>
      <x:c r="K47" s="29" t="str">
        <x:v>有效</x:v>
      </x:c>
      <x:c r="L47" s="29" t="str">
        <x:v>可借鉴表达与案例；图片、片段和作品版权需单独核验。</x:v>
      </x:c>
    </x:row>
    <x:row r="48" ht="46" customHeight="1">
      <x:c r="A48" s="29" t="str">
        <x:v>C</x:v>
      </x:c>
      <x:c r="B48" s="29" t="n">
        <x:v>71</x:v>
      </x:c>
      <x:c r="C48" s="29" t="str">
        <x:v>艺术、设计与建筑</x:v>
      </x:c>
      <x:c r="D48" s="29" t="str">
        <x:v>网页设计</x:v>
      </x:c>
      <x:c r="E48" s="29" t="str">
        <x:v>Flux Academy</x:v>
      </x:c>
      <x:c r="F48" s="29" t="str">
        <x:v>UCN7dywl5wDxTu1RM3eJ_h9Q</x:v>
      </x:c>
      <x:c r="G48" s="29" t="str">
        <x:v>https://www.youtube.com/channel/UCN7dywl5wDxTu1RM3eJ_h9Q</x:v>
      </x:c>
      <x:c r="H48" s="29" t="str">
        <x:v>https://www.youtube.com/feeds/videos.xml?channel_id=UCN7dywl5wDxTu1RM3eJ_h9Q</x:v>
      </x:c>
      <x:c r="I48" s="29" t="str">
        <x:v>灵感源</x:v>
      </x:c>
      <x:c r="J48" s="29" t="str">
        <x:v>视觉拆解、作品/方法介绍、叙事结构复盘</x:v>
      </x:c>
      <x:c r="K48" s="29" t="str">
        <x:v>有效</x:v>
      </x:c>
      <x:c r="L48" s="29" t="str">
        <x:v>可借鉴表达与案例；图片、片段和作品版权需单独核验。</x:v>
      </x:c>
    </x:row>
    <x:row r="49" ht="46" customHeight="1">
      <x:c r="A49" s="29" t="str">
        <x:v>C</x:v>
      </x:c>
      <x:c r="B49" s="29" t="n">
        <x:v>71</x:v>
      </x:c>
      <x:c r="C49" s="29" t="str">
        <x:v>艺术、设计与建筑</x:v>
      </x:c>
      <x:c r="D49" s="29" t="str">
        <x:v>艺术史</x:v>
      </x:c>
      <x:c r="E49" s="29" t="str">
        <x:v>Great Art Explained</x:v>
      </x:c>
      <x:c r="F49" s="29" t="str">
        <x:v>UCePDFpCr78_qmVtpoB1Axaw</x:v>
      </x:c>
      <x:c r="G49" s="29" t="str">
        <x:v>https://www.youtube.com/channel/UCePDFpCr78_qmVtpoB1Axaw</x:v>
      </x:c>
      <x:c r="H49" s="29" t="str">
        <x:v>https://www.youtube.com/feeds/videos.xml?channel_id=UCePDFpCr78_qmVtpoB1Axaw</x:v>
      </x:c>
      <x:c r="I49" s="29" t="str">
        <x:v>灵感源</x:v>
      </x:c>
      <x:c r="J49" s="29" t="str">
        <x:v>视觉拆解、作品/方法介绍、叙事结构复盘</x:v>
      </x:c>
      <x:c r="K49" s="29" t="str">
        <x:v>有效</x:v>
      </x:c>
      <x:c r="L49" s="29" t="str">
        <x:v>可借鉴表达与案例；图片、片段和作品版权需单独核验。</x:v>
      </x:c>
    </x:row>
    <x:row r="50" ht="46" customHeight="1">
      <x:c r="A50" s="29" t="str">
        <x:v>C</x:v>
      </x:c>
      <x:c r="B50" s="29" t="n">
        <x:v>71</x:v>
      </x:c>
      <x:c r="C50" s="29" t="str">
        <x:v>艺术、设计与建筑</x:v>
      </x:c>
      <x:c r="D50" s="29" t="str">
        <x:v>艺术/文化评论</x:v>
      </x:c>
      <x:c r="E50" s="29" t="str">
        <x:v>Nerdwriter1</x:v>
      </x:c>
      <x:c r="F50" s="29" t="str">
        <x:v>UCJkMlOu7faDgqh4PfzbpLdg</x:v>
      </x:c>
      <x:c r="G50" s="29" t="str">
        <x:v>https://www.youtube.com/channel/UCJkMlOu7faDgqh4PfzbpLdg</x:v>
      </x:c>
      <x:c r="H50" s="29" t="str">
        <x:v>https://www.youtube.com/feeds/videos.xml?channel_id=UCJkMlOu7faDgqh4PfzbpLdg</x:v>
      </x:c>
      <x:c r="I50" s="29" t="str">
        <x:v>灵感源</x:v>
      </x:c>
      <x:c r="J50" s="29" t="str">
        <x:v>视觉拆解、作品/方法介绍、叙事结构复盘</x:v>
      </x:c>
      <x:c r="K50" s="29" t="str">
        <x:v>有效</x:v>
      </x:c>
      <x:c r="L50" s="29" t="str">
        <x:v>可借鉴表达与案例；图片、片段和作品版权需单独核验。</x:v>
      </x:c>
    </x:row>
    <x:row r="51" ht="46" customHeight="1">
      <x:c r="A51" s="29" t="str">
        <x:v>C</x:v>
      </x:c>
      <x:c r="B51" s="29" t="n">
        <x:v>71</x:v>
      </x:c>
      <x:c r="C51" s="29" t="str">
        <x:v>艺术、设计与建筑</x:v>
      </x:c>
      <x:c r="D51" s="29" t="str">
        <x:v>建筑/设计</x:v>
      </x:c>
      <x:c r="E51" s="29" t="str">
        <x:v>Stewart Hicks</x:v>
      </x:c>
      <x:c r="F51" s="29" t="str">
        <x:v>UCYAm24PkejQR2xMgJgn7xwg</x:v>
      </x:c>
      <x:c r="G51" s="29" t="str">
        <x:v>https://www.youtube.com/channel/UCYAm24PkejQR2xMgJgn7xwg</x:v>
      </x:c>
      <x:c r="H51" s="29" t="str">
        <x:v>https://www.youtube.com/feeds/videos.xml?channel_id=UCYAm24PkejQR2xMgJgn7xwg</x:v>
      </x:c>
      <x:c r="I51" s="29" t="str">
        <x:v>灵感源</x:v>
      </x:c>
      <x:c r="J51" s="29" t="str">
        <x:v>视觉拆解、作品/方法介绍、叙事结构复盘</x:v>
      </x:c>
      <x:c r="K51" s="29" t="str">
        <x:v>有效</x:v>
      </x:c>
      <x:c r="L51" s="29" t="str">
        <x:v>可借鉴表达与案例；图片、片段和作品版权需单独核验。</x:v>
      </x:c>
    </x:row>
    <x:row r="52" ht="46" customHeight="1">
      <x:c r="A52" s="29" t="str">
        <x:v>C</x:v>
      </x:c>
      <x:c r="B52" s="29" t="n">
        <x:v>71</x:v>
      </x:c>
      <x:c r="C52" s="29" t="str">
        <x:v>艺术、设计与建筑</x:v>
      </x:c>
      <x:c r="D52" s="29" t="str">
        <x:v>当代艺术</x:v>
      </x:c>
      <x:c r="E52" s="29" t="str">
        <x:v>The Art Assignment</x:v>
      </x:c>
      <x:c r="F52" s="29" t="str">
        <x:v>UCmQThz1OLYt8mb2PU540LOA</x:v>
      </x:c>
      <x:c r="G52" s="29" t="str">
        <x:v>https://www.youtube.com/channel/UCmQThz1OLYt8mb2PU540LOA</x:v>
      </x:c>
      <x:c r="H52" s="29" t="str">
        <x:v>https://www.youtube.com/feeds/videos.xml?channel_id=UCmQThz1OLYt8mb2PU540LOA</x:v>
      </x:c>
      <x:c r="I52" s="29" t="str">
        <x:v>灵感源</x:v>
      </x:c>
      <x:c r="J52" s="29" t="str">
        <x:v>视觉拆解、作品/方法介绍、叙事结构复盘</x:v>
      </x:c>
      <x:c r="K52" s="29" t="str">
        <x:v>有效</x:v>
      </x:c>
      <x:c r="L52" s="29" t="str">
        <x:v>可借鉴表达与案例；图片、片段和作品版权需单独核验。</x:v>
      </x:c>
    </x:row>
    <x:row r="53" ht="46" customHeight="1">
      <x:c r="A53" s="29" t="str">
        <x:v>C</x:v>
      </x:c>
      <x:c r="B53" s="29" t="n">
        <x:v>71</x:v>
      </x:c>
      <x:c r="C53" s="29" t="str">
        <x:v>艺术、设计与建筑</x:v>
      </x:c>
      <x:c r="D53" s="29" t="str">
        <x:v>设计/创意商业</x:v>
      </x:c>
      <x:c r="E53" s="29" t="str">
        <x:v>The Futur</x:v>
      </x:c>
      <x:c r="F53" s="29" t="str">
        <x:v>UC-b3c7kxa5vU-bnmaROgvog</x:v>
      </x:c>
      <x:c r="G53" s="29" t="str">
        <x:v>https://www.youtube.com/channel/UC-b3c7kxa5vU-bnmaROgvog</x:v>
      </x:c>
      <x:c r="H53" s="29" t="str">
        <x:v>https://www.youtube.com/feeds/videos.xml?channel_id=UC-b3c7kxa5vU-bnmaROgvog</x:v>
      </x:c>
      <x:c r="I53" s="29" t="str">
        <x:v>灵感源</x:v>
      </x:c>
      <x:c r="J53" s="29" t="str">
        <x:v>视觉拆解、作品/方法介绍、叙事结构复盘</x:v>
      </x:c>
      <x:c r="K53" s="29" t="str">
        <x:v>有效</x:v>
      </x:c>
      <x:c r="L53" s="29" t="str">
        <x:v>可借鉴表达与案例；图片、片段和作品版权需单独核验。</x:v>
      </x:c>
    </x:row>
    <x:row r="54" ht="46" customHeight="1">
      <x:c r="A54" s="29" t="str">
        <x:v>C</x:v>
      </x:c>
      <x:c r="B54" s="29" t="n">
        <x:v>71</x:v>
      </x:c>
      <x:c r="C54" s="29" t="str">
        <x:v>艺术、设计与建筑</x:v>
      </x:c>
      <x:c r="D54" s="29" t="str">
        <x:v>中文影像/科技</x:v>
      </x:c>
      <x:c r="E54" s="29" t="str">
        <x:v>影视飓风 MediaStorm</x:v>
      </x:c>
      <x:c r="F54" s="29" t="str">
        <x:v>UCa91Shr2Old7rhvdBSPnVBw</x:v>
      </x:c>
      <x:c r="G54" s="29" t="str">
        <x:v>https://www.youtube.com/channel/UCa91Shr2Old7rhvdBSPnVBw</x:v>
      </x:c>
      <x:c r="H54" s="29" t="str">
        <x:v>https://www.youtube.com/feeds/videos.xml?channel_id=UCa91Shr2Old7rhvdBSPnVBw</x:v>
      </x:c>
      <x:c r="I54" s="29" t="str">
        <x:v>灵感源</x:v>
      </x:c>
      <x:c r="J54" s="29" t="str">
        <x:v>视觉拆解、作品/方法介绍、叙事结构复盘</x:v>
      </x:c>
      <x:c r="K54" s="29" t="str">
        <x:v>有效</x:v>
      </x:c>
      <x:c r="L54" s="29" t="str">
        <x:v>可借鉴表达与案例；图片、片段和作品版权需单独核验。</x:v>
      </x:c>
    </x:row>
    <x:row r="55" ht="46" customHeight="1">
      <x:c r="A55" s="29" t="str">
        <x:v>C</x:v>
      </x:c>
      <x:c r="B55" s="29" t="n">
        <x:v>65</x:v>
      </x:c>
      <x:c r="C55" s="29" t="str">
        <x:v>地球、地理与城市</x:v>
      </x:c>
      <x:c r="D55" s="29" t="str">
        <x:v>视觉解释/地理</x:v>
      </x:c>
      <x:c r="E55" s="29" t="str">
        <x:v>Neo</x:v>
      </x:c>
      <x:c r="F55" s="29" t="str">
        <x:v>UCtYKe7-XbaDjpUwcU5x0bLg</x:v>
      </x:c>
      <x:c r="G55" s="29" t="str">
        <x:v>https://www.youtube.com/channel/UCtYKe7-XbaDjpUwcU5x0bLg</x:v>
      </x:c>
      <x:c r="H55" s="29" t="str">
        <x:v>https://www.youtube.com/feeds/videos.xml?channel_id=UCtYKe7-XbaDjpUwcU5x0bLg</x:v>
      </x:c>
      <x:c r="I55" s="29" t="str">
        <x:v>线索源</x:v>
      </x:c>
      <x:c r="J55" s="29" t="str">
        <x:v>视频观点拆解、概念科普、选题与案例线索</x:v>
      </x:c>
      <x:c r="K55" s="29" t="str">
        <x:v>有效</x:v>
      </x:c>
      <x:c r="L55" s="29" t="str">
        <x:v>强叙事二手源；数字、地图、因果与引语必须回查论文、数据或官方材料。</x:v>
      </x:c>
    </x:row>
    <x:row r="56" ht="46" customHeight="1">
      <x:c r="A56" s="29" t="str">
        <x:v>C</x:v>
      </x:c>
      <x:c r="B56" s="29" t="n">
        <x:v>65</x:v>
      </x:c>
      <x:c r="C56" s="29" t="str">
        <x:v>地球、地理与城市</x:v>
      </x:c>
      <x:c r="D56" s="29" t="str">
        <x:v>地理/国际</x:v>
      </x:c>
      <x:c r="E56" s="29" t="str">
        <x:v>RealLifeLore</x:v>
      </x:c>
      <x:c r="F56" s="29" t="str">
        <x:v>UCP5tjEmvPItGyLhmjdwP7Ww</x:v>
      </x:c>
      <x:c r="G56" s="29" t="str">
        <x:v>https://www.youtube.com/channel/UCP5tjEmvPItGyLhmjdwP7Ww</x:v>
      </x:c>
      <x:c r="H56" s="29" t="str">
        <x:v>https://www.youtube.com/feeds/videos.xml?channel_id=UCP5tjEmvPItGyLhmjdwP7Ww</x:v>
      </x:c>
      <x:c r="I56" s="29" t="str">
        <x:v>线索源</x:v>
      </x:c>
      <x:c r="J56" s="29" t="str">
        <x:v>视频观点拆解、概念科普、选题与案例线索</x:v>
      </x:c>
      <x:c r="K56" s="29" t="str">
        <x:v>有效</x:v>
      </x:c>
      <x:c r="L56" s="29" t="str">
        <x:v>强叙事二手源；数字、地图、因果与引语必须回查论文、数据或官方材料。</x:v>
      </x:c>
    </x:row>
    <x:row r="57" ht="46" customHeight="1">
      <x:c r="A57" s="29" t="str">
        <x:v>C</x:v>
      </x:c>
      <x:c r="B57" s="29" t="n">
        <x:v>65</x:v>
      </x:c>
      <x:c r="C57" s="29" t="str">
        <x:v>地球、地理与城市</x:v>
      </x:c>
      <x:c r="D57" s="29" t="str">
        <x:v>地理/物流</x:v>
      </x:c>
      <x:c r="E57" s="29" t="str">
        <x:v>Wendover Productions</x:v>
      </x:c>
      <x:c r="F57" s="29" t="str">
        <x:v>UC9RM-iSvTu1uPJb8X5yp3EQ</x:v>
      </x:c>
      <x:c r="G57" s="29" t="str">
        <x:v>https://www.youtube.com/channel/UC9RM-iSvTu1uPJb8X5yp3EQ</x:v>
      </x:c>
      <x:c r="H57" s="29" t="str">
        <x:v>https://www.youtube.com/feeds/videos.xml?channel_id=UC9RM-iSvTu1uPJb8X5yp3EQ</x:v>
      </x:c>
      <x:c r="I57" s="29" t="str">
        <x:v>线索源</x:v>
      </x:c>
      <x:c r="J57" s="29" t="str">
        <x:v>视频观点拆解、概念科普、选题与案例线索</x:v>
      </x:c>
      <x:c r="K57" s="29" t="str">
        <x:v>有效</x:v>
      </x:c>
      <x:c r="L57" s="29" t="str">
        <x:v>强叙事二手源；数字、地图、因果与引语必须回查论文、数据或官方材料。</x:v>
      </x:c>
    </x:row>
    <x:row r="58" ht="46" customHeight="1">
      <x:c r="A58" s="29" t="str">
        <x:v>C</x:v>
      </x:c>
      <x:c r="B58" s="29" t="n">
        <x:v>65</x:v>
      </x:c>
      <x:c r="C58" s="29" t="str">
        <x:v>人文与跨学科</x:v>
      </x:c>
      <x:c r="D58" s="29" t="str">
        <x:v>视觉纪录/国际</x:v>
      </x:c>
      <x:c r="E58" s="29" t="str">
        <x:v>fern</x:v>
      </x:c>
      <x:c r="F58" s="29" t="str">
        <x:v>UCODHrzPMGbNv67e84WDZhQQ</x:v>
      </x:c>
      <x:c r="G58" s="29" t="str">
        <x:v>https://www.youtube.com/channel/UCODHrzPMGbNv67e84WDZhQQ</x:v>
      </x:c>
      <x:c r="H58" s="29" t="str">
        <x:v>https://www.youtube.com/feeds/videos.xml?channel_id=UCODHrzPMGbNv67e84WDZhQQ</x:v>
      </x:c>
      <x:c r="I58" s="29" t="str">
        <x:v>线索源</x:v>
      </x:c>
      <x:c r="J58" s="29" t="str">
        <x:v>视频观点拆解、概念科普、选题与案例线索</x:v>
      </x:c>
      <x:c r="K58" s="29" t="str">
        <x:v>有效</x:v>
      </x:c>
      <x:c r="L58" s="29" t="str">
        <x:v>强叙事二手源；数字、地图、因果与引语必须回查论文、数据或官方材料。</x:v>
      </x:c>
    </x:row>
    <x:row r="59" ht="46" customHeight="1">
      <x:c r="A59" s="29" t="str">
        <x:v>C</x:v>
      </x:c>
      <x:c r="B59" s="29" t="n">
        <x:v>65</x:v>
      </x:c>
      <x:c r="C59" s="29" t="str">
        <x:v>商业、管理与创新</x:v>
      </x:c>
      <x:c r="D59" s="29" t="str">
        <x:v>商业/地缘</x:v>
      </x:c>
      <x:c r="E59" s="29" t="str">
        <x:v>PolyMatter</x:v>
      </x:c>
      <x:c r="F59" s="29" t="str">
        <x:v>UCgNg3vwj3xt7QOrcIDaHdFg</x:v>
      </x:c>
      <x:c r="G59" s="29" t="str">
        <x:v>https://www.youtube.com/channel/UCgNg3vwj3xt7QOrcIDaHdFg</x:v>
      </x:c>
      <x:c r="H59" s="29" t="str">
        <x:v>https://www.youtube.com/feeds/videos.xml?channel_id=UCgNg3vwj3xt7QOrcIDaHdFg</x:v>
      </x:c>
      <x:c r="I59" s="29" t="str">
        <x:v>线索源</x:v>
      </x:c>
      <x:c r="J59" s="29" t="str">
        <x:v>视频观点拆解、概念科普、选题与案例线索</x:v>
      </x:c>
      <x:c r="K59" s="29" t="str">
        <x:v>有效</x:v>
      </x:c>
      <x:c r="L59" s="29" t="str">
        <x:v>强叙事二手源；数字、地图、因果与引语必须回查论文、数据或官方材料。</x:v>
      </x:c>
    </x:row>
    <x:row r="60" ht="46" customHeight="1">
      <x:c r="A60" s="29" t="str">
        <x:v>C</x:v>
      </x:c>
      <x:c r="B60" s="29" t="n">
        <x:v>65</x:v>
      </x:c>
      <x:c r="C60" s="29" t="str">
        <x:v>新闻与调查</x:v>
      </x:c>
      <x:c r="D60" s="29" t="str">
        <x:v>解释新闻/视觉</x:v>
      </x:c>
      <x:c r="E60" s="29" t="str">
        <x:v>Vox</x:v>
      </x:c>
      <x:c r="F60" s="29" t="str">
        <x:v>UCLXo7UDZvByw2ixzpQCufnA</x:v>
      </x:c>
      <x:c r="G60" s="29" t="str">
        <x:v>https://www.youtube.com/channel/UCLXo7UDZvByw2ixzpQCufnA</x:v>
      </x:c>
      <x:c r="H60" s="29" t="str">
        <x:v>https://www.youtube.com/feeds/videos.xml?channel_id=UCLXo7UDZvByw2ixzpQCufnA</x:v>
      </x:c>
      <x:c r="I60" s="29" t="str">
        <x:v>线索源</x:v>
      </x:c>
      <x:c r="J60" s="29" t="str">
        <x:v>视频观点拆解、概念科普、选题与案例线索</x:v>
      </x:c>
      <x:c r="K60" s="29" t="str">
        <x:v>有效</x:v>
      </x:c>
      <x:c r="L60" s="29" t="str">
        <x:v>强叙事二手源；数字、地图、因果与引语必须回查论文、数据或官方材料。</x:v>
      </x:c>
    </x:row>
    <x:row r="61" ht="46" customHeight="1">
      <x:c r="A61" s="29" t="str">
        <x:v>C</x:v>
      </x:c>
      <x:c r="B61" s="29" t="n">
        <x:v>65</x:v>
      </x:c>
      <x:c r="C61" s="29" t="str">
        <x:v>AI、科技与工程</x:v>
      </x:c>
      <x:c r="D61" s="29" t="str">
        <x:v>科技史/商业</x:v>
      </x:c>
      <x:c r="E61" s="29" t="str">
        <x:v>ColdFusion</x:v>
      </x:c>
      <x:c r="F61" s="29" t="str">
        <x:v>UC4QZ_LsYcvcq7qOsOhpAX4A</x:v>
      </x:c>
      <x:c r="G61" s="29" t="str">
        <x:v>https://www.youtube.com/channel/UC4QZ_LsYcvcq7qOsOhpAX4A</x:v>
      </x:c>
      <x:c r="H61" s="29" t="str">
        <x:v>https://www.youtube.com/feeds/videos.xml?channel_id=UC4QZ_LsYcvcq7qOsOhpAX4A</x:v>
      </x:c>
      <x:c r="I61" s="29" t="str">
        <x:v>线索源</x:v>
      </x:c>
      <x:c r="J61" s="29" t="str">
        <x:v>视频观点拆解、概念科普、选题与案例线索</x:v>
      </x:c>
      <x:c r="K61" s="29" t="str">
        <x:v>有效</x:v>
      </x:c>
      <x:c r="L61" s="29" t="str">
        <x:v>强叙事二手源；数字、地图、因果与引语必须回查论文、数据或官方材料。</x:v>
      </x:c>
    </x:row>
    <x:row r="62" ht="46" customHeight="1">
      <x:c r="A62" s="31" t="str">
        <x:v>C</x:v>
      </x:c>
      <x:c r="B62" s="31" t="n">
        <x:v>65</x:v>
      </x:c>
      <x:c r="C62" s="31" t="str">
        <x:v>AI、科技与工程</x:v>
      </x:c>
      <x:c r="D62" s="31" t="str">
        <x:v>开发者/科技趋势</x:v>
      </x:c>
      <x:c r="E62" s="31" t="str">
        <x:v>Fireship</x:v>
      </x:c>
      <x:c r="F62" s="31" t="str">
        <x:v>UCsBjURrPoezykLs9EqgamOA</x:v>
      </x:c>
      <x:c r="G62" s="31" t="str">
        <x:v>https://www.youtube.com/channel/UCsBjURrPoezykLs9EqgamOA</x:v>
      </x:c>
      <x:c r="H62" s="31" t="str">
        <x:v>https://www.youtube.com/feeds/videos.xml?channel_id=UCsBjURrPoezykLs9EqgamOA</x:v>
      </x:c>
      <x:c r="I62" s="31" t="str">
        <x:v>线索源</x:v>
      </x:c>
      <x:c r="J62" s="31" t="str">
        <x:v>视频观点拆解、概念科普、选题与案例线索</x:v>
      </x:c>
      <x:c r="K62" s="31" t="str">
        <x:v>有效</x:v>
      </x:c>
      <x:c r="L62" s="31" t="str">
        <x:v>强叙事二手源；数字、地图、因果与引语必须回查论文、数据或官方材料。</x:v>
      </x:c>
    </x:row>
  </x:sheetData>
  <x:mergeCells>
    <x:mergeCell ref="A1:H1"/>
    <x:mergeCell ref="A2:L2"/>
  </x:mergeCells>
  <x:conditionalFormatting sqref="A5:A62">
    <x:cfRule type="containsText" dxfId="20" priority="1" operator="containsText" text="S"/>
    <x:cfRule type="containsText" dxfId="21" priority="2" operator="containsText" text="A"/>
    <x:cfRule type="containsText" dxfId="22" priority="3" operator="containsText" text="B"/>
    <x:cfRule type="containsText" dxfId="23" priority="4" operator="containsText" text="C"/>
  </x:conditionalFormatting>
  <x:conditionalFormatting sqref="K5:K62">
    <x:cfRule type="containsText" dxfId="24" priority="5" operator="containsText" text="有效"/>
    <x:cfRule type="containsText" dxfId="25" priority="6" operator="containsText" text="受限"/>
    <x:cfRule type="containsText" dxfId="26" priority="7" operator="containsText" text="失效"/>
    <x:cfRule type="containsText" dxfId="27" priority="8" operator="containsText" text="非Feed"/>
  </x:conditionalFormatting>
  <x:pageMargins left="0.7" right="0.7" top="0.75" bottom="0.75" header="0.3" footer="0.3"/>
  <x:tableParts count="1">
    <x:tablePart xmlns:r="http://schemas.openxmlformats.org/officeDocument/2006/relationships" r:id="Ra8635e8bffe242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8" hidden="0" customWidth="1"/>
    <x:col min="5" max="5" width="17" hidden="0" customWidth="1"/>
    <x:col min="6" max="6" width="12" hidden="0" customWidth="1"/>
    <x:col min="7" max="7" width="12" hidden="0" customWidth="1"/>
    <x:col min="8" max="8" width="44" hidden="0" customWidth="1"/>
    <x:col min="9" max="9" width="28" hidden="0" customWidth="1"/>
    <x:col min="10" max="10" width="36" hidden="0" customWidth="1"/>
    <x:col min="11" max="11" width="46" hidden="0" customWidth="1"/>
    <x:col min="12" max="12" width="54" hidden="0" customWidth="1"/>
  </x:cols>
  <x:sheetData>
    <x:row r="1" ht="34" customHeight="1">
      <x:c r="A1" s="3" t="str">
        <x:v>数据库、开放资料库与发现平台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这些来源不一定提供 RSS，但往往是做高证据密度、可视化和历史图像帖的真正底座。请逐项检查数据定义与素材权利声明。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2" customHeight="1">
      <x:c r="A4" s="13" t="str">
        <x:v>优先级</x:v>
      </x:c>
      <x:c r="B4" s="13" t="str">
        <x:v>综合分</x:v>
      </x:c>
      <x:c r="C4" s="13" t="str">
        <x:v>主分类</x:v>
      </x:c>
      <x:c r="D4" s="13" t="str">
        <x:v>名称</x:v>
      </x:c>
      <x:c r="E4" s="13" t="str">
        <x:v>类型</x:v>
      </x:c>
      <x:c r="F4" s="13" t="str">
        <x:v>访问</x:v>
      </x:c>
      <x:c r="G4" s="13" t="str">
        <x:v>引用角色</x:v>
      </x:c>
      <x:c r="H4" s="13" t="str">
        <x:v>主页/API</x:v>
      </x:c>
      <x:c r="I4" s="13" t="str">
        <x:v>素材类型</x:v>
      </x:c>
      <x:c r="J4" s="13" t="str">
        <x:v>适合X帖型</x:v>
      </x:c>
      <x:c r="K4" s="13" t="str">
        <x:v>为什么值得</x:v>
      </x:c>
      <x:c r="L4" s="13" t="str">
        <x:v>核验/版权提醒</x:v>
      </x:c>
    </x:row>
    <x:row r="5" ht="48" customHeight="1">
      <x:c r="A5" s="27" t="str">
        <x:v>S</x:v>
      </x:c>
      <x:c r="B5" s="27" t="n">
        <x:v>95</x:v>
      </x:c>
      <x:c r="C5" s="27" t="str">
        <x:v>地球、地理与城市</x:v>
      </x:c>
      <x:c r="D5" s="27" t="str">
        <x:v>Copernicus Browser</x:v>
      </x:c>
      <x:c r="E5" s="27" t="str">
        <x:v>Platform</x:v>
      </x:c>
      <x:c r="F5" s="27" t="str">
        <x:v>Open</x:v>
      </x:c>
      <x:c r="G5" s="27" t="str">
        <x:v>证据源</x:v>
      </x:c>
      <x:c r="H5" s="27" t="str">
        <x:v>https://browser.dataspace.copernicus.eu/</x:v>
      </x:c>
      <x:c r="I5" s="27" t="str">
        <x:v>欧洲卫星遥感</x:v>
      </x:c>
      <x:c r="J5" s="27" t="str">
        <x:v>灾害前后对比、城市变化、地理图像</x:v>
      </x:c>
      <x:c r="K5" s="27" t="str">
        <x:v>可按地点和日期对比，适合生成一手地理视觉。</x:v>
      </x:c>
      <x:c r="L5" s="27" t="str">
        <x:v>平台服务而非RSS；下载和发布时应附卫星、产品、日期和处理级别。</x:v>
      </x:c>
    </x:row>
    <x:row r="6" ht="48" customHeight="1">
      <x:c r="A6" s="29" t="str">
        <x:v>S</x:v>
      </x:c>
      <x:c r="B6" s="29" t="n">
        <x:v>95</x:v>
      </x:c>
      <x:c r="C6" s="29" t="str">
        <x:v>地球、地理与城市</x:v>
      </x:c>
      <x:c r="D6" s="29" t="str">
        <x:v>Copernicus Climate Data Store</x:v>
      </x:c>
      <x:c r="E6" s="29" t="str">
        <x:v>API</x:v>
      </x:c>
      <x:c r="F6" s="29" t="str">
        <x:v>Open</x:v>
      </x:c>
      <x:c r="G6" s="29" t="str">
        <x:v>证据源</x:v>
      </x:c>
      <x:c r="H6" s="29" t="str">
        <x:v>https://cds.climate.copernicus.eu/api-how-to</x:v>
      </x:c>
      <x:c r="I6" s="29" t="str">
        <x:v>ERA5 与气候再分析</x:v>
      </x:c>
      <x:c r="J6" s="29" t="str">
        <x:v>气候异常、时间序列与地图</x:v>
      </x:c>
      <x:c r="K6" s="29" t="str">
        <x:v>ERA5 等权威气候再分析与预测数据入口。</x:v>
      </x:c>
      <x:c r="L6" s="29" t="str">
        <x:v>使用前核对数据口径、更新时间、许可与引用格式。</x:v>
      </x:c>
    </x:row>
    <x:row r="7" ht="48" customHeight="1">
      <x:c r="A7" s="29" t="str">
        <x:v>S</x:v>
      </x:c>
      <x:c r="B7" s="29" t="n">
        <x:v>95</x:v>
      </x:c>
      <x:c r="C7" s="29" t="str">
        <x:v>地球、地理与城市</x:v>
      </x:c>
      <x:c r="D7" s="29" t="str">
        <x:v>Copernicus Data Space Ecosystem</x:v>
      </x:c>
      <x:c r="E7" s="29" t="str">
        <x:v>API</x:v>
      </x:c>
      <x:c r="F7" s="29" t="str">
        <x:v>Open</x:v>
      </x:c>
      <x:c r="G7" s="29" t="str">
        <x:v>证据源</x:v>
      </x:c>
      <x:c r="H7" s="29" t="str">
        <x:v>https://dataspace.copernicus.eu/analyse/apis</x:v>
      </x:c>
      <x:c r="I7" s="29" t="str">
        <x:v>Sentinel 卫星数据</x:v>
      </x:c>
      <x:c r="J7" s="29" t="str">
        <x:v>洪水、火灾、农业与城市变化</x:v>
      </x:c>
      <x:c r="K7" s="29" t="str">
        <x:v>欧洲 Sentinel 数据的官方发现、处理与下载入口。</x:v>
      </x:c>
      <x:c r="L7" s="29" t="str">
        <x:v>使用前核对数据口径、更新时间、许可与引用格式。</x:v>
      </x:c>
    </x:row>
    <x:row r="8" ht="48" customHeight="1">
      <x:c r="A8" s="29" t="str">
        <x:v>S</x:v>
      </x:c>
      <x:c r="B8" s="29" t="n">
        <x:v>95</x:v>
      </x:c>
      <x:c r="C8" s="29" t="str">
        <x:v>地球、地理与城市</x:v>
      </x:c>
      <x:c r="D8" s="29" t="str">
        <x:v>GBIF</x:v>
      </x:c>
      <x:c r="E8" s="29" t="str">
        <x:v>API</x:v>
      </x:c>
      <x:c r="F8" s="29" t="str">
        <x:v>Open</x:v>
      </x:c>
      <x:c r="G8" s="29" t="str">
        <x:v>证据源</x:v>
      </x:c>
      <x:c r="H8" s="29" t="str">
        <x:v>https://techdocs.gbif.org/en/openapi/</x:v>
      </x:c>
      <x:c r="I8" s="29" t="str">
        <x:v>全球生物多样性记录</x:v>
      </x:c>
      <x:c r="J8" s="29" t="str">
        <x:v>物种地图、生态变化、采样偏差</x:v>
      </x:c>
      <x:c r="K8" s="29" t="str">
        <x:v>亿级物种出现记录，可做分布、迁徙和采样偏差图。</x:v>
      </x:c>
      <x:c r="L8" s="29" t="str">
        <x:v>记录质量和采样强度不均；使用过滤并引用数据集 DOI。</x:v>
      </x:c>
    </x:row>
    <x:row r="9" ht="48" customHeight="1">
      <x:c r="A9" s="29" t="str">
        <x:v>S</x:v>
      </x:c>
      <x:c r="B9" s="29" t="n">
        <x:v>95</x:v>
      </x:c>
      <x:c r="C9" s="29" t="str">
        <x:v>地球、地理与城市</x:v>
      </x:c>
      <x:c r="D9" s="29" t="str">
        <x:v>Library of Congress Digital Collections</x:v>
      </x:c>
      <x:c r="E9" s="29" t="str">
        <x:v>API</x:v>
      </x:c>
      <x:c r="F9" s="29" t="str">
        <x:v>Open</x:v>
      </x:c>
      <x:c r="G9" s="29" t="str">
        <x:v>证据源</x:v>
      </x:c>
      <x:c r="H9" s="29" t="str">
        <x:v>https://www.loc.gov/collections/?fo=json</x:v>
      </x:c>
      <x:c r="I9" s="29" t="str">
        <x:v>地图、照片、录音与手稿</x:v>
      </x:c>
      <x:c r="J9" s="29" t="str">
        <x:v>历史图卡、地图与原始文献</x:v>
      </x:c>
      <x:c r="K9" s="29" t="str">
        <x:v>高质量一手图像、地图、录音和文献，并附权利说明。</x:v>
      </x:c>
      <x:c r="L9" s="29" t="str">
        <x:v>逐项阅读 Rights &amp; Access；馆藏机构不一定拥有版权。</x:v>
      </x:c>
    </x:row>
    <x:row r="10" ht="48" customHeight="1">
      <x:c r="A10" s="29" t="str">
        <x:v>S</x:v>
      </x:c>
      <x:c r="B10" s="29" t="n">
        <x:v>95</x:v>
      </x:c>
      <x:c r="C10" s="29" t="str">
        <x:v>地球、地理与城市</x:v>
      </x:c>
      <x:c r="D10" s="29" t="str">
        <x:v>NASA Earthdata</x:v>
      </x:c>
      <x:c r="E10" s="29" t="str">
        <x:v>API</x:v>
      </x:c>
      <x:c r="F10" s="29" t="str">
        <x:v>Open</x:v>
      </x:c>
      <x:c r="G10" s="29" t="str">
        <x:v>证据源</x:v>
      </x:c>
      <x:c r="H10" s="29" t="str">
        <x:v>https://cmr.earthdata.nasa.gov/search/</x:v>
      </x:c>
      <x:c r="I10" s="29" t="str">
        <x:v>地球观测数据目录</x:v>
      </x:c>
      <x:c r="J10" s="29" t="str">
        <x:v>卫星数据、气候与灾害图</x:v>
      </x:c>
      <x:c r="K10" s="29" t="str">
        <x:v>跨任务检索卫星、气候、海洋和陆地数据。</x:v>
      </x:c>
      <x:c r="L10" s="29" t="str">
        <x:v>使用前核对数据口径、更新时间、许可与引用格式。</x:v>
      </x:c>
    </x:row>
    <x:row r="11" ht="48" customHeight="1">
      <x:c r="A11" s="29" t="str">
        <x:v>S</x:v>
      </x:c>
      <x:c r="B11" s="29" t="n">
        <x:v>95</x:v>
      </x:c>
      <x:c r="C11" s="29" t="str">
        <x:v>地球、地理与城市</x:v>
      </x:c>
      <x:c r="D11" s="29" t="str">
        <x:v>NASA FIRMS</x:v>
      </x:c>
      <x:c r="E11" s="29" t="str">
        <x:v>API</x:v>
      </x:c>
      <x:c r="F11" s="29" t="str">
        <x:v>Open</x:v>
      </x:c>
      <x:c r="G11" s="29" t="str">
        <x:v>证据源</x:v>
      </x:c>
      <x:c r="H11" s="29" t="str">
        <x:v>https://firms.modaps.eosdis.nasa.gov/api/</x:v>
      </x:c>
      <x:c r="I11" s="29" t="str">
        <x:v>近实时火灾热点</x:v>
      </x:c>
      <x:c r="J11" s="29" t="str">
        <x:v>野火地图、灾害解释与时间线</x:v>
      </x:c>
      <x:c r="K11" s="29" t="str">
        <x:v>近实时全球火点数据，适合灾害态势和区域比较。</x:v>
      </x:c>
      <x:c r="L11" s="29" t="str">
        <x:v>使用前核对数据口径、更新时间、许可与引用格式。</x:v>
      </x:c>
    </x:row>
    <x:row r="12" ht="48" customHeight="1">
      <x:c r="A12" s="29" t="str">
        <x:v>S</x:v>
      </x:c>
      <x:c r="B12" s="29" t="n">
        <x:v>95</x:v>
      </x:c>
      <x:c r="C12" s="29" t="str">
        <x:v>地球、地理与城市</x:v>
      </x:c>
      <x:c r="D12" s="29" t="str">
        <x:v>Natural Earth</x:v>
      </x:c>
      <x:c r="E12" s="29" t="str">
        <x:v>Platform</x:v>
      </x:c>
      <x:c r="F12" s="29" t="str">
        <x:v>Open</x:v>
      </x:c>
      <x:c r="G12" s="29" t="str">
        <x:v>证据源</x:v>
      </x:c>
      <x:c r="H12" s="29" t="str">
        <x:v>https://www.naturalearthdata.com/</x:v>
      </x:c>
      <x:c r="I12" s="29" t="str">
        <x:v>公共领域底图数据</x:v>
      </x:c>
      <x:c r="J12" s="29" t="str">
        <x:v>世界地图、地缘与地理图卡</x:v>
      </x:c>
      <x:c r="K12" s="29" t="str">
        <x:v>制图友好的国家、城市、河流与地形矢量/栅格数据。</x:v>
      </x:c>
      <x:c r="L12" s="29" t="str">
        <x:v>地图边界是制图资料，不代表任何政治立场；标明版本和尺度。</x:v>
      </x:c>
    </x:row>
    <x:row r="13" ht="48" customHeight="1">
      <x:c r="A13" s="29" t="str">
        <x:v>S</x:v>
      </x:c>
      <x:c r="B13" s="29" t="n">
        <x:v>95</x:v>
      </x:c>
      <x:c r="C13" s="29" t="str">
        <x:v>地球、地理与城市</x:v>
      </x:c>
      <x:c r="D13" s="29" t="str">
        <x:v>NOAA NCEI</x:v>
      </x:c>
      <x:c r="E13" s="29" t="str">
        <x:v>API</x:v>
      </x:c>
      <x:c r="F13" s="29" t="str">
        <x:v>Open</x:v>
      </x:c>
      <x:c r="G13" s="29" t="str">
        <x:v>证据源</x:v>
      </x:c>
      <x:c r="H13" s="29" t="str">
        <x:v>https://www.ncei.noaa.gov/access/services/data/v1</x:v>
      </x:c>
      <x:c r="I13" s="29" t="str">
        <x:v>气候、海洋与环境数据</x:v>
      </x:c>
      <x:c r="J13" s="29" t="str">
        <x:v>极端天气、长期趋势与地区比较</x:v>
      </x:c>
      <x:c r="K13" s="29" t="str">
        <x:v>长期气候和天气观测的权威档案。</x:v>
      </x:c>
      <x:c r="L13" s="29" t="str">
        <x:v>使用前核对数据口径、更新时间、许可与引用格式。</x:v>
      </x:c>
    </x:row>
    <x:row r="14" ht="48" customHeight="1">
      <x:c r="A14" s="29" t="str">
        <x:v>S</x:v>
      </x:c>
      <x:c r="B14" s="29" t="n">
        <x:v>95</x:v>
      </x:c>
      <x:c r="C14" s="29" t="str">
        <x:v>地球、地理与城市</x:v>
      </x:c>
      <x:c r="D14" s="29" t="str">
        <x:v>OpenStreetMap</x:v>
      </x:c>
      <x:c r="E14" s="29" t="str">
        <x:v>API</x:v>
      </x:c>
      <x:c r="F14" s="29" t="str">
        <x:v>Open</x:v>
      </x:c>
      <x:c r="G14" s="29" t="str">
        <x:v>证据源</x:v>
      </x:c>
      <x:c r="H14" s="29" t="str">
        <x:v>https://overpass-api.de/api/interpreter</x:v>
      </x:c>
      <x:c r="I14" s="29" t="str">
        <x:v>开放协作地图</x:v>
      </x:c>
      <x:c r="J14" s="29" t="str">
        <x:v>城市结构、服务可达性、路线图</x:v>
      </x:c>
      <x:c r="K14" s="29" t="str">
        <x:v>细粒度道路、建筑和设施数据，适合城市与交通分析。</x:v>
      </x:c>
      <x:c r="L14" s="29" t="str">
        <x:v>遵守 ODbL 署名和衍生数据库要求；数据完整度地区差异大。</x:v>
      </x:c>
    </x:row>
    <x:row r="15" ht="48" customHeight="1">
      <x:c r="A15" s="29" t="str">
        <x:v>S</x:v>
      </x:c>
      <x:c r="B15" s="29" t="n">
        <x:v>95</x:v>
      </x:c>
      <x:c r="C15" s="29" t="str">
        <x:v>科学与数学</x:v>
      </x:c>
      <x:c r="D15" s="29" t="str">
        <x:v>CORE</x:v>
      </x:c>
      <x:c r="E15" s="29" t="str">
        <x:v>API</x:v>
      </x:c>
      <x:c r="F15" s="29" t="str">
        <x:v>Open</x:v>
      </x:c>
      <x:c r="G15" s="29" t="str">
        <x:v>证据源</x:v>
      </x:c>
      <x:c r="H15" s="29" t="str">
        <x:v>https://core.ac.uk/services/api</x:v>
      </x:c>
      <x:c r="I15" s="29" t="str">
        <x:v>开放获取论文聚合</x:v>
      </x:c>
      <x:c r="J15" s="29" t="str">
        <x:v>开放全文、研究综述</x:v>
      </x:c>
      <x:c r="K15" s="29" t="str">
        <x:v>聚合全球机构库与开放全文，可补足付费墙后的合法开放版本。</x:v>
      </x:c>
      <x:c r="L15" s="29" t="str">
        <x:v>使用前核对数据口径、更新时间、许可与引用格式。</x:v>
      </x:c>
    </x:row>
    <x:row r="16" ht="48" customHeight="1">
      <x:c r="A16" s="29" t="str">
        <x:v>S</x:v>
      </x:c>
      <x:c r="B16" s="29" t="n">
        <x:v>95</x:v>
      </x:c>
      <x:c r="C16" s="29" t="str">
        <x:v>科学与数学</x:v>
      </x:c>
      <x:c r="D16" s="29" t="str">
        <x:v>Crossref REST API</x:v>
      </x:c>
      <x:c r="E16" s="29" t="str">
        <x:v>API</x:v>
      </x:c>
      <x:c r="F16" s="29" t="str">
        <x:v>Open</x:v>
      </x:c>
      <x:c r="G16" s="29" t="str">
        <x:v>证据源</x:v>
      </x:c>
      <x:c r="H16" s="29" t="str">
        <x:v>https://api.crossref.org/works</x:v>
      </x:c>
      <x:c r="I16" s="29" t="str">
        <x:v>论文 DOI 与元数据</x:v>
      </x:c>
      <x:c r="J16" s="29" t="str">
        <x:v>论文溯源、引用网络、研究趋势</x:v>
      </x:c>
      <x:c r="K16" s="29" t="str">
        <x:v>用 DOI、作者、期刊和参考文献追到正式出版记录。</x:v>
      </x:c>
      <x:c r="L16" s="29" t="str">
        <x:v>使用前核对数据口径、更新时间、许可与引用格式。</x:v>
      </x:c>
    </x:row>
    <x:row r="17" ht="48" customHeight="1">
      <x:c r="A17" s="29" t="str">
        <x:v>S</x:v>
      </x:c>
      <x:c r="B17" s="29" t="n">
        <x:v>95</x:v>
      </x:c>
      <x:c r="C17" s="29" t="str">
        <x:v>科学与数学</x:v>
      </x:c>
      <x:c r="D17" s="29" t="str">
        <x:v>DataCite Commons</x:v>
      </x:c>
      <x:c r="E17" s="29" t="str">
        <x:v>API</x:v>
      </x:c>
      <x:c r="F17" s="29" t="str">
        <x:v>Open</x:v>
      </x:c>
      <x:c r="G17" s="29" t="str">
        <x:v>证据源</x:v>
      </x:c>
      <x:c r="H17" s="29" t="str">
        <x:v>https://api.datacite.org/</x:v>
      </x:c>
      <x:c r="I17" s="29" t="str">
        <x:v>研究对象 DOI</x:v>
      </x:c>
      <x:c r="J17" s="29" t="str">
        <x:v>数据 DOI、作者与机构图谱</x:v>
      </x:c>
      <x:c r="K17" s="29" t="str">
        <x:v>追踪数据集、软件、机构与研究者的 DOI 关系。</x:v>
      </x:c>
      <x:c r="L17" s="29" t="str">
        <x:v>使用前核对数据口径、更新时间、许可与引用格式。</x:v>
      </x:c>
    </x:row>
    <x:row r="18" ht="48" customHeight="1">
      <x:c r="A18" s="29" t="str">
        <x:v>S</x:v>
      </x:c>
      <x:c r="B18" s="29" t="n">
        <x:v>95</x:v>
      </x:c>
      <x:c r="C18" s="29" t="str">
        <x:v>科学与数学</x:v>
      </x:c>
      <x:c r="D18" s="29" t="str">
        <x:v>DOAJ</x:v>
      </x:c>
      <x:c r="E18" s="29" t="str">
        <x:v>API</x:v>
      </x:c>
      <x:c r="F18" s="29" t="str">
        <x:v>Open</x:v>
      </x:c>
      <x:c r="G18" s="29" t="str">
        <x:v>证据源</x:v>
      </x:c>
      <x:c r="H18" s="29" t="str">
        <x:v>https://doaj.org/api/</x:v>
      </x:c>
      <x:c r="I18" s="29" t="str">
        <x:v>开放获取期刊目录</x:v>
      </x:c>
      <x:c r="J18" s="29" t="str">
        <x:v>开放期刊清单、许可核验</x:v>
      </x:c>
      <x:c r="K18" s="29" t="str">
        <x:v>筛选开放获取期刊并查看基础质量与许可信息。</x:v>
      </x:c>
      <x:c r="L18" s="29" t="str">
        <x:v>使用前核对数据口径、更新时间、许可与引用格式。</x:v>
      </x:c>
    </x:row>
    <x:row r="19" ht="48" customHeight="1">
      <x:c r="A19" s="29" t="str">
        <x:v>S</x:v>
      </x:c>
      <x:c r="B19" s="29" t="n">
        <x:v>95</x:v>
      </x:c>
      <x:c r="C19" s="29" t="str">
        <x:v>科学与数学</x:v>
      </x:c>
      <x:c r="D19" s="29" t="str">
        <x:v>Europe PMC</x:v>
      </x:c>
      <x:c r="E19" s="29" t="str">
        <x:v>API</x:v>
      </x:c>
      <x:c r="F19" s="29" t="str">
        <x:v>Open</x:v>
      </x:c>
      <x:c r="G19" s="29" t="str">
        <x:v>证据源</x:v>
      </x:c>
      <x:c r="H19" s="29" t="str">
        <x:v>https://www.ebi.ac.uk/europepmc/webservices/rest/</x:v>
      </x:c>
      <x:c r="I19" s="29" t="str">
        <x:v>生命科学全文与资助信息</x:v>
      </x:c>
      <x:c r="J19" s="29" t="str">
        <x:v>开放全文、资助与引用脉络</x:v>
      </x:c>
      <x:c r="K19" s="29" t="str">
        <x:v>连接论文、开放全文、资助与引用，适合生命科学证据链。</x:v>
      </x:c>
      <x:c r="L19" s="29" t="str">
        <x:v>使用前核对数据口径、更新时间、许可与引用格式。</x:v>
      </x:c>
    </x:row>
    <x:row r="20" ht="48" customHeight="1">
      <x:c r="A20" s="29" t="str">
        <x:v>S</x:v>
      </x:c>
      <x:c r="B20" s="29" t="n">
        <x:v>95</x:v>
      </x:c>
      <x:c r="C20" s="29" t="str">
        <x:v>科学与数学</x:v>
      </x:c>
      <x:c r="D20" s="29" t="str">
        <x:v>OpenAlex</x:v>
      </x:c>
      <x:c r="E20" s="29" t="str">
        <x:v>API</x:v>
      </x:c>
      <x:c r="F20" s="29" t="str">
        <x:v>Open</x:v>
      </x:c>
      <x:c r="G20" s="29" t="str">
        <x:v>证据源</x:v>
      </x:c>
      <x:c r="H20" s="29" t="str">
        <x:v>https://api.openalex.org/</x:v>
      </x:c>
      <x:c r="I20" s="29" t="str">
        <x:v>开放学术图谱</x:v>
      </x:c>
      <x:c r="J20" s="29" t="str">
        <x:v>领域地图、机构比较、引用趋势</x:v>
      </x:c>
      <x:c r="K20" s="29" t="str">
        <x:v>覆盖论文、作者、机构、主题与引用关系，适合做研究版图。</x:v>
      </x:c>
      <x:c r="L20" s="29" t="str">
        <x:v>使用前核对数据口径、更新时间、许可与引用格式。</x:v>
      </x:c>
    </x:row>
    <x:row r="21" ht="48" customHeight="1">
      <x:c r="A21" s="29" t="str">
        <x:v>S</x:v>
      </x:c>
      <x:c r="B21" s="29" t="n">
        <x:v>95</x:v>
      </x:c>
      <x:c r="C21" s="29" t="str">
        <x:v>科学与数学</x:v>
      </x:c>
      <x:c r="D21" s="29" t="str">
        <x:v>OSF</x:v>
      </x:c>
      <x:c r="E21" s="29" t="str">
        <x:v>API</x:v>
      </x:c>
      <x:c r="F21" s="29" t="str">
        <x:v>Open</x:v>
      </x:c>
      <x:c r="G21" s="29" t="str">
        <x:v>证据源</x:v>
      </x:c>
      <x:c r="H21" s="29" t="str">
        <x:v>https://api.osf.io/v2/</x:v>
      </x:c>
      <x:c r="I21" s="29" t="str">
        <x:v>开放科学项目仓储</x:v>
      </x:c>
      <x:c r="J21" s="29" t="str">
        <x:v>研究方法、预注册、复现材料</x:v>
      </x:c>
      <x:c r="K21" s="29" t="str">
        <x:v>可查看预注册、材料、数据和版本历史，帮助判断研究透明度。</x:v>
      </x:c>
      <x:c r="L21" s="29" t="str">
        <x:v>使用前核对数据口径、更新时间、许可与引用格式。</x:v>
      </x:c>
    </x:row>
    <x:row r="22" ht="48" customHeight="1">
      <x:c r="A22" s="29" t="str">
        <x:v>S</x:v>
      </x:c>
      <x:c r="B22" s="29" t="n">
        <x:v>95</x:v>
      </x:c>
      <x:c r="C22" s="29" t="str">
        <x:v>科学与数学</x:v>
      </x:c>
      <x:c r="D22" s="29" t="str">
        <x:v>Zenodo</x:v>
      </x:c>
      <x:c r="E22" s="29" t="str">
        <x:v>API</x:v>
      </x:c>
      <x:c r="F22" s="29" t="str">
        <x:v>Open</x:v>
      </x:c>
      <x:c r="G22" s="29" t="str">
        <x:v>证据源</x:v>
      </x:c>
      <x:c r="H22" s="29" t="str">
        <x:v>https://zenodo.org/api/records</x:v>
      </x:c>
      <x:c r="I22" s="29" t="str">
        <x:v>研究数据与软件仓储</x:v>
      </x:c>
      <x:c r="J22" s="29" t="str">
        <x:v>原始数据、代码和方法附件</x:v>
      </x:c>
      <x:c r="K22" s="29" t="str">
        <x:v>论文之外还能找到数据、代码、海报与可引用 DOI。</x:v>
      </x:c>
      <x:c r="L22" s="29" t="str">
        <x:v>使用前核对数据口径、更新时间、许可与引用格式。</x:v>
      </x:c>
    </x:row>
    <x:row r="23" ht="48" customHeight="1">
      <x:c r="A23" s="29" t="str">
        <x:v>S</x:v>
      </x:c>
      <x:c r="B23" s="29" t="n">
        <x:v>95</x:v>
      </x:c>
      <x:c r="C23" s="29" t="str">
        <x:v>历史与考古</x:v>
      </x:c>
      <x:c r="D23" s="29" t="str">
        <x:v>CBETA Online</x:v>
      </x:c>
      <x:c r="E23" s="29" t="str">
        <x:v>Platform</x:v>
      </x:c>
      <x:c r="F23" s="29" t="str">
        <x:v>Open</x:v>
      </x:c>
      <x:c r="G23" s="29" t="str">
        <x:v>证据源</x:v>
      </x:c>
      <x:c r="H23" s="29" t="str">
        <x:v>https://cbetaonline.dila.edu.tw/</x:v>
      </x:c>
      <x:c r="I23" s="29" t="str">
        <x:v>汉文佛典</x:v>
      </x:c>
      <x:c r="J23" s="29" t="str">
        <x:v>宗教史、概念史、原典引用</x:v>
      </x:c>
      <x:c r="K23" s="29" t="str">
        <x:v>大规模可检索汉文佛教典籍与校勘信息。</x:v>
      </x:c>
      <x:c r="L23" s="29" t="str">
        <x:v>使用前核对数据口径、更新时间、许可与引用格式。</x:v>
      </x:c>
    </x:row>
    <x:row r="24" ht="48" customHeight="1">
      <x:c r="A24" s="29" t="str">
        <x:v>S</x:v>
      </x:c>
      <x:c r="B24" s="29" t="n">
        <x:v>95</x:v>
      </x:c>
      <x:c r="C24" s="29" t="str">
        <x:v>历史与考古</x:v>
      </x:c>
      <x:c r="D24" s="29" t="str">
        <x:v>Chinese Text Project</x:v>
      </x:c>
      <x:c r="E24" s="29" t="str">
        <x:v>API</x:v>
      </x:c>
      <x:c r="F24" s="29" t="str">
        <x:v>Open</x:v>
      </x:c>
      <x:c r="G24" s="29" t="str">
        <x:v>证据源</x:v>
      </x:c>
      <x:c r="H24" s="29" t="str">
        <x:v>https://ctext.org/tools/api</x:v>
      </x:c>
      <x:c r="I24" s="29" t="str">
        <x:v>中国古代典籍</x:v>
      </x:c>
      <x:c r="J24" s="29" t="str">
        <x:v>古典原文、思想史、词频</x:v>
      </x:c>
      <x:c r="K24" s="29" t="str">
        <x:v>可检索、对照和引用先秦至汉代等中文原典。</x:v>
      </x:c>
      <x:c r="L24" s="29" t="str">
        <x:v>注明版本、篇章与异文；现代整理和译文可能有版权。</x:v>
      </x:c>
    </x:row>
    <x:row r="25" ht="48" customHeight="1">
      <x:c r="A25" s="29" t="str">
        <x:v>S</x:v>
      </x:c>
      <x:c r="B25" s="29" t="n">
        <x:v>95</x:v>
      </x:c>
      <x:c r="C25" s="29" t="str">
        <x:v>历史与考古</x:v>
      </x:c>
      <x:c r="D25" s="29" t="str">
        <x:v>Chronicling America</x:v>
      </x:c>
      <x:c r="E25" s="29" t="str">
        <x:v>API</x:v>
      </x:c>
      <x:c r="F25" s="29" t="str">
        <x:v>Open</x:v>
      </x:c>
      <x:c r="G25" s="29" t="str">
        <x:v>证据源</x:v>
      </x:c>
      <x:c r="H25" s="29" t="str">
        <x:v>https://www.loc.gov/collections/chronicling-america/?fo=json</x:v>
      </x:c>
      <x:c r="I25" s="29" t="str">
        <x:v>美国历史报纸</x:v>
      </x:c>
      <x:c r="J25" s="29" t="str">
        <x:v>历史头版、舆论演变、时间线</x:v>
      </x:c>
      <x:c r="K25" s="29" t="str">
        <x:v>美国国会图书馆的可检索历史报纸，适合事件的同时代报道。</x:v>
      </x:c>
      <x:c r="L25" s="29" t="str">
        <x:v>使用前核对数据口径、更新时间、许可与引用格式。</x:v>
      </x:c>
    </x:row>
    <x:row r="26" ht="48" customHeight="1">
      <x:c r="A26" s="29" t="str">
        <x:v>S</x:v>
      </x:c>
      <x:c r="B26" s="29" t="n">
        <x:v>95</x:v>
      </x:c>
      <x:c r="C26" s="29" t="str">
        <x:v>历史与考古</x:v>
      </x:c>
      <x:c r="D26" s="29" t="str">
        <x:v>Internet Archive</x:v>
      </x:c>
      <x:c r="E26" s="29" t="str">
        <x:v>API</x:v>
      </x:c>
      <x:c r="F26" s="29" t="str">
        <x:v>Open</x:v>
      </x:c>
      <x:c r="G26" s="29" t="str">
        <x:v>证据源</x:v>
      </x:c>
      <x:c r="H26" s="29" t="str">
        <x:v>https://archive.org/advancedsearch.php</x:v>
      </x:c>
      <x:c r="I26" s="29" t="str">
        <x:v>数字图书、音视频与网页档案</x:v>
      </x:c>
      <x:c r="J26" s="29" t="str">
        <x:v>原始影像、旧书、网页历史</x:v>
      </x:c>
      <x:c r="K26" s="29" t="str">
        <x:v>海量扫描书、影像、软件和历史网页，是公共领域素材与数字史的重要底座。</x:v>
      </x:c>
      <x:c r="L26" s="29" t="str">
        <x:v>逐项核对条目权利状态；平台可访问不等于可自由转载。</x:v>
      </x:c>
    </x:row>
    <x:row r="27" ht="48" customHeight="1">
      <x:c r="A27" s="29" t="str">
        <x:v>S</x:v>
      </x:c>
      <x:c r="B27" s="29" t="n">
        <x:v>95</x:v>
      </x:c>
      <x:c r="C27" s="29" t="str">
        <x:v>历史与考古</x:v>
      </x:c>
      <x:c r="D27" s="29" t="str">
        <x:v>Library of Congress Blogs</x:v>
      </x:c>
      <x:c r="E27" s="29" t="str">
        <x:v>RSS</x:v>
      </x:c>
      <x:c r="F27" s="29" t="str">
        <x:v>Open</x:v>
      </x:c>
      <x:c r="G27" s="29" t="str">
        <x:v>证据源</x:v>
      </x:c>
      <x:c r="H27" s="29" t="str">
        <x:v>https://blogs.loc.gov/feed/</x:v>
      </x:c>
      <x:c r="I27" s="29" t="str">
        <x:v>馆藏、地图、照片与法律史</x:v>
      </x:c>
      <x:c r="J27" s="29" t="str">
        <x:v>原始照片、旧报纸、地图和出处明确的史料帖。</x:v>
      </x:c>
      <x:c r="K27" s="29" t="str">
        <x:v>大量内容直接来自美国国会图书馆馆藏，原始照片、地图、旧报刊和文献定位价值高。</x:v>
      </x:c>
      <x:c r="L27" s="29" t="str">
        <x:v>2026-08-17：官方通用 Feed 路径，网页核验器遇到 403；建议阅读器复验并按子博客过滤。</x:v>
      </x:c>
    </x:row>
    <x:row r="28" ht="48" customHeight="1">
      <x:c r="A28" s="29" t="str">
        <x:v>S</x:v>
      </x:c>
      <x:c r="B28" s="29" t="n">
        <x:v>95</x:v>
      </x:c>
      <x:c r="C28" s="29" t="str">
        <x:v>历史与考古</x:v>
      </x:c>
      <x:c r="D28" s="29" t="str">
        <x:v>Old Bailey Online</x:v>
      </x:c>
      <x:c r="E28" s="29" t="str">
        <x:v>Platform</x:v>
      </x:c>
      <x:c r="F28" s="29" t="str">
        <x:v>Open</x:v>
      </x:c>
      <x:c r="G28" s="29" t="str">
        <x:v>证据源</x:v>
      </x:c>
      <x:c r="H28" s="29" t="str">
        <x:v>https://www.oldbaileyonline.org/</x:v>
      </x:c>
      <x:c r="I28" s="29" t="str">
        <x:v>伦敦刑事审判记录</x:v>
      </x:c>
      <x:c r="J28" s="29" t="str">
        <x:v>个案史、社会结构、原始证词</x:v>
      </x:c>
      <x:c r="K28" s="29" t="str">
        <x:v>1674–1913 年审判记录可做社会史、犯罪史和语言史。</x:v>
      </x:c>
      <x:c r="L28" s="29" t="str">
        <x:v>使用前核对数据口径、更新时间、许可与引用格式。</x:v>
      </x:c>
    </x:row>
    <x:row r="29" ht="48" customHeight="1">
      <x:c r="A29" s="29" t="str">
        <x:v>S</x:v>
      </x:c>
      <x:c r="B29" s="29" t="n">
        <x:v>95</x:v>
      </x:c>
      <x:c r="C29" s="29" t="str">
        <x:v>历史与考古</x:v>
      </x:c>
      <x:c r="D29" s="29" t="str">
        <x:v>Open Library</x:v>
      </x:c>
      <x:c r="E29" s="29" t="str">
        <x:v>API</x:v>
      </x:c>
      <x:c r="F29" s="29" t="str">
        <x:v>Open</x:v>
      </x:c>
      <x:c r="G29" s="29" t="str">
        <x:v>证据源</x:v>
      </x:c>
      <x:c r="H29" s="29" t="str">
        <x:v>https://openlibrary.org/developers/api</x:v>
      </x:c>
      <x:c r="I29" s="29" t="str">
        <x:v>图书书目与借阅</x:v>
      </x:c>
      <x:c r="J29" s="29" t="str">
        <x:v>书目清单、版本史</x:v>
      </x:c>
      <x:c r="K29" s="29" t="str">
        <x:v>提供版本、作者、主题和封面数据，可做书目脉络。</x:v>
      </x:c>
      <x:c r="L29" s="29" t="str">
        <x:v>使用前核对数据口径、更新时间、许可与引用格式。</x:v>
      </x:c>
    </x:row>
    <x:row r="30" ht="48" customHeight="1">
      <x:c r="A30" s="29" t="str">
        <x:v>S</x:v>
      </x:c>
      <x:c r="B30" s="29" t="n">
        <x:v>95</x:v>
      </x:c>
      <x:c r="C30" s="29" t="str">
        <x:v>历史与考古</x:v>
      </x:c>
      <x:c r="D30" s="29" t="str">
        <x:v>Smithsonian Magazine - History</x:v>
      </x:c>
      <x:c r="E30" s="29" t="str">
        <x:v>RSS</x:v>
      </x:c>
      <x:c r="F30" s="29" t="str">
        <x:v>Open</x:v>
      </x:c>
      <x:c r="G30" s="29" t="str">
        <x:v>证据源</x:v>
      </x:c>
      <x:c r="H30" s="29" t="str">
        <x:v>https://www.smithsonianmag.com/rss/history/</x:v>
      </x:c>
      <x:c r="I30" s="29" t="str">
        <x:v>历史、考古与博物馆</x:v>
      </x:c>
      <x:c r="J30" s="29" t="str">
        <x:v>纪念日、文物背后的故事和历史误解纠正。</x:v>
      </x:c>
      <x:c r="K30" s="29" t="str">
        <x:v>依托 Smithsonian 机构和专家网络，历史、文物与考古内容来源链较完整。</x:v>
      </x:c>
      <x:c r="L30" s="29" t="str">
        <x:v>2026-08-17：Smithsonian 官方 RSS 列表含 History，端点返回 application/xml。</x:v>
      </x:c>
    </x:row>
    <x:row r="31" ht="48" customHeight="1">
      <x:c r="A31" s="29" t="str">
        <x:v>S</x:v>
      </x:c>
      <x:c r="B31" s="29" t="n">
        <x:v>95</x:v>
      </x:c>
      <x:c r="C31" s="29" t="str">
        <x:v>商业、管理与创新</x:v>
      </x:c>
      <x:c r="D31" s="29" t="str">
        <x:v>FRED</x:v>
      </x:c>
      <x:c r="E31" s="29" t="str">
        <x:v>API</x:v>
      </x:c>
      <x:c r="F31" s="29" t="str">
        <x:v>Open</x:v>
      </x:c>
      <x:c r="G31" s="29" t="str">
        <x:v>证据源</x:v>
      </x:c>
      <x:c r="H31" s="29" t="str">
        <x:v>https://api.stlouisfed.org/fred/</x:v>
      </x:c>
      <x:c r="I31" s="29" t="str">
        <x:v>美国及全球经济时间序列</x:v>
      </x:c>
      <x:c r="J31" s="29" t="str">
        <x:v>时间序列图、经济周期与政策背景</x:v>
      </x:c>
      <x:c r="K31" s="29" t="str">
        <x:v>时间序列丰富、元数据清晰，适合宏观和市场背景图。</x:v>
      </x:c>
      <x:c r="L31" s="29" t="str">
        <x:v>API 需免费密钥；不同序列的季调、单位和修订规则要核对。</x:v>
      </x:c>
    </x:row>
    <x:row r="32" ht="48" customHeight="1">
      <x:c r="A32" s="29" t="str">
        <x:v>S</x:v>
      </x:c>
      <x:c r="B32" s="29" t="n">
        <x:v>95</x:v>
      </x:c>
      <x:c r="C32" s="29" t="str">
        <x:v>商业、管理与创新</x:v>
      </x:c>
      <x:c r="D32" s="29" t="str">
        <x:v>IMF Data</x:v>
      </x:c>
      <x:c r="E32" s="29" t="str">
        <x:v>API</x:v>
      </x:c>
      <x:c r="F32" s="29" t="str">
        <x:v>Open</x:v>
      </x:c>
      <x:c r="G32" s="29" t="str">
        <x:v>证据源</x:v>
      </x:c>
      <x:c r="H32" s="29" t="str">
        <x:v>http://dataservices.imf.org/REST/SDMX_JSON.svc/</x:v>
      </x:c>
      <x:c r="I32" s="29" t="str">
        <x:v>宏观经济与金融</x:v>
      </x:c>
      <x:c r="J32" s="29" t="str">
        <x:v>宏观图表、国家与周期比较</x:v>
      </x:c>
      <x:c r="K32" s="29" t="str">
        <x:v>全球宏观、财政、金融和国际收支数据的核心入口。</x:v>
      </x:c>
      <x:c r="L32" s="29" t="str">
        <x:v>使用前核对数据口径、更新时间、许可与引用格式。</x:v>
      </x:c>
    </x:row>
    <x:row r="33" ht="48" customHeight="1">
      <x:c r="A33" s="29" t="str">
        <x:v>S</x:v>
      </x:c>
      <x:c r="B33" s="29" t="n">
        <x:v>95</x:v>
      </x:c>
      <x:c r="C33" s="29" t="str">
        <x:v>商业、管理与创新</x:v>
      </x:c>
      <x:c r="D33" s="29" t="str">
        <x:v>U.S. Bureau of Labor Statistics</x:v>
      </x:c>
      <x:c r="E33" s="29" t="str">
        <x:v>API</x:v>
      </x:c>
      <x:c r="F33" s="29" t="str">
        <x:v>Open</x:v>
      </x:c>
      <x:c r="G33" s="29" t="str">
        <x:v>证据源</x:v>
      </x:c>
      <x:c r="H33" s="29" t="str">
        <x:v>https://www.bls.gov/developers/</x:v>
      </x:c>
      <x:c r="I33" s="29" t="str">
        <x:v>就业、工资与价格</x:v>
      </x:c>
      <x:c r="J33" s="29" t="str">
        <x:v>劳动力、通胀与行业结构</x:v>
      </x:c>
      <x:c r="K33" s="29" t="str">
        <x:v>就业、通胀、生产率和职业数据口径透明。</x:v>
      </x:c>
      <x:c r="L33" s="29" t="str">
        <x:v>使用前核对数据口径、更新时间、许可与引用格式。</x:v>
      </x:c>
    </x:row>
    <x:row r="34" ht="48" customHeight="1">
      <x:c r="A34" s="29" t="str">
        <x:v>S</x:v>
      </x:c>
      <x:c r="B34" s="29" t="n">
        <x:v>95</x:v>
      </x:c>
      <x:c r="C34" s="29" t="str">
        <x:v>数据与可视化</x:v>
      </x:c>
      <x:c r="D34" s="29" t="str">
        <x:v>Eurostat</x:v>
      </x:c>
      <x:c r="E34" s="29" t="str">
        <x:v>API</x:v>
      </x:c>
      <x:c r="F34" s="29" t="str">
        <x:v>Open</x:v>
      </x:c>
      <x:c r="G34" s="29" t="str">
        <x:v>证据源</x:v>
      </x:c>
      <x:c r="H34" s="29" t="str">
        <x:v>https://ec.europa.eu/eurostat/api/dissemination/statistics/1.0/data/</x:v>
      </x:c>
      <x:c r="I34" s="29" t="str">
        <x:v>欧盟官方统计</x:v>
      </x:c>
      <x:c r="J34" s="29" t="str">
        <x:v>欧洲比较、地区地图与政策图表</x:v>
      </x:c>
      <x:c r="K34" s="29" t="str">
        <x:v>欧盟人口、经济、能源、环境和地区数据的标准入口。</x:v>
      </x:c>
      <x:c r="L34" s="29" t="str">
        <x:v>使用前核对数据口径、更新时间、许可与引用格式。</x:v>
      </x:c>
    </x:row>
    <x:row r="35" ht="48" customHeight="1">
      <x:c r="A35" s="29" t="str">
        <x:v>S</x:v>
      </x:c>
      <x:c r="B35" s="29" t="n">
        <x:v>95</x:v>
      </x:c>
      <x:c r="C35" s="29" t="str">
        <x:v>数据与可视化</x:v>
      </x:c>
      <x:c r="D35" s="29" t="str">
        <x:v>MoMA Collection Data</x:v>
      </x:c>
      <x:c r="E35" s="29" t="str">
        <x:v>Platform</x:v>
      </x:c>
      <x:c r="F35" s="29" t="str">
        <x:v>Open</x:v>
      </x:c>
      <x:c r="G35" s="29" t="str">
        <x:v>证据源</x:v>
      </x:c>
      <x:c r="H35" s="29" t="str">
        <x:v>https://github.com/MuseumofModernArt/collection</x:v>
      </x:c>
      <x:c r="I35" s="29" t="str">
        <x:v>现代艺术开放数据</x:v>
      </x:c>
      <x:c r="J35" s="29" t="str">
        <x:v>现代艺术数据图、馆藏结构</x:v>
      </x:c>
      <x:c r="K35" s="29" t="str">
        <x:v>可下载艺术家与作品元数据，适合统计和可视化。</x:v>
      </x:c>
      <x:c r="L35" s="29" t="str">
        <x:v>数据许可与作品图像版权分开核对。</x:v>
      </x:c>
    </x:row>
    <x:row r="36" ht="48" customHeight="1">
      <x:c r="A36" s="29" t="str">
        <x:v>S</x:v>
      </x:c>
      <x:c r="B36" s="29" t="n">
        <x:v>95</x:v>
      </x:c>
      <x:c r="C36" s="29" t="str">
        <x:v>数据与可视化</x:v>
      </x:c>
      <x:c r="D36" s="29" t="str">
        <x:v>OECD Data Explorer</x:v>
      </x:c>
      <x:c r="E36" s="29" t="str">
        <x:v>API</x:v>
      </x:c>
      <x:c r="F36" s="29" t="str">
        <x:v>Open</x:v>
      </x:c>
      <x:c r="G36" s="29" t="str">
        <x:v>证据源</x:v>
      </x:c>
      <x:c r="H36" s="29" t="str">
        <x:v>https://sdmx.oecd.org/public/rest/v1/</x:v>
      </x:c>
      <x:c r="I36" s="29" t="str">
        <x:v>OECD 统计与政策指标</x:v>
      </x:c>
      <x:c r="J36" s="29" t="str">
        <x:v>政策比较、国家排名与趋势</x:v>
      </x:c>
      <x:c r="K36" s="29" t="str">
        <x:v>发达经济体政策、教育、生产率和社会指标口径较完整。</x:v>
      </x:c>
      <x:c r="L36" s="29" t="str">
        <x:v>使用前核对数据口径、更新时间、许可与引用格式。</x:v>
      </x:c>
    </x:row>
    <x:row r="37" ht="48" customHeight="1">
      <x:c r="A37" s="29" t="str">
        <x:v>S</x:v>
      </x:c>
      <x:c r="B37" s="29" t="n">
        <x:v>95</x:v>
      </x:c>
      <x:c r="C37" s="29" t="str">
        <x:v>数据与可视化</x:v>
      </x:c>
      <x:c r="D37" s="29" t="str">
        <x:v>Tate Collection Data</x:v>
      </x:c>
      <x:c r="E37" s="29" t="str">
        <x:v>Platform</x:v>
      </x:c>
      <x:c r="F37" s="29" t="str">
        <x:v>Open</x:v>
      </x:c>
      <x:c r="G37" s="29" t="str">
        <x:v>证据源</x:v>
      </x:c>
      <x:c r="H37" s="29" t="str">
        <x:v>https://github.com/tategallery/collection</x:v>
      </x:c>
      <x:c r="I37" s="29" t="str">
        <x:v>英国艺术馆藏开放数据</x:v>
      </x:c>
      <x:c r="J37" s="29" t="str">
        <x:v>艺术家网络、媒介与年代图</x:v>
      </x:c>
      <x:c r="K37" s="29" t="str">
        <x:v>艺术家与作品元数据可下载，适合网络图和时间线。</x:v>
      </x:c>
      <x:c r="L37" s="29" t="str">
        <x:v>使用前核对数据口径、更新时间、许可与引用格式。</x:v>
      </x:c>
    </x:row>
    <x:row r="38" ht="48" customHeight="1">
      <x:c r="A38" s="29" t="str">
        <x:v>S</x:v>
      </x:c>
      <x:c r="B38" s="29" t="n">
        <x:v>95</x:v>
      </x:c>
      <x:c r="C38" s="29" t="str">
        <x:v>数据与可视化</x:v>
      </x:c>
      <x:c r="D38" s="29" t="str">
        <x:v>U.S. Census Data</x:v>
      </x:c>
      <x:c r="E38" s="29" t="str">
        <x:v>API</x:v>
      </x:c>
      <x:c r="F38" s="29" t="str">
        <x:v>Open</x:v>
      </x:c>
      <x:c r="G38" s="29" t="str">
        <x:v>证据源</x:v>
      </x:c>
      <x:c r="H38" s="29" t="str">
        <x:v>https://api.census.gov/data.html</x:v>
      </x:c>
      <x:c r="I38" s="29" t="str">
        <x:v>人口、住房与经济统计</x:v>
      </x:c>
      <x:c r="J38" s="29" t="str">
        <x:v>人口结构、地区差异与地图</x:v>
      </x:c>
      <x:c r="K38" s="29" t="str">
        <x:v>美国人口普查和社区调查的权威入口。</x:v>
      </x:c>
      <x:c r="L38" s="29" t="str">
        <x:v>使用前核对数据口径、更新时间、许可与引用格式。</x:v>
      </x:c>
    </x:row>
    <x:row r="39" ht="48" customHeight="1">
      <x:c r="A39" s="29" t="str">
        <x:v>S</x:v>
      </x:c>
      <x:c r="B39" s="29" t="n">
        <x:v>95</x:v>
      </x:c>
      <x:c r="C39" s="29" t="str">
        <x:v>数据与可视化</x:v>
      </x:c>
      <x:c r="D39" s="29" t="str">
        <x:v>UN Data</x:v>
      </x:c>
      <x:c r="E39" s="29" t="str">
        <x:v>Platform</x:v>
      </x:c>
      <x:c r="F39" s="29" t="str">
        <x:v>Open</x:v>
      </x:c>
      <x:c r="G39" s="29" t="str">
        <x:v>证据源</x:v>
      </x:c>
      <x:c r="H39" s="29" t="str">
        <x:v>https://data.un.org/</x:v>
      </x:c>
      <x:c r="I39" s="29" t="str">
        <x:v>联合国统计数据库</x:v>
      </x:c>
      <x:c r="J39" s="29" t="str">
        <x:v>国家比较、长期趋势</x:v>
      </x:c>
      <x:c r="K39" s="29" t="str">
        <x:v>跨人口、经济、环境和社会指标的联合国数据入口。</x:v>
      </x:c>
      <x:c r="L39" s="29" t="str">
        <x:v>使用前核对数据口径、更新时间、许可与引用格式。</x:v>
      </x:c>
    </x:row>
    <x:row r="40" ht="48" customHeight="1">
      <x:c r="A40" s="29" t="str">
        <x:v>S</x:v>
      </x:c>
      <x:c r="B40" s="29" t="n">
        <x:v>95</x:v>
      </x:c>
      <x:c r="C40" s="29" t="str">
        <x:v>天文与太空</x:v>
      </x:c>
      <x:c r="D40" s="29" t="str">
        <x:v>ESA Gaia Archive</x:v>
      </x:c>
      <x:c r="E40" s="29" t="str">
        <x:v>API</x:v>
      </x:c>
      <x:c r="F40" s="29" t="str">
        <x:v>Open</x:v>
      </x:c>
      <x:c r="G40" s="29" t="str">
        <x:v>证据源</x:v>
      </x:c>
      <x:c r="H40" s="29" t="str">
        <x:v>https://gea.esac.esa.int/tap-server/tap</x:v>
      </x:c>
      <x:c r="I40" s="29" t="str">
        <x:v>银河系测量与恒星目录</x:v>
      </x:c>
      <x:c r="J40" s="29" t="str">
        <x:v>银河系地图、恒星运动与距离</x:v>
      </x:c>
      <x:c r="K40" s="29" t="str">
        <x:v>Gaia 恒星位置、距离和运动数据是银河系可视化的核心。</x:v>
      </x:c>
      <x:c r="L40" s="29" t="str">
        <x:v>使用前核对数据口径、更新时间、许可与引用格式。</x:v>
      </x:c>
    </x:row>
    <x:row r="41" ht="48" customHeight="1">
      <x:c r="A41" s="29" t="str">
        <x:v>S</x:v>
      </x:c>
      <x:c r="B41" s="29" t="n">
        <x:v>95</x:v>
      </x:c>
      <x:c r="C41" s="29" t="str">
        <x:v>天文与太空</x:v>
      </x:c>
      <x:c r="D41" s="29" t="str">
        <x:v>JPL Horizons</x:v>
      </x:c>
      <x:c r="E41" s="29" t="str">
        <x:v>API</x:v>
      </x:c>
      <x:c r="F41" s="29" t="str">
        <x:v>Open</x:v>
      </x:c>
      <x:c r="G41" s="29" t="str">
        <x:v>证据源</x:v>
      </x:c>
      <x:c r="H41" s="29" t="str">
        <x:v>https://ssd.jpl.nasa.gov/api/horizons.api</x:v>
      </x:c>
      <x:c r="I41" s="29" t="str">
        <x:v>太阳系天体历表</x:v>
      </x:c>
      <x:c r="J41" s="29" t="str">
        <x:v>天象时间线、轨道与位置图</x:v>
      </x:c>
      <x:c r="K41" s="29" t="str">
        <x:v>获取行星、小天体和航天器的高精度位置与轨道。</x:v>
      </x:c>
      <x:c r="L41" s="29" t="str">
        <x:v>使用前核对数据口径、更新时间、许可与引用格式。</x:v>
      </x:c>
    </x:row>
    <x:row r="42" ht="48" customHeight="1">
      <x:c r="A42" s="29" t="str">
        <x:v>S</x:v>
      </x:c>
      <x:c r="B42" s="29" t="n">
        <x:v>95</x:v>
      </x:c>
      <x:c r="C42" s="29" t="str">
        <x:v>天文与太空</x:v>
      </x:c>
      <x:c r="D42" s="29" t="str">
        <x:v>MAST</x:v>
      </x:c>
      <x:c r="E42" s="29" t="str">
        <x:v>API</x:v>
      </x:c>
      <x:c r="F42" s="29" t="str">
        <x:v>Open</x:v>
      </x:c>
      <x:c r="G42" s="29" t="str">
        <x:v>证据源</x:v>
      </x:c>
      <x:c r="H42" s="29" t="str">
        <x:v>https://mast.stsci.edu/api/v0/</x:v>
      </x:c>
      <x:c r="I42" s="29" t="str">
        <x:v>空间望远镜档案</x:v>
      </x:c>
      <x:c r="J42" s="29" t="str">
        <x:v>任务观测、原始图像与光变曲线</x:v>
      </x:c>
      <x:c r="K42" s="29" t="str">
        <x:v>Hubble、JWST、TESS 等任务数据和观测产品的重要入口。</x:v>
      </x:c>
      <x:c r="L42" s="29" t="str">
        <x:v>使用前核对数据口径、更新时间、许可与引用格式。</x:v>
      </x:c>
    </x:row>
    <x:row r="43" ht="48" customHeight="1">
      <x:c r="A43" s="29" t="str">
        <x:v>S</x:v>
      </x:c>
      <x:c r="B43" s="29" t="n">
        <x:v>95</x:v>
      </x:c>
      <x:c r="C43" s="29" t="str">
        <x:v>天文与太空</x:v>
      </x:c>
      <x:c r="D43" s="29" t="str">
        <x:v>NASA ADS</x:v>
      </x:c>
      <x:c r="E43" s="29" t="str">
        <x:v>API</x:v>
      </x:c>
      <x:c r="F43" s="29" t="str">
        <x:v>Open</x:v>
      </x:c>
      <x:c r="G43" s="29" t="str">
        <x:v>证据源</x:v>
      </x:c>
      <x:c r="H43" s="29" t="str">
        <x:v>https://api.adsabs.harvard.edu/v1/</x:v>
      </x:c>
      <x:c r="I43" s="29" t="str">
        <x:v>天文物理论文数据库</x:v>
      </x:c>
      <x:c r="J43" s="29" t="str">
        <x:v>文献谱系、引用网络、研究史</x:v>
      </x:c>
      <x:c r="K43" s="29" t="str">
        <x:v>查作者、引用、相关论文和研究历史脉络能力强。</x:v>
      </x:c>
      <x:c r="L43" s="29" t="str">
        <x:v>无公共统一RSS；支持个人检索提醒和需令牌的官方API。</x:v>
      </x:c>
    </x:row>
    <x:row r="44" ht="48" customHeight="1">
      <x:c r="A44" s="29" t="str">
        <x:v>S</x:v>
      </x:c>
      <x:c r="B44" s="29" t="n">
        <x:v>95</x:v>
      </x:c>
      <x:c r="C44" s="29" t="str">
        <x:v>天文与太空</x:v>
      </x:c>
      <x:c r="D44" s="29" t="str">
        <x:v>NASA Exoplanet Archive</x:v>
      </x:c>
      <x:c r="E44" s="29" t="str">
        <x:v>API</x:v>
      </x:c>
      <x:c r="F44" s="29" t="str">
        <x:v>Open</x:v>
      </x:c>
      <x:c r="G44" s="29" t="str">
        <x:v>证据源</x:v>
      </x:c>
      <x:c r="H44" s="29" t="str">
        <x:v>https://exoplanetarchive.ipac.caltech.edu/TAP/</x:v>
      </x:c>
      <x:c r="I44" s="29" t="str">
        <x:v>系外行星数据库</x:v>
      </x:c>
      <x:c r="J44" s="29" t="str">
        <x:v>新行星数据卡、排行、可视化、事实核验</x:v>
      </x:c>
      <x:c r="K44" s="29" t="str">
        <x:v>权威结构化数据，可直接制作排行、卡片和图表。</x:v>
      </x:c>
      <x:c r="L44" s="29" t="str">
        <x:v>无统一RSS；官方TAP API文档和端点可用。</x:v>
      </x:c>
    </x:row>
    <x:row r="45" ht="48" customHeight="1">
      <x:c r="A45" s="29" t="str">
        <x:v>S</x:v>
      </x:c>
      <x:c r="B45" s="29" t="n">
        <x:v>95</x:v>
      </x:c>
      <x:c r="C45" s="29" t="str">
        <x:v>天文与太空</x:v>
      </x:c>
      <x:c r="D45" s="29" t="str">
        <x:v>NASA HEASARC</x:v>
      </x:c>
      <x:c r="E45" s="29" t="str">
        <x:v>API</x:v>
      </x:c>
      <x:c r="F45" s="29" t="str">
        <x:v>Open</x:v>
      </x:c>
      <x:c r="G45" s="29" t="str">
        <x:v>证据源</x:v>
      </x:c>
      <x:c r="H45" s="29" t="str">
        <x:v>https://heasarc.gsfc.nasa.gov/xamin/vo/tap</x:v>
      </x:c>
      <x:c r="I45" s="29" t="str">
        <x:v>高能天体物理档案</x:v>
      </x:c>
      <x:c r="J45" s="29" t="str">
        <x:v>黑洞、中子星与高能事件</x:v>
      </x:c>
      <x:c r="K45" s="29" t="str">
        <x:v>X 射线和伽马射线任务数据、目录与工具集中入口。</x:v>
      </x:c>
      <x:c r="L45" s="29" t="str">
        <x:v>使用前核对数据口径、更新时间、许可与引用格式。</x:v>
      </x:c>
    </x:row>
    <x:row r="46" ht="48" customHeight="1">
      <x:c r="A46" s="29" t="str">
        <x:v>S</x:v>
      </x:c>
      <x:c r="B46" s="29" t="n">
        <x:v>95</x:v>
      </x:c>
      <x:c r="C46" s="29" t="str">
        <x:v>天文与太空</x:v>
      </x:c>
      <x:c r="D46" s="29" t="str">
        <x:v>NASA/IPAC Extragalactic Database</x:v>
      </x:c>
      <x:c r="E46" s="29" t="str">
        <x:v>API</x:v>
      </x:c>
      <x:c r="F46" s="29" t="str">
        <x:v>Open</x:v>
      </x:c>
      <x:c r="G46" s="29" t="str">
        <x:v>证据源</x:v>
      </x:c>
      <x:c r="H46" s="29" t="str">
        <x:v>https://ned.ipac.caltech.edu/tap</x:v>
      </x:c>
      <x:c r="I46" s="29" t="str">
        <x:v>河外天体与红移数据</x:v>
      </x:c>
      <x:c r="J46" s="29" t="str">
        <x:v>星系数据、距离与红移解释</x:v>
      </x:c>
      <x:c r="K46" s="29" t="str">
        <x:v>星系、类星体等河外天体的交叉标识、红移与文献入口。</x:v>
      </x:c>
      <x:c r="L46" s="29" t="str">
        <x:v>使用前核对数据口径、更新时间、许可与引用格式。</x:v>
      </x:c>
    </x:row>
    <x:row r="47" ht="48" customHeight="1">
      <x:c r="A47" s="29" t="str">
        <x:v>S</x:v>
      </x:c>
      <x:c r="B47" s="29" t="n">
        <x:v>95</x:v>
      </x:c>
      <x:c r="C47" s="29" t="str">
        <x:v>天文与太空</x:v>
      </x:c>
      <x:c r="D47" s="29" t="str">
        <x:v>SIMBAD Astronomical Database</x:v>
      </x:c>
      <x:c r="E47" s="29" t="str">
        <x:v>API</x:v>
      </x:c>
      <x:c r="F47" s="29" t="str">
        <x:v>Open</x:v>
      </x:c>
      <x:c r="G47" s="29" t="str">
        <x:v>证据源</x:v>
      </x:c>
      <x:c r="H47" s="29" t="str">
        <x:v>https://simbad.cds.unistra.fr/simbad/sim-tap</x:v>
      </x:c>
      <x:c r="I47" s="29" t="str">
        <x:v>天体标识与文献</x:v>
      </x:c>
      <x:c r="J47" s="29" t="str">
        <x:v>天体档案、名称辨析、坐标图</x:v>
      </x:c>
      <x:c r="K47" s="29" t="str">
        <x:v>查天体名称、坐标、类型与参考文献的权威入口。</x:v>
      </x:c>
      <x:c r="L47" s="29" t="str">
        <x:v>使用前核对数据口径、更新时间、许可与引用格式。</x:v>
      </x:c>
    </x:row>
    <x:row r="48" ht="48" customHeight="1">
      <x:c r="A48" s="29" t="str">
        <x:v>S</x:v>
      </x:c>
      <x:c r="B48" s="29" t="n">
        <x:v>95</x:v>
      </x:c>
      <x:c r="C48" s="29" t="str">
        <x:v>天文与太空</x:v>
      </x:c>
      <x:c r="D48" s="29" t="str">
        <x:v>VizieR</x:v>
      </x:c>
      <x:c r="E48" s="29" t="str">
        <x:v>API</x:v>
      </x:c>
      <x:c r="F48" s="29" t="str">
        <x:v>Open</x:v>
      </x:c>
      <x:c r="G48" s="29" t="str">
        <x:v>证据源</x:v>
      </x:c>
      <x:c r="H48" s="29" t="str">
        <x:v>https://tapvizier.cds.unistra.fr/TAPVizieR/tap</x:v>
      </x:c>
      <x:c r="I48" s="29" t="str">
        <x:v>天文星表与巡天目录</x:v>
      </x:c>
      <x:c r="J48" s="29" t="str">
        <x:v>星表可视化、巡天比较</x:v>
      </x:c>
      <x:c r="K48" s="29" t="str">
        <x:v>将已发表星表集中为可查询数据，适合可视化和复核数值。</x:v>
      </x:c>
      <x:c r="L48" s="29" t="str">
        <x:v>使用前核对数据口径、更新时间、许可与引用格式。</x:v>
      </x:c>
    </x:row>
    <x:row r="49" ht="48" customHeight="1">
      <x:c r="A49" s="29" t="str">
        <x:v>S</x:v>
      </x:c>
      <x:c r="B49" s="29" t="n">
        <x:v>95</x:v>
      </x:c>
      <x:c r="C49" s="29" t="str">
        <x:v>新闻与调查</x:v>
      </x:c>
      <x:c r="D49" s="29" t="str">
        <x:v>SIPRI Databases</x:v>
      </x:c>
      <x:c r="E49" s="29" t="str">
        <x:v>Platform</x:v>
      </x:c>
      <x:c r="F49" s="29" t="str">
        <x:v>Open</x:v>
      </x:c>
      <x:c r="G49" s="29" t="str">
        <x:v>证据源</x:v>
      </x:c>
      <x:c r="H49" s="29" t="str">
        <x:v>https://www.sipri.org/databases</x:v>
      </x:c>
      <x:c r="I49" s="29" t="str">
        <x:v>军费、武器转移与和平安全</x:v>
      </x:c>
      <x:c r="J49" s="29" t="str">
        <x:v>国防数据、长期趋势与国家比较</x:v>
      </x:c>
      <x:c r="K49" s="29" t="str">
        <x:v>军费、武器转移和维和数据的权威入口。</x:v>
      </x:c>
      <x:c r="L49" s="29" t="str">
        <x:v>使用前核对数据口径、更新时间、许可与引用格式。</x:v>
      </x:c>
    </x:row>
    <x:row r="50" ht="48" customHeight="1">
      <x:c r="A50" s="29" t="str">
        <x:v>S</x:v>
      </x:c>
      <x:c r="B50" s="29" t="n">
        <x:v>95</x:v>
      </x:c>
      <x:c r="C50" s="29" t="str">
        <x:v>新闻与调查</x:v>
      </x:c>
      <x:c r="D50" s="29" t="str">
        <x:v>UCDP</x:v>
      </x:c>
      <x:c r="E50" s="29" t="str">
        <x:v>API</x:v>
      </x:c>
      <x:c r="F50" s="29" t="str">
        <x:v>Open</x:v>
      </x:c>
      <x:c r="G50" s="29" t="str">
        <x:v>证据源</x:v>
      </x:c>
      <x:c r="H50" s="29" t="str">
        <x:v>https://ucdp.uu.se/apidocs/</x:v>
      </x:c>
      <x:c r="I50" s="29" t="str">
        <x:v>武装冲突数据</x:v>
      </x:c>
      <x:c r="J50" s="29" t="str">
        <x:v>战争趋势、冲突定义与长期比较</x:v>
      </x:c>
      <x:c r="K50" s="29" t="str">
        <x:v>定义明确、长期可比的国家和事件级冲突数据。</x:v>
      </x:c>
      <x:c r="L50" s="29" t="str">
        <x:v>使用前核对数据口径、更新时间、许可与引用格式。</x:v>
      </x:c>
    </x:row>
    <x:row r="51" ht="48" customHeight="1">
      <x:c r="A51" s="29" t="str">
        <x:v>S</x:v>
      </x:c>
      <x:c r="B51" s="29" t="n">
        <x:v>95</x:v>
      </x:c>
      <x:c r="C51" s="29" t="str">
        <x:v>艺术、设计与建筑</x:v>
      </x:c>
      <x:c r="D51" s="29" t="str">
        <x:v>Art Institute of Chicago API</x:v>
      </x:c>
      <x:c r="E51" s="29" t="str">
        <x:v>API</x:v>
      </x:c>
      <x:c r="F51" s="29" t="str">
        <x:v>Open</x:v>
      </x:c>
      <x:c r="G51" s="29" t="str">
        <x:v>证据源</x:v>
      </x:c>
      <x:c r="H51" s="29" t="str">
        <x:v>https://api.artic.edu/docs/</x:v>
      </x:c>
      <x:c r="I51" s="29" t="str">
        <x:v>艺术馆藏与 IIIF</x:v>
      </x:c>
      <x:c r="J51" s="29" t="str">
        <x:v>作品图卡、策展主题、IIIF 图像</x:v>
      </x:c>
      <x:c r="K51" s="29" t="str">
        <x:v>开放 API 与 IIIF 图像接口清晰，方便做可追溯视觉素材。</x:v>
      </x:c>
      <x:c r="L51" s="29" t="str">
        <x:v>使用前核对数据口径、更新时间、许可与引用格式。</x:v>
      </x:c>
    </x:row>
    <x:row r="52" ht="48" customHeight="1">
      <x:c r="A52" s="29" t="str">
        <x:v>S</x:v>
      </x:c>
      <x:c r="B52" s="29" t="n">
        <x:v>95</x:v>
      </x:c>
      <x:c r="C52" s="29" t="str">
        <x:v>艺术、设计与建筑</x:v>
      </x:c>
      <x:c r="D52" s="29" t="str">
        <x:v>British Museum Collection</x:v>
      </x:c>
      <x:c r="E52" s="29" t="str">
        <x:v>Platform</x:v>
      </x:c>
      <x:c r="F52" s="29" t="str">
        <x:v>Open</x:v>
      </x:c>
      <x:c r="G52" s="29" t="str">
        <x:v>证据源</x:v>
      </x:c>
      <x:c r="H52" s="29" t="str">
        <x:v>https://www.britishmuseum.org/collection</x:v>
      </x:c>
      <x:c r="I52" s="29" t="str">
        <x:v>世界文化与考古藏品</x:v>
      </x:c>
      <x:c r="J52" s="29" t="str">
        <x:v>文物故事、文明比较</x:v>
      </x:c>
      <x:c r="K52" s="29" t="str">
        <x:v>跨文明器物和考古信息密集，适合物件驱动的历史叙事。</x:v>
      </x:c>
      <x:c r="L52" s="29" t="str">
        <x:v>对出处、归属与文化敏感性保持谨慎；逐项核对图像许可。</x:v>
      </x:c>
    </x:row>
    <x:row r="53" ht="48" customHeight="1">
      <x:c r="A53" s="29" t="str">
        <x:v>S</x:v>
      </x:c>
      <x:c r="B53" s="29" t="n">
        <x:v>95</x:v>
      </x:c>
      <x:c r="C53" s="29" t="str">
        <x:v>艺术、设计与建筑</x:v>
      </x:c>
      <x:c r="D53" s="29" t="str">
        <x:v>Cleveland Museum of Art Open Access</x:v>
      </x:c>
      <x:c r="E53" s="29" t="str">
        <x:v>API</x:v>
      </x:c>
      <x:c r="F53" s="29" t="str">
        <x:v>Open</x:v>
      </x:c>
      <x:c r="G53" s="29" t="str">
        <x:v>证据源</x:v>
      </x:c>
      <x:c r="H53" s="29" t="str">
        <x:v>https://openaccess-api.clevelandart.org/</x:v>
      </x:c>
      <x:c r="I53" s="29" t="str">
        <x:v>开放馆藏图像</x:v>
      </x:c>
      <x:c r="J53" s="29" t="str">
        <x:v>作品故事、风格与年代比较</x:v>
      </x:c>
      <x:c r="K53" s="29" t="str">
        <x:v>开放图像和元数据许可清晰，适合高质量艺术内容。</x:v>
      </x:c>
      <x:c r="L53" s="29" t="str">
        <x:v>使用前核对数据口径、更新时间、许可与引用格式。</x:v>
      </x:c>
    </x:row>
    <x:row r="54" ht="48" customHeight="1">
      <x:c r="A54" s="29" t="str">
        <x:v>S</x:v>
      </x:c>
      <x:c r="B54" s="29" t="n">
        <x:v>95</x:v>
      </x:c>
      <x:c r="C54" s="29" t="str">
        <x:v>艺术、设计与建筑</x:v>
      </x:c>
      <x:c r="D54" s="29" t="str">
        <x:v>Gallica</x:v>
      </x:c>
      <x:c r="E54" s="29" t="str">
        <x:v>API</x:v>
      </x:c>
      <x:c r="F54" s="29" t="str">
        <x:v>Open</x:v>
      </x:c>
      <x:c r="G54" s="29" t="str">
        <x:v>证据源</x:v>
      </x:c>
      <x:c r="H54" s="29" t="str">
        <x:v>https://api.bnf.fr/</x:v>
      </x:c>
      <x:c r="I54" s="29" t="str">
        <x:v>法国国家图书馆数字馆藏</x:v>
      </x:c>
      <x:c r="J54" s="29" t="str">
        <x:v>法国史、设计史、旧版画</x:v>
      </x:c>
      <x:c r="K54" s="29" t="str">
        <x:v>旧报刊、书籍、地图、乐谱与图像质量高。</x:v>
      </x:c>
      <x:c r="L54" s="29" t="str">
        <x:v>查看 Gallica/BnF 的复用与署名条款。</x:v>
      </x:c>
    </x:row>
    <x:row r="55" ht="48" customHeight="1">
      <x:c r="A55" s="29" t="str">
        <x:v>S</x:v>
      </x:c>
      <x:c r="B55" s="29" t="n">
        <x:v>95</x:v>
      </x:c>
      <x:c r="C55" s="29" t="str">
        <x:v>艺术、设计与建筑</x:v>
      </x:c>
      <x:c r="D55" s="29" t="str">
        <x:v>Rijksmuseum Collection</x:v>
      </x:c>
      <x:c r="E55" s="29" t="str">
        <x:v>API</x:v>
      </x:c>
      <x:c r="F55" s="29" t="str">
        <x:v>Open</x:v>
      </x:c>
      <x:c r="G55" s="29" t="str">
        <x:v>证据源</x:v>
      </x:c>
      <x:c r="H55" s="29" t="str">
        <x:v>https://data.rijksmuseum.nl/</x:v>
      </x:c>
      <x:c r="I55" s="29" t="str">
        <x:v>荷兰国家博物馆馆藏</x:v>
      </x:c>
      <x:c r="J55" s="29" t="str">
        <x:v>作品细节、艺术史与视觉拆解</x:v>
      </x:c>
      <x:c r="K55" s="29" t="str">
        <x:v>高分辨率艺术图像与精细元数据，适合局部细节叙事。</x:v>
      </x:c>
      <x:c r="L55" s="29" t="str">
        <x:v>使用前核对数据口径、更新时间、许可与引用格式。</x:v>
      </x:c>
    </x:row>
    <x:row r="56" ht="48" customHeight="1">
      <x:c r="A56" s="29" t="str">
        <x:v>S</x:v>
      </x:c>
      <x:c r="B56" s="29" t="n">
        <x:v>95</x:v>
      </x:c>
      <x:c r="C56" s="29" t="str">
        <x:v>艺术、设计与建筑</x:v>
      </x:c>
      <x:c r="D56" s="29" t="str">
        <x:v>Smithsonian Open Access</x:v>
      </x:c>
      <x:c r="E56" s="29" t="str">
        <x:v>API</x:v>
      </x:c>
      <x:c r="F56" s="29" t="str">
        <x:v>Open</x:v>
      </x:c>
      <x:c r="G56" s="29" t="str">
        <x:v>证据源</x:v>
      </x:c>
      <x:c r="H56" s="29" t="str">
        <x:v>https://api.si.edu/openaccess/api/v1.0/</x:v>
      </x:c>
      <x:c r="I56" s="29" t="str">
        <x:v>跨博物馆开放馆藏</x:v>
      </x:c>
      <x:c r="J56" s="29" t="str">
        <x:v>跨学科馆藏、历史图像与 3D</x:v>
      </x:c>
      <x:c r="K56" s="29" t="str">
        <x:v>覆盖艺术、历史、航空航天与自然史，多模态素材丰富。</x:v>
      </x:c>
      <x:c r="L56" s="29" t="str">
        <x:v>区分 CC0 开放资产与仅供浏览项目；保留条目 ID 和机构名。</x:v>
      </x:c>
    </x:row>
    <x:row r="57" ht="48" customHeight="1">
      <x:c r="A57" s="29" t="str">
        <x:v>S</x:v>
      </x:c>
      <x:c r="B57" s="29" t="n">
        <x:v>95</x:v>
      </x:c>
      <x:c r="C57" s="29" t="str">
        <x:v>艺术、设计与建筑</x:v>
      </x:c>
      <x:c r="D57" s="29" t="str">
        <x:v>The Met Collection API</x:v>
      </x:c>
      <x:c r="E57" s="29" t="str">
        <x:v>API</x:v>
      </x:c>
      <x:c r="F57" s="29" t="str">
        <x:v>Open</x:v>
      </x:c>
      <x:c r="G57" s="29" t="str">
        <x:v>证据源</x:v>
      </x:c>
      <x:c r="H57" s="29" t="str">
        <x:v>https://collectionapi.metmuseum.org/public/collection/v1/</x:v>
      </x:c>
      <x:c r="I57" s="29" t="str">
        <x:v>博物馆藏品与开放图像</x:v>
      </x:c>
      <x:c r="J57" s="29" t="str">
        <x:v>艺术作品图卡、年代与流派比较</x:v>
      </x:c>
      <x:c r="K57" s="29" t="str">
        <x:v>数十万件藏品元数据，开放图像标记清晰，适合艺术史图卡。</x:v>
      </x:c>
      <x:c r="L57" s="29" t="str">
        <x:v>只复用明确标记 Public Domain/Open Access 的图像，并署名作品与机构。</x:v>
      </x:c>
    </x:row>
    <x:row r="58" ht="48" customHeight="1">
      <x:c r="A58" s="29" t="str">
        <x:v>S</x:v>
      </x:c>
      <x:c r="B58" s="29" t="n">
        <x:v>95</x:v>
      </x:c>
      <x:c r="C58" s="29" t="str">
        <x:v>艺术、设计与建筑</x:v>
      </x:c>
      <x:c r="D58" s="29" t="str">
        <x:v>V&amp;A Collections</x:v>
      </x:c>
      <x:c r="E58" s="29" t="str">
        <x:v>API</x:v>
      </x:c>
      <x:c r="F58" s="29" t="str">
        <x:v>Open</x:v>
      </x:c>
      <x:c r="G58" s="29" t="str">
        <x:v>证据源</x:v>
      </x:c>
      <x:c r="H58" s="29" t="str">
        <x:v>https://api.vam.ac.uk/v2/</x:v>
      </x:c>
      <x:c r="I58" s="29" t="str">
        <x:v>装饰艺术、设计与时尚</x:v>
      </x:c>
      <x:c r="J58" s="29" t="str">
        <x:v>设计史、物件故事、风格演变</x:v>
      </x:c>
      <x:c r="K58" s="29" t="str">
        <x:v>设计史、时尚、器物与海报资源尤其强。</x:v>
      </x:c>
      <x:c r="L58" s="29" t="str">
        <x:v>使用前核对数据口径、更新时间、许可与引用格式。</x:v>
      </x:c>
    </x:row>
    <x:row r="59" ht="48" customHeight="1">
      <x:c r="A59" s="29" t="str">
        <x:v>S</x:v>
      </x:c>
      <x:c r="B59" s="29" t="n">
        <x:v>95</x:v>
      </x:c>
      <x:c r="C59" s="29" t="str">
        <x:v>AI、科技与工程</x:v>
      </x:c>
      <x:c r="D59" s="29" t="str">
        <x:v>GitHub Engineering</x:v>
      </x:c>
      <x:c r="E59" s="29" t="str">
        <x:v>RSS</x:v>
      </x:c>
      <x:c r="F59" s="29" t="str">
        <x:v>Open</x:v>
      </x:c>
      <x:c r="G59" s="29" t="str">
        <x:v>证据源</x:v>
      </x:c>
      <x:c r="H59" s="29" t="str">
        <x:v>https://github.blog/engineering/feed/</x:v>
      </x:c>
      <x:c r="I59" s="29" t="str">
        <x:v>平台工程与开发者体验</x:v>
      </x:c>
      <x:c r="J59" s="29" t="str">
        <x:v>架构拆解、开发者体验、工程效率</x:v>
      </x:c>
      <x:c r="K59" s="29" t="str">
        <x:v>大型代码协作平台的一手架构和工程案例。</x:v>
      </x:c>
      <x:c r="L59" s="29" t="str">
        <x:v>Engineering分类Feed已核验。</x:v>
      </x:c>
    </x:row>
    <x:row r="60" ht="48" customHeight="1">
      <x:c r="A60" s="29" t="str">
        <x:v>S</x:v>
      </x:c>
      <x:c r="B60" s="29" t="n">
        <x:v>94</x:v>
      </x:c>
      <x:c r="C60" s="29" t="str">
        <x:v>心理、认知与情商</x:v>
      </x:c>
      <x:c r="D60" s="29" t="str">
        <x:v>PubMed：心理学与心理健康系统综述检索</x:v>
      </x:c>
      <x:c r="E60" s="29" t="str">
        <x:v>API</x:v>
      </x:c>
      <x:c r="F60" s="29" t="str">
        <x:v>元数据与摘要开放；全文依来源而定</x:v>
      </x:c>
      <x:c r="G60" s="29" t="str">
        <x:v>证据源</x:v>
      </x:c>
      <x:c r="H60" s="29" t="str">
        <x:v>https://eutils.ncbi.nlm.nih.gov/entrez/eutils/</x:v>
      </x:c>
      <x:c r="I60" s="29" t="str">
        <x:v>系统综述数据库检索</x:v>
      </x:c>
      <x:c r="J60" s="29" t="str">
        <x:v>医学研究溯源、主题趋势；对争议性健康主张先查综述，再下钻原始研究；不要把检索命中数当结论。；论文溯源、系统检索、研究趋势、反向核验</x:v>
      </x:c>
      <x:c r="K60" s="29" t="str">
        <x:v>用 MeSH 与出版类型限定，持续追踪心理与心理健康领域的新系统综述和元分析。</x:v>
      </x:c>
      <x:c r="L60" s="29" t="str">
        <x:v>数据库记录不是临床建议；检查研究设计、样本和系统综述层级。；2026-08-17：PubMed 主页 200；NCBI E-utilities 查询 200，JSON 已确认。；2026-08-17 实测主页 200，E-utilities ESearch 返回 JSON；批量调用须遵守 NCBI 速率规则。PubMed 收录不等于研究结论可靠，仍需评估设计与偏倚；不替代个体医疗建议。</x:v>
      </x:c>
    </x:row>
    <x:row r="61" ht="48" customHeight="1">
      <x:c r="A61" s="29" t="str">
        <x:v>S</x:v>
      </x:c>
      <x:c r="B61" s="29" t="n">
        <x:v>93</x:v>
      </x:c>
      <x:c r="C61" s="29" t="str">
        <x:v>地球、地理与城市</x:v>
      </x:c>
      <x:c r="D61" s="29" t="str">
        <x:v>GeoNames</x:v>
      </x:c>
      <x:c r="E61" s="29" t="str">
        <x:v>API</x:v>
      </x:c>
      <x:c r="F61" s="29" t="str">
        <x:v>Freemium</x:v>
      </x:c>
      <x:c r="G61" s="29" t="str">
        <x:v>证据源</x:v>
      </x:c>
      <x:c r="H61" s="29" t="str">
        <x:v>https://www.geonames.org/export/web-services.html</x:v>
      </x:c>
      <x:c r="I61" s="29" t="str">
        <x:v>全球地名与行政区</x:v>
      </x:c>
      <x:c r="J61" s="29" t="str">
        <x:v>地名解释、地理实体对照</x:v>
      </x:c>
      <x:c r="K61" s="29" t="str">
        <x:v>适合地名标准化、坐标与行政层级补全。</x:v>
      </x:c>
      <x:c r="L61" s="29" t="str">
        <x:v>使用前核对数据口径、更新时间、许可与引用格式。</x:v>
      </x:c>
    </x:row>
    <x:row r="62" ht="48" customHeight="1">
      <x:c r="A62" s="29" t="str">
        <x:v>S</x:v>
      </x:c>
      <x:c r="B62" s="29" t="n">
        <x:v>93</x:v>
      </x:c>
      <x:c r="C62" s="29" t="str">
        <x:v>地球、地理与城市</x:v>
      </x:c>
      <x:c r="D62" s="29" t="str">
        <x:v>USGS EarthExplorer</x:v>
      </x:c>
      <x:c r="E62" s="29" t="str">
        <x:v>Platform</x:v>
      </x:c>
      <x:c r="F62" s="29" t="str">
        <x:v>Open</x:v>
      </x:c>
      <x:c r="G62" s="29" t="str">
        <x:v>证据源</x:v>
      </x:c>
      <x:c r="H62" s="29" t="str">
        <x:v>https://earthexplorer.usgs.gov/</x:v>
      </x:c>
      <x:c r="I62" s="29" t="str">
        <x:v>遥感影像与地形数据</x:v>
      </x:c>
      <x:c r="J62" s="29" t="str">
        <x:v>城市变化、地貌与时间对比</x:v>
      </x:c>
      <x:c r="K62" s="29" t="str">
        <x:v>Landsat、航片和高程等经典地理数据入口。</x:v>
      </x:c>
      <x:c r="L62" s="29" t="str">
        <x:v>使用前核对数据口径、更新时间、许可与引用格式。</x:v>
      </x:c>
    </x:row>
    <x:row r="63" ht="48" customHeight="1">
      <x:c r="A63" s="29" t="str">
        <x:v>S</x:v>
      </x:c>
      <x:c r="B63" s="29" t="n">
        <x:v>93</x:v>
      </x:c>
      <x:c r="C63" s="29" t="str">
        <x:v>地球、地理与城市</x:v>
      </x:c>
      <x:c r="D63" s="29" t="str">
        <x:v>WorldClim</x:v>
      </x:c>
      <x:c r="E63" s="29" t="str">
        <x:v>Platform</x:v>
      </x:c>
      <x:c r="F63" s="29" t="str">
        <x:v>Open</x:v>
      </x:c>
      <x:c r="G63" s="29" t="str">
        <x:v>证据源</x:v>
      </x:c>
      <x:c r="H63" s="29" t="str">
        <x:v>https://www.worldclim.org/</x:v>
      </x:c>
      <x:c r="I63" s="29" t="str">
        <x:v>全球气候栅格</x:v>
      </x:c>
      <x:c r="J63" s="29" t="str">
        <x:v>气候带、物种分布与情景比较</x:v>
      </x:c>
      <x:c r="K63" s="29" t="str">
        <x:v>提供历史和未来温度、降水等高分辨率气候层。</x:v>
      </x:c>
      <x:c r="L63" s="29" t="str">
        <x:v>使用前核对数据口径、更新时间、许可与引用格式。</x:v>
      </x:c>
    </x:row>
    <x:row r="64" ht="48" customHeight="1">
      <x:c r="A64" s="29" t="str">
        <x:v>S</x:v>
      </x:c>
      <x:c r="B64" s="29" t="n">
        <x:v>93</x:v>
      </x:c>
      <x:c r="C64" s="29" t="str">
        <x:v>健康与福祉</x:v>
      </x:c>
      <x:c r="D64" s="29" t="str">
        <x:v>AHRQ Evidence-based Practice Center Reports</x:v>
      </x:c>
      <x:c r="E64" s="29" t="str">
        <x:v>Platform</x:v>
      </x:c>
      <x:c r="F64" s="29" t="str">
        <x:v>Open</x:v>
      </x:c>
      <x:c r="G64" s="29" t="str">
        <x:v>证据源</x:v>
      </x:c>
      <x:c r="H64" s="29" t="str">
        <x:v>https://www.ahrq.gov/research/findings/evidence-based-reports/index.html</x:v>
      </x:c>
      <x:c r="I64" s="29" t="str">
        <x:v>证据综合与卫生服务</x:v>
      </x:c>
      <x:c r="J64" s="29" t="str">
        <x:v>证据全景、医疗质量、方法论、研究缺口</x:v>
      </x:c>
      <x:c r="K64" s="29" t="str">
        <x:v>为指南、覆盖决策和质量改进提供全面的证据综合。</x:v>
      </x:c>
      <x:c r="L64" s="29" t="str">
        <x:v>官方页面已浏览确认；2026-08-17 自动 GET 返回 405，但搜索抓取内容可达。未收录稳定统一 RSS，引用时链接具体报告；不替代个体医疗建议。</x:v>
      </x:c>
    </x:row>
    <x:row r="65" ht="48" customHeight="1">
      <x:c r="A65" s="29" t="str">
        <x:v>S</x:v>
      </x:c>
      <x:c r="B65" s="29" t="n">
        <x:v>93</x:v>
      </x:c>
      <x:c r="C65" s="29" t="str">
        <x:v>健康与福祉</x:v>
      </x:c>
      <x:c r="D65" s="29" t="str">
        <x:v>ClinicalTrials.gov</x:v>
      </x:c>
      <x:c r="E65" s="29" t="str">
        <x:v>API</x:v>
      </x:c>
      <x:c r="F65" s="29" t="str">
        <x:v>Open</x:v>
      </x:c>
      <x:c r="G65" s="29" t="str">
        <x:v>证据源</x:v>
      </x:c>
      <x:c r="H65" s="29" t="str">
        <x:v>https://clinicaltrials.gov/api/v2/studies</x:v>
      </x:c>
      <x:c r="I65" s="29" t="str">
        <x:v>临床试验注册</x:v>
      </x:c>
      <x:c r="J65" s="29" t="str">
        <x:v>试验进度、预注册核验、终点与结果对照</x:v>
      </x:c>
      <x:c r="K65" s="29" t="str">
        <x:v>核验一项研究是否预注册、主要终点是否改变、结果是否发布的重要来源。</x:v>
      </x:c>
      <x:c r="L65" s="29" t="str">
        <x:v>2026-08-17 实测主页 200，v2 API 返回 JSON。注册信息由提交者提供，注册不等于疗效或监管批准；不替代个体医疗建议。</x:v>
      </x:c>
    </x:row>
    <x:row r="66" ht="48" customHeight="1">
      <x:c r="A66" s="29" t="str">
        <x:v>S</x:v>
      </x:c>
      <x:c r="B66" s="29" t="n">
        <x:v>93</x:v>
      </x:c>
      <x:c r="C66" s="29" t="str">
        <x:v>健康与福祉</x:v>
      </x:c>
      <x:c r="D66" s="29" t="str">
        <x:v>National Institute of Mental Health</x:v>
      </x:c>
      <x:c r="E66" s="29" t="str">
        <x:v>Platform</x:v>
      </x:c>
      <x:c r="F66" s="29" t="str">
        <x:v>Open</x:v>
      </x:c>
      <x:c r="G66" s="29" t="str">
        <x:v>证据源</x:v>
      </x:c>
      <x:c r="H66" s="29" t="str">
        <x:v>https://www.nimh.nih.gov/news</x:v>
      </x:c>
      <x:c r="I66" s="29" t="str">
        <x:v>精神健康科研与科普</x:v>
      </x:c>
      <x:c r="J66" s="29" t="str">
        <x:v>用于心理健康数据、机制研究和政策背景；优先引用其研究报告或所链接论文。；精神健康科普、研究进展、统计与求助资源</x:v>
      </x:c>
      <x:c r="K66" s="29" t="str">
        <x:v>美国国家级精神健康研究机构，适合核对疾病概念、研究进展与统计口径。</x:v>
      </x:c>
      <x:c r="L66" s="29" t="str">
        <x:v>2026-08-17：官方新闻主页 200；未在当前页面发现固定 RSS，建议网页巡检或邮件订阅。；2026-08-17 实测主页 200；旧 Atom 路径已失效，未收录不稳定 Feed。精神健康内容应避免自我诊断和污名化，并在危机话题中提供当地专业求助渠道。</x:v>
      </x:c>
    </x:row>
    <x:row r="67" ht="48" customHeight="1">
      <x:c r="A67" s="29" t="str">
        <x:v>S</x:v>
      </x:c>
      <x:c r="B67" s="29" t="n">
        <x:v>93</x:v>
      </x:c>
      <x:c r="C67" s="29" t="str">
        <x:v>健康与福祉</x:v>
      </x:c>
      <x:c r="D67" s="29" t="str">
        <x:v>NICE Guidance</x:v>
      </x:c>
      <x:c r="E67" s="29" t="str">
        <x:v>Platform</x:v>
      </x:c>
      <x:c r="F67" s="29" t="str">
        <x:v>Open</x:v>
      </x:c>
      <x:c r="G67" s="29" t="str">
        <x:v>证据源</x:v>
      </x:c>
      <x:c r="H67" s="29" t="str">
        <x:v>https://www.nice.org.uk/guidance</x:v>
      </x:c>
      <x:c r="I67" s="29" t="str">
        <x:v>临床与公共卫生指南</x:v>
      </x:c>
      <x:c r="J67" s="29" t="str">
        <x:v>指南变化、推荐等级、临床路径</x:v>
      </x:c>
      <x:c r="K67" s="29" t="str">
        <x:v>基于系统证据和成本效益的指南平台，适合核对标准实践与推荐强度。</x:v>
      </x:c>
      <x:c r="L67" s="29" t="str">
        <x:v>2026-08-17 实测主页 200；官方有 Syndication/API 文档，但本库不填入可能变动的统一端点。适用情境以英国体系为主；不替代个体医疗建议。</x:v>
      </x:c>
    </x:row>
    <x:row r="68" ht="48" customHeight="1">
      <x:c r="A68" s="29" t="str">
        <x:v>S</x:v>
      </x:c>
      <x:c r="B68" s="29" t="n">
        <x:v>93</x:v>
      </x:c>
      <x:c r="C68" s="29" t="str">
        <x:v>健康与福祉</x:v>
      </x:c>
      <x:c r="D68" s="29" t="str">
        <x:v>U.S. Preventive Services Task Force</x:v>
      </x:c>
      <x:c r="E68" s="29" t="str">
        <x:v>Platform</x:v>
      </x:c>
      <x:c r="F68" s="29" t="str">
        <x:v>Open</x:v>
      </x:c>
      <x:c r="G68" s="29" t="str">
        <x:v>证据源</x:v>
      </x:c>
      <x:c r="H68" s="29" t="str">
        <x:v>https://www.uspreventiveservicestaskforce.org/uspstf/recommendation-topics</x:v>
      </x:c>
      <x:c r="I68" s="29" t="str">
        <x:v>预防医学指南</x:v>
      </x:c>
      <x:c r="J68" s="29" t="str">
        <x:v>筛查利弊、预防误区、推荐等级解释</x:v>
      </x:c>
      <x:c r="K68" s="29" t="str">
        <x:v>针对无症状人群的预防服务建议，方法公开且推荐等级清晰。</x:v>
      </x:c>
      <x:c r="L68" s="29" t="str">
        <x:v>2026-08-17 实测主页 200；未发现稳定官方 RSS，建议网页或邮件监测。推荐适用对象非常具体，发帖须写清年龄、风险组和等级；不替代个体医疗建议。</x:v>
      </x:c>
    </x:row>
    <x:row r="69" ht="48" customHeight="1">
      <x:c r="A69" s="29" t="str">
        <x:v>S</x:v>
      </x:c>
      <x:c r="B69" s="29" t="n">
        <x:v>93</x:v>
      </x:c>
      <x:c r="C69" s="29" t="str">
        <x:v>健康与福祉</x:v>
      </x:c>
      <x:c r="D69" s="29" t="str">
        <x:v>WHO Global Health Observatory</x:v>
      </x:c>
      <x:c r="E69" s="29" t="str">
        <x:v>API</x:v>
      </x:c>
      <x:c r="F69" s="29" t="str">
        <x:v>Open</x:v>
      </x:c>
      <x:c r="G69" s="29" t="str">
        <x:v>证据源</x:v>
      </x:c>
      <x:c r="H69" s="29" t="str">
        <x:v>https://ghoapi.azureedge.net/api/</x:v>
      </x:c>
      <x:c r="I69" s="29" t="str">
        <x:v>全球健康统计</x:v>
      </x:c>
      <x:c r="J69" s="29" t="str">
        <x:v>公共健康趋势、国家比较；全球地图、国家比较、长期趋势、公共卫生数据图</x:v>
      </x:c>
      <x:c r="K69" s="29" t="str">
        <x:v>适合制作全球和跨国健康比较，提供官方指标定义与可查询数据。</x:v>
      </x:c>
      <x:c r="L69" s="29" t="str">
        <x:v>指标定义、估算模型和报告延迟需随图说明。；2026-08-17 实测主页 200，OData API 返回 JSON。发帖应标注指标定义、年份、估计方法与缺失值；群体统计不用于个体诊断。</x:v>
      </x:c>
    </x:row>
    <x:row r="70" ht="48" customHeight="1">
      <x:c r="A70" s="29" t="str">
        <x:v>S</x:v>
      </x:c>
      <x:c r="B70" s="29" t="n">
        <x:v>93</x:v>
      </x:c>
      <x:c r="C70" s="29" t="str">
        <x:v>健康与福祉</x:v>
      </x:c>
      <x:c r="D70" s="29" t="str">
        <x:v>中华人民共和国国家卫生健康委员会</x:v>
      </x:c>
      <x:c r="E70" s="29" t="str">
        <x:v>Platform</x:v>
      </x:c>
      <x:c r="F70" s="29" t="str">
        <x:v>Open</x:v>
      </x:c>
      <x:c r="G70" s="29" t="str">
        <x:v>证据源</x:v>
      </x:c>
      <x:c r="H70" s="29" t="str">
        <x:v>https://www.nhc.gov.cn/</x:v>
      </x:c>
      <x:c r="I70" s="29" t="str">
        <x:v>卫生健康政策、指南与新闻发布</x:v>
      </x:c>
      <x:c r="J70" s="29" t="str">
        <x:v>政策原文、发布日期、官方统计口径与制度变化</x:v>
      </x:c>
      <x:c r="K70" s="29" t="str">
        <x:v>中国卫生健康政策、规范、新闻发布会和政策解读的一手入口。</x:v>
      </x:c>
      <x:c r="L70" s="29" t="str">
        <x:v>精确引用文件名称、文号、发布日期和适用范围；新闻稿不能替代完整技术指南。</x:v>
      </x:c>
    </x:row>
    <x:row r="71" ht="48" customHeight="1">
      <x:c r="A71" s="29" t="str">
        <x:v>S</x:v>
      </x:c>
      <x:c r="B71" s="29" t="n">
        <x:v>93</x:v>
      </x:c>
      <x:c r="C71" s="29" t="str">
        <x:v>历史与考古</x:v>
      </x:c>
      <x:c r="D71" s="29" t="str">
        <x:v>HathiTrust Digital Library</x:v>
      </x:c>
      <x:c r="E71" s="29" t="str">
        <x:v>Platform</x:v>
      </x:c>
      <x:c r="F71" s="29" t="str">
        <x:v>Varies</x:v>
      </x:c>
      <x:c r="G71" s="29" t="str">
        <x:v>证据源</x:v>
      </x:c>
      <x:c r="H71" s="29" t="str">
        <x:v>https://www.hathitrust.org/</x:v>
      </x:c>
      <x:c r="I71" s="29" t="str">
        <x:v>数字图书馆</x:v>
      </x:c>
      <x:c r="J71" s="29" t="str">
        <x:v>词频史、旧刊与原典</x:v>
      </x:c>
      <x:c r="K71" s="29" t="str">
        <x:v>大规模图书与期刊扫描，适合全文检索历史语料。</x:v>
      </x:c>
      <x:c r="L71" s="29" t="str">
        <x:v>全文访问受地域与版权限制；引用具体卷期和页码。</x:v>
      </x:c>
    </x:row>
    <x:row r="72" ht="48" customHeight="1">
      <x:c r="A72" s="29" t="str">
        <x:v>S</x:v>
      </x:c>
      <x:c r="B72" s="29" t="n">
        <x:v>93</x:v>
      </x:c>
      <x:c r="C72" s="29" t="str">
        <x:v>历史与考古</x:v>
      </x:c>
      <x:c r="D72" s="29" t="str">
        <x:v>Perseus Digital Library</x:v>
      </x:c>
      <x:c r="E72" s="29" t="str">
        <x:v>Platform</x:v>
      </x:c>
      <x:c r="F72" s="29" t="str">
        <x:v>Open</x:v>
      </x:c>
      <x:c r="G72" s="29" t="str">
        <x:v>证据源</x:v>
      </x:c>
      <x:c r="H72" s="29" t="str">
        <x:v>https://www.perseus.tufts.edu/</x:v>
      </x:c>
      <x:c r="I72" s="29" t="str">
        <x:v>古典文本与工具</x:v>
      </x:c>
      <x:c r="J72" s="29" t="str">
        <x:v>古典文本引用、概念词源</x:v>
      </x:c>
      <x:c r="K72" s="29" t="str">
        <x:v>希腊罗马原典、译文、词典与形态分析的一站入口。</x:v>
      </x:c>
      <x:c r="L72" s="29" t="str">
        <x:v>使用前核对数据口径、更新时间、许可与引用格式。</x:v>
      </x:c>
    </x:row>
    <x:row r="73" ht="48" customHeight="1">
      <x:c r="A73" s="29" t="str">
        <x:v>S</x:v>
      </x:c>
      <x:c r="B73" s="29" t="n">
        <x:v>93</x:v>
      </x:c>
      <x:c r="C73" s="29" t="str">
        <x:v>历史与考古</x:v>
      </x:c>
      <x:c r="D73" s="29" t="str">
        <x:v>Project Gutenberg</x:v>
      </x:c>
      <x:c r="E73" s="29" t="str">
        <x:v>Platform</x:v>
      </x:c>
      <x:c r="F73" s="29" t="str">
        <x:v>Open</x:v>
      </x:c>
      <x:c r="G73" s="29" t="str">
        <x:v>证据源</x:v>
      </x:c>
      <x:c r="H73" s="29" t="str">
        <x:v>https://www.gutenberg.org/ebooks/search/?sort_order=release_date</x:v>
      </x:c>
      <x:c r="I73" s="29" t="str">
        <x:v>公共领域电子书</x:v>
      </x:c>
      <x:c r="J73" s="29" t="str">
        <x:v>原典摘引、文学与思想史</x:v>
      </x:c>
      <x:c r="K73" s="29" t="str">
        <x:v>稳定获取经典原典和多种格式文本。</x:v>
      </x:c>
      <x:c r="L73" s="29" t="str">
        <x:v>公共领域判定因司法辖区而异；保留作品、译者、版本信息。</x:v>
      </x:c>
    </x:row>
    <x:row r="74" ht="48" customHeight="1">
      <x:c r="A74" s="29" t="str">
        <x:v>S</x:v>
      </x:c>
      <x:c r="B74" s="29" t="n">
        <x:v>93</x:v>
      </x:c>
      <x:c r="C74" s="29" t="str">
        <x:v>历史与考古</x:v>
      </x:c>
      <x:c r="D74" s="29" t="str">
        <x:v>Scripta Sinica</x:v>
      </x:c>
      <x:c r="E74" s="29" t="str">
        <x:v>Platform</x:v>
      </x:c>
      <x:c r="F74" s="29" t="str">
        <x:v>Varies</x:v>
      </x:c>
      <x:c r="G74" s="29" t="str">
        <x:v>证据源</x:v>
      </x:c>
      <x:c r="H74" s="29" t="str">
        <x:v>https://hanchi.ihp.sinica.edu.tw/</x:v>
      </x:c>
      <x:c r="I74" s="29" t="str">
        <x:v>汉籍全文</x:v>
      </x:c>
      <x:c r="J74" s="29" t="str">
        <x:v>中国史原典、人物与事件检索</x:v>
      </x:c>
      <x:c r="K74" s="29" t="str">
        <x:v>中央研究院史语所的汉籍全文资料入口。</x:v>
      </x:c>
      <x:c r="L74" s="29" t="str">
        <x:v>部分资源受机构权限限制；引用具体版本与卷页。</x:v>
      </x:c>
    </x:row>
    <x:row r="75" ht="48" customHeight="1">
      <x:c r="A75" s="29" t="str">
        <x:v>S</x:v>
      </x:c>
      <x:c r="B75" s="29" t="n">
        <x:v>93</x:v>
      </x:c>
      <x:c r="C75" s="29" t="str">
        <x:v>人文与跨学科</x:v>
      </x:c>
      <x:c r="D75" s="29" t="str">
        <x:v>Data Commons</x:v>
      </x:c>
      <x:c r="E75" s="29" t="str">
        <x:v>API</x:v>
      </x:c>
      <x:c r="F75" s="29" t="str">
        <x:v>Open</x:v>
      </x:c>
      <x:c r="G75" s="29" t="str">
        <x:v>证据源</x:v>
      </x:c>
      <x:c r="H75" s="29" t="str">
        <x:v>https://api.datacommons.org/</x:v>
      </x:c>
      <x:c r="I75" s="29" t="str">
        <x:v>公共统计知识图谱</x:v>
      </x:c>
      <x:c r="J75" s="29" t="str">
        <x:v>地区数据卡、指标关系、自动图表</x:v>
      </x:c>
      <x:c r="K75" s="29" t="str">
        <x:v>统一跨库实体，适合快速做城市、地区和国家比较。</x:v>
      </x:c>
      <x:c r="L75" s="29" t="str">
        <x:v>无RSS；官方API文档可用，引用时还应检查底层数据来源。</x:v>
      </x:c>
    </x:row>
    <x:row r="76" ht="48" customHeight="1">
      <x:c r="A76" s="29" t="str">
        <x:v>S</x:v>
      </x:c>
      <x:c r="B76" s="29" t="n">
        <x:v>93</x:v>
      </x:c>
      <x:c r="C76" s="29" t="str">
        <x:v>人文与跨学科</x:v>
      </x:c>
      <x:c r="D76" s="29" t="str">
        <x:v>World Bank Open Data</x:v>
      </x:c>
      <x:c r="E76" s="29" t="str">
        <x:v>API</x:v>
      </x:c>
      <x:c r="F76" s="29" t="str">
        <x:v>Open</x:v>
      </x:c>
      <x:c r="G76" s="29" t="str">
        <x:v>证据源</x:v>
      </x:c>
      <x:c r="H76" s="29" t="str">
        <x:v>https://api.worldbank.org/v2/</x:v>
      </x:c>
      <x:c r="I76" s="29" t="str">
        <x:v>全球发展指标</x:v>
      </x:c>
      <x:c r="J76" s="29" t="str">
        <x:v>国家比较、长期趋势、发展议题</x:v>
      </x:c>
      <x:c r="K76" s="29" t="str">
        <x:v>官方元数据、时间序列和可下载格式完善。</x:v>
      </x:c>
      <x:c r="L76" s="29" t="str">
        <x:v>无统一内容RSS；官方API可按国家和指标查询。</x:v>
      </x:c>
    </x:row>
    <x:row r="77" ht="48" customHeight="1">
      <x:c r="A77" s="29" t="str">
        <x:v>S</x:v>
      </x:c>
      <x:c r="B77" s="29" t="n">
        <x:v>93</x:v>
      </x:c>
      <x:c r="C77" s="29" t="str">
        <x:v>商业、管理与创新</x:v>
      </x:c>
      <x:c r="D77" s="29" t="str">
        <x:v>Chicago Booth Review</x:v>
      </x:c>
      <x:c r="E77" s="29" t="str">
        <x:v>Platform</x:v>
      </x:c>
      <x:c r="F77" s="29" t="str">
        <x:v>Open</x:v>
      </x:c>
      <x:c r="G77" s="29" t="str">
        <x:v>证据源</x:v>
      </x:c>
      <x:c r="H77" s="29" t="str">
        <x:v>https://www.chicagobooth.edu/review</x:v>
      </x:c>
      <x:c r="I77" s="29" t="str">
        <x:v>经济、金融与决策</x:v>
      </x:c>
      <x:c r="J77" s="29" t="str">
        <x:v>用数据检验一个流行商业叙事，并展示替代解释。</x:v>
      </x:c>
      <x:c r="K77" s="29" t="str">
        <x:v>依托芝加哥布斯学派研究传统，适合寻找数据、因果推断和相互竞争的经济解释。</x:v>
      </x:c>
      <x:c r="L77" s="29" t="str">
        <x:v>2026-08-17：官网返回200；常见RSS猜测地址均为404，按平台收录。</x:v>
      </x:c>
    </x:row>
    <x:row r="78" ht="48" customHeight="1">
      <x:c r="A78" s="29" t="str">
        <x:v>S</x:v>
      </x:c>
      <x:c r="B78" s="29" t="n">
        <x:v>93</x:v>
      </x:c>
      <x:c r="C78" s="29" t="str">
        <x:v>商业、管理与创新</x:v>
      </x:c>
      <x:c r="D78" s="29" t="str">
        <x:v>Columbia Business School Insights</x:v>
      </x:c>
      <x:c r="E78" s="29" t="str">
        <x:v>Platform</x:v>
      </x:c>
      <x:c r="F78" s="29" t="str">
        <x:v>Open</x:v>
      </x:c>
      <x:c r="G78" s="29" t="str">
        <x:v>证据源</x:v>
      </x:c>
      <x:c r="H78" s="29" t="str">
        <x:v>https://business.columbia.edu/insights</x:v>
      </x:c>
      <x:c r="I78" s="29" t="str">
        <x:v>商业研究与市场</x:v>
      </x:c>
      <x:c r="J78" s="29" t="str">
        <x:v>引用研究或教授观点，补充企业和市场层面的现实例子。</x:v>
      </x:c>
      <x:c r="K78" s="29" t="str">
        <x:v>连接哥伦比亚商学院教师研究与纽约商业生态，金融和组织议题具有一手性。</x:v>
      </x:c>
      <x:c r="L78" s="29" t="str">
        <x:v>2026-08-17：自动化访问受403挑战；未发现可稳定验证的官方RSS，按平台收录。</x:v>
      </x:c>
    </x:row>
    <x:row r="79" ht="48" customHeight="1">
      <x:c r="A79" s="29" t="str">
        <x:v>S</x:v>
      </x:c>
      <x:c r="B79" s="29" t="n">
        <x:v>93</x:v>
      </x:c>
      <x:c r="C79" s="29" t="str">
        <x:v>商业、管理与创新</x:v>
      </x:c>
      <x:c r="D79" s="29" t="str">
        <x:v>HBS Working Knowledge</x:v>
      </x:c>
      <x:c r="E79" s="29" t="str">
        <x:v>Platform</x:v>
      </x:c>
      <x:c r="F79" s="29" t="str">
        <x:v>Open</x:v>
      </x:c>
      <x:c r="G79" s="29" t="str">
        <x:v>证据源</x:v>
      </x:c>
      <x:c r="H79" s="29" t="str">
        <x:v>https://www.library.hbs.edu/working-knowledge</x:v>
      </x:c>
      <x:c r="I79" s="29" t="str">
        <x:v>管理研究与案例</x:v>
      </x:c>
      <x:c r="J79" s="29" t="str">
        <x:v>从研究摘要进入论文，再提炼问题、方法、发现和管理含义。</x:v>
      </x:c>
      <x:c r="K79" s="29" t="str">
        <x:v>常直接链接论文或案例背景，是寻找管理研究原始出处的高价值入口。</x:v>
      </x:c>
      <x:c r="L79" s="29" t="str">
        <x:v>2026-08-17：官网返回200；测试的常见RSS路径均为404，按平台收录。</x:v>
      </x:c>
    </x:row>
    <x:row r="80" ht="48" customHeight="1">
      <x:c r="A80" s="29" t="str">
        <x:v>S</x:v>
      </x:c>
      <x:c r="B80" s="29" t="n">
        <x:v>93</x:v>
      </x:c>
      <x:c r="C80" s="29" t="str">
        <x:v>商业、管理与创新</x:v>
      </x:c>
      <x:c r="D80" s="29" t="str">
        <x:v>INSEAD Knowledge</x:v>
      </x:c>
      <x:c r="E80" s="29" t="str">
        <x:v>Platform</x:v>
      </x:c>
      <x:c r="F80" s="29" t="str">
        <x:v>Open</x:v>
      </x:c>
      <x:c r="G80" s="29" t="str">
        <x:v>证据源</x:v>
      </x:c>
      <x:c r="H80" s="29" t="str">
        <x:v>https://knowledge.insead.edu/</x:v>
      </x:c>
      <x:c r="I80" s="29" t="str">
        <x:v>全球管理与组织</x:v>
      </x:c>
      <x:c r="J80" s="29" t="str">
        <x:v>比较不同市场或文化中的管理机制，避免只用美国样本。</x:v>
      </x:c>
      <x:c r="K80" s="29" t="str">
        <x:v>具有强全球视角，常把商学院研究转化为跨文化和跨市场管理启示。</x:v>
      </x:c>
      <x:c r="L80" s="29" t="str">
        <x:v>2026-08-17：官网自动化访问受403挑战；未录入同样受限的RSS端点，按平台收录。</x:v>
      </x:c>
    </x:row>
    <x:row r="81" ht="48" customHeight="1">
      <x:c r="A81" s="29" t="str">
        <x:v>S</x:v>
      </x:c>
      <x:c r="B81" s="29" t="n">
        <x:v>93</x:v>
      </x:c>
      <x:c r="C81" s="29" t="str">
        <x:v>商业、管理与创新</x:v>
      </x:c>
      <x:c r="D81" s="29" t="str">
        <x:v>Stanford GSB Insights</x:v>
      </x:c>
      <x:c r="E81" s="29" t="str">
        <x:v>Platform</x:v>
      </x:c>
      <x:c r="F81" s="29" t="str">
        <x:v>Open</x:v>
      </x:c>
      <x:c r="G81" s="29" t="str">
        <x:v>证据源</x:v>
      </x:c>
      <x:c r="H81" s="29" t="str">
        <x:v>https://www.gsb.stanford.edu/insights</x:v>
      </x:c>
      <x:c r="I81" s="29" t="str">
        <x:v>商学院研究与领导力</x:v>
      </x:c>
      <x:c r="J81" s="29" t="str">
        <x:v>引用教授研究，用一个现实决策场景解释其意义。</x:v>
      </x:c>
      <x:c r="K81" s="29" t="str">
        <x:v>直接连接商学院教师研究与企业实践，创业、领导力、谈判和组织议题丰富。</x:v>
      </x:c>
      <x:c r="L81" s="29" t="str">
        <x:v>2026-08-17：官网返回200；未发现稳定官方统一RSS，按平台收录。</x:v>
      </x:c>
    </x:row>
    <x:row r="82" ht="48" customHeight="1">
      <x:c r="A82" s="29" t="str">
        <x:v>S</x:v>
      </x:c>
      <x:c r="B82" s="29" t="n">
        <x:v>93</x:v>
      </x:c>
      <x:c r="C82" s="29" t="str">
        <x:v>商业、管理与创新</x:v>
      </x:c>
      <x:c r="D82" s="29" t="str">
        <x:v>Yale Insights</x:v>
      </x:c>
      <x:c r="E82" s="29" t="str">
        <x:v>Platform</x:v>
      </x:c>
      <x:c r="F82" s="29" t="str">
        <x:v>Open</x:v>
      </x:c>
      <x:c r="G82" s="29" t="str">
        <x:v>证据源</x:v>
      </x:c>
      <x:c r="H82" s="29" t="str">
        <x:v>https://insights.som.yale.edu/</x:v>
      </x:c>
      <x:c r="I82" s="29" t="str">
        <x:v>商业与社会</x:v>
      </x:c>
      <x:c r="J82" s="29" t="str">
        <x:v>用利益相关者视角拆解一个商业决策的外部影响。</x:v>
      </x:c>
      <x:c r="K82" s="29" t="str">
        <x:v>擅长把企业议题放进制度、政策和社会背景，适合避免狭窄的商业成功叙事。</x:v>
      </x:c>
      <x:c r="L82" s="29" t="str">
        <x:v>2026-08-17：官网返回200；测试的常见RSS端点均为404，按平台收录。</x:v>
      </x:c>
    </x:row>
    <x:row r="83" ht="48" customHeight="1">
      <x:c r="A83" s="29" t="str">
        <x:v>S</x:v>
      </x:c>
      <x:c r="B83" s="29" t="n">
        <x:v>93</x:v>
      </x:c>
      <x:c r="C83" s="29" t="str">
        <x:v>数据与可视化</x:v>
      </x:c>
      <x:c r="D83" s="29" t="str">
        <x:v>中国国家数据</x:v>
      </x:c>
      <x:c r="E83" s="29" t="str">
        <x:v>Platform</x:v>
      </x:c>
      <x:c r="F83" s="29" t="str">
        <x:v>Open</x:v>
      </x:c>
      <x:c r="G83" s="29" t="str">
        <x:v>证据源</x:v>
      </x:c>
      <x:c r="H83" s="29" t="str">
        <x:v>https://data.stats.gov.cn/</x:v>
      </x:c>
      <x:c r="I83" s="29" t="str">
        <x:v>中国官方统计</x:v>
      </x:c>
      <x:c r="J83" s="29" t="str">
        <x:v>中国宏观、地区和行业图表</x:v>
      </x:c>
      <x:c r="K83" s="29" t="str">
        <x:v>人口、国民经济、行业与地区指标的官方入口。</x:v>
      </x:c>
      <x:c r="L83" s="29" t="str">
        <x:v>核对统计口径、基期、现价/不变价、修订与发布日期。</x:v>
      </x:c>
    </x:row>
    <x:row r="84" ht="48" customHeight="1">
      <x:c r="A84" s="29" t="str">
        <x:v>S</x:v>
      </x:c>
      <x:c r="B84" s="29" t="n">
        <x:v>93</x:v>
      </x:c>
      <x:c r="C84" s="29" t="str">
        <x:v>天文与太空</x:v>
      </x:c>
      <x:c r="D84" s="29" t="str">
        <x:v>NASA Planetary Data System</x:v>
      </x:c>
      <x:c r="E84" s="29" t="str">
        <x:v>Platform</x:v>
      </x:c>
      <x:c r="F84" s="29" t="str">
        <x:v>Open</x:v>
      </x:c>
      <x:c r="G84" s="29" t="str">
        <x:v>证据源</x:v>
      </x:c>
      <x:c r="H84" s="29" t="str">
        <x:v>https://pds.nasa.gov/datasearch/data-search/</x:v>
      </x:c>
      <x:c r="I84" s="29" t="str">
        <x:v>行星任务科学数据</x:v>
      </x:c>
      <x:c r="J84" s="29" t="str">
        <x:v>行星地貌、任务数据、仪器方法</x:v>
      </x:c>
      <x:c r="K84" s="29" t="str">
        <x:v>NASA 行星任务经过归档的科学数据与文档。</x:v>
      </x:c>
      <x:c r="L84" s="29" t="str">
        <x:v>使用前核对数据口径、更新时间、许可与引用格式。</x:v>
      </x:c>
    </x:row>
    <x:row r="85" ht="48" customHeight="1">
      <x:c r="A85" s="29" t="str">
        <x:v>S</x:v>
      </x:c>
      <x:c r="B85" s="29" t="n">
        <x:v>93</x:v>
      </x:c>
      <x:c r="C85" s="29" t="str">
        <x:v>天文与太空</x:v>
      </x:c>
      <x:c r="D85" s="29" t="str">
        <x:v>SDSS SkyServer</x:v>
      </x:c>
      <x:c r="E85" s="29" t="str">
        <x:v>Platform</x:v>
      </x:c>
      <x:c r="F85" s="29" t="str">
        <x:v>Open</x:v>
      </x:c>
      <x:c r="G85" s="29" t="str">
        <x:v>证据源</x:v>
      </x:c>
      <x:c r="H85" s="29" t="str">
        <x:v>https://skyserver.sdss.org/</x:v>
      </x:c>
      <x:c r="I85" s="29" t="str">
        <x:v>光学巡天数据与教学工具</x:v>
      </x:c>
      <x:c r="J85" s="29" t="str">
        <x:v>星系光谱、宇宙地图、教学图解</x:v>
      </x:c>
      <x:c r="K85" s="29" t="str">
        <x:v>可查询图像、光谱和目录，并有适合公众的探索工具。</x:v>
      </x:c>
      <x:c r="L85" s="29" t="str">
        <x:v>使用前核对数据口径、更新时间、许可与引用格式。</x:v>
      </x:c>
    </x:row>
    <x:row r="86" ht="48" customHeight="1">
      <x:c r="A86" s="29" t="str">
        <x:v>S</x:v>
      </x:c>
      <x:c r="B86" s="29" t="n">
        <x:v>93</x:v>
      </x:c>
      <x:c r="C86" s="29" t="str">
        <x:v>新闻与调查</x:v>
      </x:c>
      <x:c r="D86" s="29" t="str">
        <x:v>ACLED</x:v>
      </x:c>
      <x:c r="E86" s="29" t="str">
        <x:v>API</x:v>
      </x:c>
      <x:c r="F86" s="29" t="str">
        <x:v>Freemium</x:v>
      </x:c>
      <x:c r="G86" s="29" t="str">
        <x:v>证据源</x:v>
      </x:c>
      <x:c r="H86" s="29" t="str">
        <x:v>https://acleddata.com/api/acled/read</x:v>
      </x:c>
      <x:c r="I86" s="29" t="str">
        <x:v>政治暴力与抗议事件</x:v>
      </x:c>
      <x:c r="J86" s="29" t="str">
        <x:v>冲突趋势、事件地图与地区比较</x:v>
      </x:c>
      <x:c r="K86" s="29" t="str">
        <x:v>结构化记录冲突、政治暴力和抗议事件。</x:v>
      </x:c>
      <x:c r="L86" s="29" t="str">
        <x:v>需要账户；事件编码、覆盖范围和安全敏感性需说明。</x:v>
      </x:c>
    </x:row>
    <x:row r="87" ht="48" customHeight="1">
      <x:c r="A87" s="29" t="str">
        <x:v>S</x:v>
      </x:c>
      <x:c r="B87" s="29" t="n">
        <x:v>93</x:v>
      </x:c>
      <x:c r="C87" s="29" t="str">
        <x:v>新闻与调查</x:v>
      </x:c>
      <x:c r="D87" s="29" t="str">
        <x:v>Rest of World</x:v>
      </x:c>
      <x:c r="E87" s="29" t="str">
        <x:v>RSS</x:v>
      </x:c>
      <x:c r="F87" s="29" t="str">
        <x:v>Open</x:v>
      </x:c>
      <x:c r="G87" s="29" t="str">
        <x:v>证据源</x:v>
      </x:c>
      <x:c r="H87" s="29" t="str">
        <x:v>https://restofworld.org/feed/latest/</x:v>
      </x:c>
      <x:c r="I87" s="29" t="str">
        <x:v>全球科技与平台经济</x:v>
      </x:c>
      <x:c r="J87" s="29" t="str">
        <x:v>全球科技、平台经济、区域趋势</x:v>
      </x:c>
      <x:c r="K87" s="29" t="str">
        <x:v>亚洲、非洲、拉美等地区视角稀缺，全球采编覆盖强。</x:v>
      </x:c>
      <x:c r="L87" s="29" t="str">
        <x:v>Latest Feed由官方Platforms页直接列出；另有多个主题Feed。</x:v>
      </x:c>
    </x:row>
    <x:row r="88" ht="48" customHeight="1">
      <x:c r="A88" s="29" t="str">
        <x:v>S</x:v>
      </x:c>
      <x:c r="B88" s="29" t="n">
        <x:v>93</x:v>
      </x:c>
      <x:c r="C88" s="29" t="str">
        <x:v>艺术、设计与建筑</x:v>
      </x:c>
      <x:c r="D88" s="29" t="str">
        <x:v>Getty Vocabularies</x:v>
      </x:c>
      <x:c r="E88" s="29" t="str">
        <x:v>API</x:v>
      </x:c>
      <x:c r="F88" s="29" t="str">
        <x:v>Open</x:v>
      </x:c>
      <x:c r="G88" s="29" t="str">
        <x:v>证据源</x:v>
      </x:c>
      <x:c r="H88" s="29" t="str">
        <x:v>https://vocab.getty.edu/</x:v>
      </x:c>
      <x:c r="I88" s="29" t="str">
        <x:v>艺术、建筑与地名权威词表</x:v>
      </x:c>
      <x:c r="J88" s="29" t="str">
        <x:v>术语解释、艺术家/地点关系图</x:v>
      </x:c>
      <x:c r="K88" s="29" t="str">
        <x:v>AAT、ULAN、TGN 等适合规范艺术史术语、人物和地名。</x:v>
      </x:c>
      <x:c r="L88" s="29" t="str">
        <x:v>使用前核对数据口径、更新时间、许可与引用格式。</x:v>
      </x:c>
    </x:row>
    <x:row r="89" ht="48" customHeight="1">
      <x:c r="A89" s="29" t="str">
        <x:v>S</x:v>
      </x:c>
      <x:c r="B89" s="29" t="n">
        <x:v>93</x:v>
      </x:c>
      <x:c r="C89" s="29" t="str">
        <x:v>艺术、设计与建筑</x:v>
      </x:c>
      <x:c r="D89" s="29" t="str">
        <x:v>Harvard Art Museums API</x:v>
      </x:c>
      <x:c r="E89" s="29" t="str">
        <x:v>API</x:v>
      </x:c>
      <x:c r="F89" s="29" t="str">
        <x:v>Freemium</x:v>
      </x:c>
      <x:c r="G89" s="29" t="str">
        <x:v>证据源</x:v>
      </x:c>
      <x:c r="H89" s="29" t="str">
        <x:v>https://api.harvardartmuseums.org/</x:v>
      </x:c>
      <x:c r="I89" s="29" t="str">
        <x:v>大学博物馆馆藏</x:v>
      </x:c>
      <x:c r="J89" s="29" t="str">
        <x:v>艺术研究、材料与修复故事</x:v>
      </x:c>
      <x:c r="K89" s="29" t="str">
        <x:v>艺术品、展览、人物与技术分析元数据丰富。</x:v>
      </x:c>
      <x:c r="L89" s="29" t="str">
        <x:v>API 需免费密钥；逐项核对图像权利。</x:v>
      </x:c>
    </x:row>
    <x:row r="90" ht="48" customHeight="1">
      <x:c r="A90" s="29" t="str">
        <x:v>S</x:v>
      </x:c>
      <x:c r="B90" s="29" t="n">
        <x:v>93</x:v>
      </x:c>
      <x:c r="C90" s="29" t="str">
        <x:v>AI、科技与工程</x:v>
      </x:c>
      <x:c r="D90" s="29" t="str">
        <x:v>Anthropic News</x:v>
      </x:c>
      <x:c r="E90" s="29" t="str">
        <x:v>Platform</x:v>
      </x:c>
      <x:c r="F90" s="29" t="str">
        <x:v>Open</x:v>
      </x:c>
      <x:c r="G90" s="29" t="str">
        <x:v>证据源</x:v>
      </x:c>
      <x:c r="H90" s="29" t="str">
        <x:v>https://www.anthropic.com/news</x:v>
      </x:c>
      <x:c r="I90" s="29" t="str">
        <x:v>AI安全与产品</x:v>
      </x:c>
      <x:c r="J90" s="29" t="str">
        <x:v>AI安全、治理框架、模型对比</x:v>
      </x:c>
      <x:c r="K90" s="29" t="str">
        <x:v>前沿AI安全、治理和可解释性研究的一手源。</x:v>
      </x:c>
      <x:c r="L90" s="29" t="str">
        <x:v>本轮未核验到稳定的官方统一RSS，建议网页或邮件监测；不要把第三方抓取feed当作源记录。</x:v>
      </x:c>
    </x:row>
    <x:row r="91" ht="48" customHeight="1">
      <x:c r="A91" s="29" t="str">
        <x:v>A</x:v>
      </x:c>
      <x:c r="B91" s="29" t="n">
        <x:v>92</x:v>
      </x:c>
      <x:c r="C91" s="29" t="str">
        <x:v>健康与福祉</x:v>
      </x:c>
      <x:c r="D91" s="29" t="str">
        <x:v>Cochrane Evidence</x:v>
      </x:c>
      <x:c r="E91" s="29" t="str">
        <x:v>Platform</x:v>
      </x:c>
      <x:c r="F91" s="29" t="str">
        <x:v>Mixed</x:v>
      </x:c>
      <x:c r="G91" s="29" t="str">
        <x:v>证据源</x:v>
      </x:c>
      <x:c r="H91" s="29" t="str">
        <x:v>https://www.cochrane.org/evidence</x:v>
      </x:c>
      <x:c r="I91" s="29" t="str">
        <x:v>系统综述与通俗摘要</x:v>
      </x:c>
      <x:c r="J91" s="29" t="str">
        <x:v>疗效证据、利弊权衡、证据是否确定</x:v>
      </x:c>
      <x:c r="K91" s="29" t="str">
        <x:v>治疗、预防和护理问题的高等级证据入口，强调系统检索与综合。</x:v>
      </x:c>
      <x:c r="L91" s="29" t="str">
        <x:v>2026-08-17 实测主页 200；未收录统一证据 RSS，建议网页检索并引用具体综述和最新版本。系统综述也需检查日期、人群与异质性；不替代个体医疗建议。</x:v>
      </x:c>
    </x:row>
    <x:row r="92" ht="48" customHeight="1">
      <x:c r="A92" s="29" t="str">
        <x:v>A</x:v>
      </x:c>
      <x:c r="B92" s="29" t="n">
        <x:v>92</x:v>
      </x:c>
      <x:c r="C92" s="29" t="str">
        <x:v>健康与福祉</x:v>
      </x:c>
      <x:c r="D92" s="29" t="str">
        <x:v>IHME Global Burden of Disease</x:v>
      </x:c>
      <x:c r="E92" s="29" t="str">
        <x:v>Platform</x:v>
      </x:c>
      <x:c r="F92" s="29" t="str">
        <x:v>Open for non-commercial use</x:v>
      </x:c>
      <x:c r="G92" s="29" t="str">
        <x:v>证据源</x:v>
      </x:c>
      <x:c r="H92" s="29" t="str">
        <x:v>https://www.healthdata.org/research-analysis/gbd</x:v>
      </x:c>
      <x:c r="I92" s="29" t="str">
        <x:v>疾病负担与风险因素</x:v>
      </x:c>
      <x:c r="J92" s="29" t="str">
        <x:v>疾病负担排行、风险因素、地图与长期趋势</x:v>
      </x:c>
      <x:c r="K92" s="29" t="str">
        <x:v>全球疾病负担的综合估计和可视化平台，适合跨疾病、跨地区比较。</x:v>
      </x:c>
      <x:c r="L92" s="29" t="str">
        <x:v>2026-08-17 实测主页 200；未收录稳定 RSS，作为网页与数据工具源。GBD 含模型估计，应说明年份、区间和不确定性；群体估计不替代个体医疗建议。</x:v>
      </x:c>
    </x:row>
    <x:row r="93" ht="48" customHeight="1">
      <x:c r="A93" s="29" t="str">
        <x:v>A</x:v>
      </x:c>
      <x:c r="B93" s="29" t="n">
        <x:v>92</x:v>
      </x:c>
      <x:c r="C93" s="29" t="str">
        <x:v>健康与福祉</x:v>
      </x:c>
      <x:c r="D93" s="29" t="str">
        <x:v>The American Journal of Clinical Nutrition</x:v>
      </x:c>
      <x:c r="E93" s="29" t="str">
        <x:v>Platform</x:v>
      </x:c>
      <x:c r="F93" s="29" t="str">
        <x:v>Mixed</x:v>
      </x:c>
      <x:c r="G93" s="29" t="str">
        <x:v>证据源</x:v>
      </x:c>
      <x:c r="H93" s="29" t="str">
        <x:v>https://ajcn.nutrition.org/</x:v>
      </x:c>
      <x:c r="I93" s="29" t="str">
        <x:v>临床营养研究</x:v>
      </x:c>
      <x:c r="J93" s="29" t="str">
        <x:v>饮食模式、营养试验、代谢健康</x:v>
      </x:c>
      <x:c r="K93" s="29" t="str">
        <x:v>临床营养的重要同行评审期刊，适合追踪饮食与健康结局的原始研究。</x:v>
      </x:c>
      <x:c r="L93" s="29" t="str">
        <x:v>2026-08-17 主页自动请求触发 403；旧 Feed URL 返回 404，因此本库按网页平台收录。营养观察性结果不应直接写成因果或个体处方。</x:v>
      </x:c>
    </x:row>
    <x:row r="94" ht="48" customHeight="1">
      <x:c r="A94" s="29" t="str">
        <x:v>A</x:v>
      </x:c>
      <x:c r="B94" s="29" t="n">
        <x:v>92</x:v>
      </x:c>
      <x:c r="C94" s="29" t="str">
        <x:v>心理、认知与情商</x:v>
      </x:c>
      <x:c r="D94" s="29" t="str">
        <x:v>Affective Science</x:v>
      </x:c>
      <x:c r="E94" s="29" t="str">
        <x:v>API</x:v>
      </x:c>
      <x:c r="F94" s="29" t="str">
        <x:v>摘要与元数据开放；正文混合</x:v>
      </x:c>
      <x:c r="G94" s="29" t="str">
        <x:v>证据源</x:v>
      </x:c>
      <x:c r="H94" s="29" t="str">
        <x:v>https://api.crossref.org/journals/2662-205X/works?sort=published&amp;order=desc&amp;rows=20</x:v>
      </x:c>
      <x:c r="I94" s="29" t="str">
        <x:v>情感科学期刊</x:v>
      </x:c>
      <x:c r="J94" s="29" t="str">
        <x:v>用于纠正“情绪只有几种”“情绪能被简单读懂”等过度简化论断。</x:v>
      </x:c>
      <x:c r="K94" s="29" t="str">
        <x:v>Society for Affective Science 官方期刊，覆盖情绪、压力、动机及其健康和社会影响。</x:v>
      </x:c>
      <x:c r="L94" s="29" t="str">
        <x:v>2026-08-17：Springer 主页 200；Crossref ISSN API 200，JSON 已确认。</x:v>
      </x:c>
    </x:row>
    <x:row r="95" ht="48" customHeight="1">
      <x:c r="A95" s="29" t="str">
        <x:v>A</x:v>
      </x:c>
      <x:c r="B95" s="29" t="n">
        <x:v>92</x:v>
      </x:c>
      <x:c r="C95" s="29" t="str">
        <x:v>心理、认知与情商</x:v>
      </x:c>
      <x:c r="D95" s="29" t="str">
        <x:v>Annual Review of Psychology</x:v>
      </x:c>
      <x:c r="E95" s="29" t="str">
        <x:v>API</x:v>
      </x:c>
      <x:c r="F95" s="29" t="str">
        <x:v>元数据开放；正文多为订阅</x:v>
      </x:c>
      <x:c r="G95" s="29" t="str">
        <x:v>证据源</x:v>
      </x:c>
      <x:c r="H95" s="29" t="str">
        <x:v>https://api.crossref.org/journals/1545-2085/works?sort=published&amp;order=desc&amp;rows=20</x:v>
      </x:c>
      <x:c r="I95" s="29" t="str">
        <x:v>心理学年度综述</x:v>
      </x:c>
      <x:c r="J95" s="29" t="str">
        <x:v>先用综述建立领域共识，再从参考文献挑关键原始研究；适合长帖和知识地图。</x:v>
      </x:c>
      <x:c r="K95" s="29" t="str">
        <x:v>以领域级综述梳理理论、证据和争议，是做深度背景和避免单篇研究偏差的核心来源。</x:v>
      </x:c>
      <x:c r="L95" s="29" t="str">
        <x:v>2026-08-17：出版商页面受 CDN 403；Crossref ISSN API 200，已确认 JSON，可稳定追踪最新条目。</x:v>
      </x:c>
    </x:row>
    <x:row r="96" ht="48" customHeight="1">
      <x:c r="A96" s="29" t="str">
        <x:v>A</x:v>
      </x:c>
      <x:c r="B96" s="29" t="n">
        <x:v>92</x:v>
      </x:c>
      <x:c r="C96" s="29" t="str">
        <x:v>心理、认知与情商</x:v>
      </x:c>
      <x:c r="D96" s="29" t="str">
        <x:v>BMC Psychology</x:v>
      </x:c>
      <x:c r="E96" s="29" t="str">
        <x:v>API</x:v>
      </x:c>
      <x:c r="F96" s="29" t="str">
        <x:v>开放获取</x:v>
      </x:c>
      <x:c r="G96" s="29" t="str">
        <x:v>证据源</x:v>
      </x:c>
      <x:c r="H96" s="29" t="str">
        <x:v>https://api.crossref.org/journals/2050-7283/works?sort=published&amp;order=desc&amp;rows=20</x:v>
      </x:c>
      <x:c r="I96" s="29" t="str">
        <x:v>开放获取综合心理学</x:v>
      </x:c>
      <x:c r="J96" s="29" t="str">
        <x:v>适合寻找可完整阅读的新研究；发布前检查设计质量，不以期刊名替代研究评估。</x:v>
      </x:c>
      <x:c r="K96" s="29" t="str">
        <x:v>覆盖临床、健康、社会、发展和组织心理学，全文开放，便于核验研究方法与限制。</x:v>
      </x:c>
      <x:c r="L96" s="29" t="str">
        <x:v>2026-08-17：Springer 主页 200；原站 RSS 已迁移为 HTML，改用 Crossref ISSN API，返回 200 JSON。</x:v>
      </x:c>
    </x:row>
    <x:row r="97" ht="48" customHeight="1">
      <x:c r="A97" s="29" t="str">
        <x:v>A</x:v>
      </x:c>
      <x:c r="B97" s="29" t="n">
        <x:v>92</x:v>
      </x:c>
      <x:c r="C97" s="29" t="str">
        <x:v>心理、认知与情商</x:v>
      </x:c>
      <x:c r="D97" s="29" t="str">
        <x:v>Center for Healthy Minds</x:v>
      </x:c>
      <x:c r="E97" s="29" t="str">
        <x:v>Platform</x:v>
      </x:c>
      <x:c r="F97" s="29" t="str">
        <x:v>开放；当前未发现稳定公开 RSS</x:v>
      </x:c>
      <x:c r="G97" s="29" t="str">
        <x:v>证据源</x:v>
      </x:c>
      <x:c r="H97" s="29" t="str">
        <x:v>https://centerhealthyminds.org/</x:v>
      </x:c>
      <x:c r="I97" s="29" t="str">
        <x:v>幸福感与沉思科学</x:v>
      </x:c>
      <x:c r="J97" s="29" t="str">
        <x:v>用于冥想、注意、韧性与幸福感话题；区分机制证据、干预效果和产品宣传。</x:v>
      </x:c>
      <x:c r="K97" s="29" t="str">
        <x:v>UW–Madison 研究中心，连接心理学、神经科学、教育与幸福感干预，并强调研究严谨性。</x:v>
      </x:c>
      <x:c r="L97" s="29" t="str">
        <x:v>2026-08-17：官方主页 200；未发现固定 RSS。</x:v>
      </x:c>
    </x:row>
    <x:row r="98" ht="48" customHeight="1">
      <x:c r="A98" s="29" t="str">
        <x:v>A</x:v>
      </x:c>
      <x:c r="B98" s="29" t="n">
        <x:v>92</x:v>
      </x:c>
      <x:c r="C98" s="29" t="str">
        <x:v>心理、认知与情商</x:v>
      </x:c>
      <x:c r="D98" s="29" t="str">
        <x:v>Cognitive Research: Principles and Implications</x:v>
      </x:c>
      <x:c r="E98" s="29" t="str">
        <x:v>API</x:v>
      </x:c>
      <x:c r="F98" s="29" t="str">
        <x:v>开放获取</x:v>
      </x:c>
      <x:c r="G98" s="29" t="str">
        <x:v>证据源</x:v>
      </x:c>
      <x:c r="H98" s="29" t="str">
        <x:v>https://api.crossref.org/journals/2365-7464/works?sort=published&amp;order=desc&amp;rows=20</x:v>
      </x:c>
      <x:c r="I98" s="29" t="str">
        <x:v>认知机制与现实应用</x:v>
      </x:c>
      <x:c r="J98" s="29" t="str">
        <x:v>把实验室机制转译为学习与工作建议，同时写清效应边界和生态效度。</x:v>
      </x:c>
      <x:c r="K98" s="29" t="str">
        <x:v>强调认知研究对学习、决策和现实任务的意义，全文开放且实践关联强。</x:v>
      </x:c>
      <x:c r="L98" s="29" t="str">
        <x:v>2026-08-17：Springer 主页 200；原站 RSS 已迁移为 HTML，改用 Crossref ISSN API，返回 200 JSON。</x:v>
      </x:c>
    </x:row>
    <x:row r="99" ht="48" customHeight="1">
      <x:c r="A99" s="29" t="str">
        <x:v>A</x:v>
      </x:c>
      <x:c r="B99" s="29" t="n">
        <x:v>92</x:v>
      </x:c>
      <x:c r="C99" s="29" t="str">
        <x:v>心理、认知与情商</x:v>
      </x:c>
      <x:c r="D99" s="29" t="str">
        <x:v>Yale Center for Emotional Intelligence（YCEI）</x:v>
      </x:c>
      <x:c r="E99" s="29" t="str">
        <x:v>Platform</x:v>
      </x:c>
      <x:c r="F99" s="29" t="str">
        <x:v>开放；无固定 RSS</x:v>
      </x:c>
      <x:c r="G99" s="29" t="str">
        <x:v>证据源</x:v>
      </x:c>
      <x:c r="H99" s="29" t="str">
        <x:v>https://medicine.yale.edu/childstudy/services/community-and-schools-programs/center-for-emotional-intelligence/</x:v>
      </x:c>
      <x:c r="I99" s="29" t="str">
        <x:v>情商、情绪技能与学校 SEL</x:v>
      </x:c>
      <x:c r="J99" s="29" t="str">
        <x:v>用于情绪识别、调节、关系与学校环境话题；优先引用其研究与评估结果。</x:v>
      </x:c>
      <x:c r="K99" s="29" t="str">
        <x:v>研究情绪科学、情商测量与学校社会情绪学习，能替代泛化的“高情商技巧”内容。</x:v>
      </x:c>
      <x:c r="L99" s="29" t="str">
        <x:v>2026-08-17：Yale School of Medicine 官方中心页 200；未发现公开 RSS。</x:v>
      </x:c>
    </x:row>
    <x:row r="100" ht="48" customHeight="1">
      <x:c r="A100" s="29" t="str">
        <x:v>A</x:v>
      </x:c>
      <x:c r="B100" s="29" t="n">
        <x:v>92</x:v>
      </x:c>
      <x:c r="C100" s="29" t="str">
        <x:v>心理、认知与情商</x:v>
      </x:c>
      <x:c r="D100" s="29" t="str">
        <x:v>中国科学院心理研究所</x:v>
      </x:c>
      <x:c r="E100" s="29" t="str">
        <x:v>Platform</x:v>
      </x:c>
      <x:c r="F100" s="29" t="str">
        <x:v>开放；无固定 RSS</x:v>
      </x:c>
      <x:c r="G100" s="29" t="str">
        <x:v>证据源</x:v>
      </x:c>
      <x:c r="H100" s="29" t="str">
        <x:v>https://www.psych.ac.cn/</x:v>
      </x:c>
      <x:c r="I100" s="29" t="str">
        <x:v>中国心理科学与心理健康研究</x:v>
      </x:c>
      <x:c r="J100" s="29" t="str">
        <x:v>补充中国样本、中文研究与国内学术活动；优先链接科研进展对应论文或机构知识库。；中国心理学研究动态、专家解释、概念科普</x:v>
      </x:c>
      <x:c r="K100" s="29" t="str">
        <x:v>覆盖认知与发展、健康与遗传、社会与工程心理等方向，是中文一手科研动态的重要入口。</x:v>
      </x:c>
      <x:c r="L100" s="29" t="str">
        <x:v>2026-08-17：官方站最新内容可被搜索索引；本地直连发生 DNS/网络失败，保留为网页巡检源。；机构新闻和科普需继续追到具体论文、量表或项目；不能用于个体诊断。</x:v>
      </x:c>
    </x:row>
    <x:row r="101" ht="48" customHeight="1">
      <x:c r="A101" s="29" t="str">
        <x:v>A</x:v>
      </x:c>
      <x:c r="B101" s="29" t="n">
        <x:v>92</x:v>
      </x:c>
      <x:c r="C101" s="29" t="str">
        <x:v>心理、认知与情商</x:v>
      </x:c>
      <x:c r="D101" s="29" t="str">
        <x:v>北京师范大学认知神经科学与学习国家重点实验室</x:v>
      </x:c>
      <x:c r="E101" s="29" t="str">
        <x:v>Platform</x:v>
      </x:c>
      <x:c r="F101" s="29" t="str">
        <x:v>开放；无固定 RSS</x:v>
      </x:c>
      <x:c r="G101" s="29" t="str">
        <x:v>证据源</x:v>
      </x:c>
      <x:c r="H101" s="29" t="str">
        <x:v>https://brain.bnu.edu.cn/</x:v>
      </x:c>
      <x:c r="I101" s="29" t="str">
        <x:v>脑智发育、学习与认知神经科学</x:v>
      </x:c>
      <x:c r="J101" s="29" t="str">
        <x:v>补充中国样本和中文认知神经科学成果；直接引用对应论文，不只引用新闻稿。</x:v>
      </x:c>
      <x:c r="K101" s="29" t="str">
        <x:v>聚焦脑发育、认知发展、学习机制与心理健康，提供中文科研进展、学术活动和科普。</x:v>
      </x:c>
      <x:c r="L101" s="29" t="str">
        <x:v>2026-08-17：官方主页 200；未发现公开 RSS。</x:v>
      </x:c>
    </x:row>
    <x:row r="102" ht="48" customHeight="1">
      <x:c r="A102" s="29" t="str">
        <x:v>A</x:v>
      </x:c>
      <x:c r="B102" s="29" t="n">
        <x:v>91</x:v>
      </x:c>
      <x:c r="C102" s="29" t="str">
        <x:v>成长与学习</x:v>
      </x:c>
      <x:c r="D102" s="29" t="str">
        <x:v>Center for Creative Leadership Insights</x:v>
      </x:c>
      <x:c r="E102" s="29" t="str">
        <x:v>Platform</x:v>
      </x:c>
      <x:c r="F102" s="29" t="str">
        <x:v>Freemium</x:v>
      </x:c>
      <x:c r="G102" s="29" t="str">
        <x:v>证据源</x:v>
      </x:c>
      <x:c r="H102" s="29" t="str">
        <x:v>https://www.ccl.org/articles/</x:v>
      </x:c>
      <x:c r="I102" s="29" t="str">
        <x:v>领导力研究与发展</x:v>
      </x:c>
      <x:c r="J102" s="29" t="str">
        <x:v>用研究结论校准常见领导力口号，并转成团队练习。</x:v>
      </x:c>
      <x:c r="K102" s="29" t="str">
        <x:v>非营利领导力研究与教育机构，长期发布研究型白皮书和实践指南。</x:v>
      </x:c>
      <x:c r="L102" s="29" t="str">
        <x:v>2026-08-17：官网在自动化请求中返回403但浏览器可访问；未核验到稳定公开RSS，按平台收录。</x:v>
      </x:c>
    </x:row>
    <x:row r="103" ht="48" customHeight="1">
      <x:c r="A103" s="29" t="str">
        <x:v>A</x:v>
      </x:c>
      <x:c r="B103" s="29" t="n">
        <x:v>91</x:v>
      </x:c>
      <x:c r="C103" s="29" t="str">
        <x:v>商业、管理与创新</x:v>
      </x:c>
      <x:c r="D103" s="29" t="str">
        <x:v>AOM Insights</x:v>
      </x:c>
      <x:c r="E103" s="29" t="str">
        <x:v>Platform</x:v>
      </x:c>
      <x:c r="F103" s="29" t="str">
        <x:v>Freemium</x:v>
      </x:c>
      <x:c r="G103" s="29" t="str">
        <x:v>证据源</x:v>
      </x:c>
      <x:c r="H103" s="29" t="str">
        <x:v>https://journals.aom.org/insights</x:v>
      </x:c>
      <x:c r="I103" s="29" t="str">
        <x:v>组织行为与管理研究</x:v>
      </x:c>
      <x:c r="J103" s="29" t="str">
        <x:v>一句管理迷思加研究发现加适用边界。</x:v>
      </x:c>
      <x:c r="K103" s="29" t="str">
        <x:v>由 Academy of Management 把旗下同行评审研究转为面向管理者的短解释，证据链清晰。</x:v>
      </x:c>
      <x:c r="L103" s="29" t="str">
        <x:v>2026-08-17：官方存在Insights与RSS入口，但自动化请求受403限制；未把HTML入口误标成XML Feed。</x:v>
      </x:c>
    </x:row>
    <x:row r="104" ht="48" customHeight="1">
      <x:c r="A104" s="29" t="str">
        <x:v>A</x:v>
      </x:c>
      <x:c r="B104" s="29" t="n">
        <x:v>91</x:v>
      </x:c>
      <x:c r="C104" s="29" t="str">
        <x:v>商业、管理与创新</x:v>
      </x:c>
      <x:c r="D104" s="29" t="str">
        <x:v>California Management Review</x:v>
      </x:c>
      <x:c r="E104" s="29" t="str">
        <x:v>Platform</x:v>
      </x:c>
      <x:c r="F104" s="29" t="str">
        <x:v>Freemium</x:v>
      </x:c>
      <x:c r="G104" s="29" t="str">
        <x:v>证据源</x:v>
      </x:c>
      <x:c r="H104" s="29" t="str">
        <x:v>https://cmr.berkeley.edu/</x:v>
      </x:c>
      <x:c r="I104" s="29" t="str">
        <x:v>战略、创新与组织</x:v>
      </x:c>
      <x:c r="J104" s="29" t="str">
        <x:v>把一篇管理研究转成问题、机制、证据和边界四格结构。</x:v>
      </x:c>
      <x:c r="K104" s="29" t="str">
        <x:v>伯克利管理期刊，重视证据型战略、创新和组织研究，适合系统性选题。</x:v>
      </x:c>
      <x:c r="L104" s="29" t="str">
        <x:v>2026-08-17：官网返回200；/feed/为404，按平台收录，部分论文可能需要订阅。</x:v>
      </x:c>
    </x:row>
    <x:row r="105" ht="48" customHeight="1">
      <x:c r="A105" s="29" t="str">
        <x:v>A</x:v>
      </x:c>
      <x:c r="B105" s="29" t="n">
        <x:v>91</x:v>
      </x:c>
      <x:c r="C105" s="29" t="str">
        <x:v>商业、管理与创新</x:v>
      </x:c>
      <x:c r="D105" s="29" t="str">
        <x:v>MIT Sloan Management Review</x:v>
      </x:c>
      <x:c r="E105" s="29" t="str">
        <x:v>Platform</x:v>
      </x:c>
      <x:c r="F105" s="29" t="str">
        <x:v>Freemium</x:v>
      </x:c>
      <x:c r="G105" s="29" t="str">
        <x:v>证据源</x:v>
      </x:c>
      <x:c r="H105" s="29" t="str">
        <x:v>https://sloanreview.mit.edu/</x:v>
      </x:c>
      <x:c r="I105" s="29" t="str">
        <x:v>战略、数字化与组织</x:v>
      </x:c>
      <x:c r="J105" s="29" t="str">
        <x:v>研究发现加企业案例，解释一项技术如何改变组织。</x:v>
      </x:c>
      <x:c r="K105" s="29" t="str">
        <x:v>强调管理研究与实践之间的连接，数字化和组织议题尤其强。</x:v>
      </x:c>
      <x:c r="L105" s="29" t="str">
        <x:v>2026-08-17：官网和旧Feed在自动化请求中均受403限制；未录入不可稳定验证的RSS。</x:v>
      </x:c>
    </x:row>
    <x:row r="106" ht="48" customHeight="1">
      <x:c r="A106" s="29" t="str">
        <x:v>A</x:v>
      </x:c>
      <x:c r="B106" s="29" t="n">
        <x:v>91</x:v>
      </x:c>
      <x:c r="C106" s="29" t="str">
        <x:v>新闻与调查</x:v>
      </x:c>
      <x:c r="D106" s="29" t="str">
        <x:v>404 Media</x:v>
      </x:c>
      <x:c r="E106" s="29" t="str">
        <x:v>RSS</x:v>
      </x:c>
      <x:c r="F106" s="29" t="str">
        <x:v>Freemium</x:v>
      </x:c>
      <x:c r="G106" s="29" t="str">
        <x:v>证据源</x:v>
      </x:c>
      <x:c r="H106" s="29" t="str">
        <x:v>https://www.404media.co/rss/</x:v>
      </x:c>
      <x:c r="I106" s="29" t="str">
        <x:v>科技调查与网络文化</x:v>
      </x:c>
      <x:c r="J106" s="29" t="str">
        <x:v>调查快讯、平台问题、网络文化</x:v>
      </x:c>
      <x:c r="K106" s="29" t="str">
        <x:v>独立记者团队常获得文件、数据和未被大媒体覆盖的一手线索。</x:v>
      </x:c>
      <x:c r="L106" s="29" t="str">
        <x:v>Ghost RSS端点已核验；部分完整文章可能需会员。</x:v>
      </x:c>
    </x:row>
    <x:row r="107" ht="48" customHeight="1">
      <x:c r="A107" s="29" t="str">
        <x:v>A</x:v>
      </x:c>
      <x:c r="B107" s="29" t="n">
        <x:v>90</x:v>
      </x:c>
      <x:c r="C107" s="29" t="str">
        <x:v>地球、地理与城市</x:v>
      </x:c>
      <x:c r="D107" s="29" t="str">
        <x:v>Global Forest Watch</x:v>
      </x:c>
      <x:c r="E107" s="29" t="str">
        <x:v>API</x:v>
      </x:c>
      <x:c r="F107" s="29" t="str">
        <x:v>Open</x:v>
      </x:c>
      <x:c r="G107" s="29" t="str">
        <x:v>解释源</x:v>
      </x:c>
      <x:c r="H107" s="29" t="str">
        <x:v>https://www.globalforestwatch.org/help/developers/gfw-api/</x:v>
      </x:c>
      <x:c r="I107" s="29" t="str">
        <x:v>森林变化与土地利用</x:v>
      </x:c>
      <x:c r="J107" s="29" t="str">
        <x:v>森林变化、供应链与保护成效</x:v>
      </x:c>
      <x:c r="K107" s="29" t="str">
        <x:v>将卫星监测、森林损失和政策数据可视化。</x:v>
      </x:c>
      <x:c r="L107" s="29" t="str">
        <x:v>使用前核对数据口径、更新时间、许可与引用格式。</x:v>
      </x:c>
    </x:row>
    <x:row r="108" ht="48" customHeight="1">
      <x:c r="A108" s="29" t="str">
        <x:v>A</x:v>
      </x:c>
      <x:c r="B108" s="29" t="n">
        <x:v>90</x:v>
      </x:c>
      <x:c r="C108" s="29" t="str">
        <x:v>AI、科技与工程</x:v>
      </x:c>
      <x:c r="D108" s="29" t="str">
        <x:v>ACM Queue</x:v>
      </x:c>
      <x:c r="E108" s="29" t="str">
        <x:v>RSS</x:v>
      </x:c>
      <x:c r="F108" s="29" t="str">
        <x:v>Open</x:v>
      </x:c>
      <x:c r="G108" s="29" t="str">
        <x:v>解释源</x:v>
      </x:c>
      <x:c r="H108" s="29" t="str">
        <x:v>https://queue.acm.org/rss/feeds/queuecontent.xml</x:v>
      </x:c>
      <x:c r="I108" s="29" t="str">
        <x:v>软件系统工程</x:v>
      </x:c>
      <x:c r="J108" s="29" t="str">
        <x:v>系统原理、工程反直觉、架构史</x:v>
      </x:c>
      <x:c r="K108" s="29" t="str">
        <x:v>资深工程师写作，长期技术判断和系统细节可靠。</x:v>
      </x:c>
      <x:c r="L108" s="29" t="str">
        <x:v>ACM Queue XML Feed已核验。</x:v>
      </x:c>
    </x:row>
    <x:row r="109" ht="48" customHeight="1">
      <x:c r="A109" s="29" t="str">
        <x:v>B</x:v>
      </x:c>
      <x:c r="B109" s="29" t="n">
        <x:v>88</x:v>
      </x:c>
      <x:c r="C109" s="29" t="str">
        <x:v>健康与福祉</x:v>
      </x:c>
      <x:c r="D109" s="29" t="str">
        <x:v>中国疾控中心健康科普</x:v>
      </x:c>
      <x:c r="E109" s="29" t="str">
        <x:v>Platform</x:v>
      </x:c>
      <x:c r="F109" s="29" t="str">
        <x:v>Open</x:v>
      </x:c>
      <x:c r="G109" s="29" t="str">
        <x:v>解释源</x:v>
      </x:c>
      <x:c r="H109" s="29" t="str">
        <x:v>https://www.chinacdc.cn/jkkp/</x:v>
      </x:c>
      <x:c r="I109" s="29" t="str">
        <x:v>疾病预防、营养、环境与公共卫生</x:v>
      </x:c>
      <x:c r="J109" s="29" t="str">
        <x:v>健康风险提示、疾病预防、公共卫生误区查证</x:v>
      </x:c>
      <x:c r="K109" s="29" t="str">
        <x:v>提供传染病、慢病、免疫、营养、环境与职业健康等官方科普信息。</x:v>
      </x:c>
      <x:c r="L109" s="29" t="str">
        <x:v>涉及具体数据时回查监测报告或指南；不把一般预防建议写成个体治疗方案。</x:v>
      </x:c>
    </x:row>
    <x:row r="110" ht="48" customHeight="1">
      <x:c r="A110" s="29" t="str">
        <x:v>B</x:v>
      </x:c>
      <x:c r="B110" s="29" t="n">
        <x:v>88</x:v>
      </x:c>
      <x:c r="C110" s="29" t="str">
        <x:v>健康与福祉</x:v>
      </x:c>
      <x:c r="D110" s="29" t="str">
        <x:v>中国营养学会</x:v>
      </x:c>
      <x:c r="E110" s="29" t="str">
        <x:v>Platform</x:v>
      </x:c>
      <x:c r="F110" s="29" t="str">
        <x:v>Open</x:v>
      </x:c>
      <x:c r="G110" s="29" t="str">
        <x:v>解释源</x:v>
      </x:c>
      <x:c r="H110" s="29" t="str">
        <x:v>https://cnsoc.org/</x:v>
      </x:c>
      <x:c r="I110" s="29" t="str">
        <x:v>营养科学、膳食指南与专业共识</x:v>
      </x:c>
      <x:c r="J110" s="29" t="str">
        <x:v>营养误区、膳食指南、专业共识与研究趋势</x:v>
      </x:c>
      <x:c r="K110" s="29" t="str">
        <x:v>汇集营养科学、膳食指南、团体标准和专业会议信息。</x:v>
      </x:c>
      <x:c r="L110" s="29" t="str">
        <x:v>区分正式指南、专家共识、会议新闻和合作推广内容；具体饮食建议需考虑个体健康状况。</x:v>
      </x:c>
    </x:row>
    <x:row r="111" ht="48" customHeight="1">
      <x:c r="A111" s="29" t="str">
        <x:v>B</x:v>
      </x:c>
      <x:c r="B111" s="29" t="n">
        <x:v>88</x:v>
      </x:c>
      <x:c r="C111" s="29" t="str">
        <x:v>健康与福祉</x:v>
      </x:c>
      <x:c r="D111" s="29" t="str">
        <x:v>国家卫生健康委健康科普辟谣平台</x:v>
      </x:c>
      <x:c r="E111" s="29" t="str">
        <x:v>Platform</x:v>
      </x:c>
      <x:c r="F111" s="29" t="str">
        <x:v>Open</x:v>
      </x:c>
      <x:c r="G111" s="29" t="str">
        <x:v>解释源</x:v>
      </x:c>
      <x:c r="H111" s="29" t="str">
        <x:v>https://www.nhc.gov.cn/kppypt/index.shtml</x:v>
      </x:c>
      <x:c r="I111" s="29" t="str">
        <x:v>健康谣言查证与政策科普</x:v>
      </x:c>
      <x:c r="J111" s="29" t="str">
        <x:v>健康误区查证、流行说法核验、政策解释</x:v>
      </x:c>
      <x:c r="K111" s="29" t="str">
        <x:v>按营养、运动、心理健康、用药、慢病等领域组织官方健康谣言查证。</x:v>
      </x:c>
      <x:c r="L111" s="29" t="str">
        <x:v>引用时保留查证日期、适用条件与原始指南链接；不能外推到未覆盖人群。</x:v>
      </x:c>
    </x:row>
    <x:row r="112" ht="48" customHeight="1">
      <x:c r="A112" s="29" t="str">
        <x:v>B</x:v>
      </x:c>
      <x:c r="B112" s="29" t="n">
        <x:v>88</x:v>
      </x:c>
      <x:c r="C112" s="29" t="str">
        <x:v>人文与跨学科</x:v>
      </x:c>
      <x:c r="D112" s="29" t="str">
        <x:v>Gapminder Data</x:v>
      </x:c>
      <x:c r="E112" s="29" t="str">
        <x:v>Platform</x:v>
      </x:c>
      <x:c r="F112" s="29" t="str">
        <x:v>Open</x:v>
      </x:c>
      <x:c r="G112" s="29" t="str">
        <x:v>解释源</x:v>
      </x:c>
      <x:c r="H112" s="29" t="str">
        <x:v>https://www.gapminder.org/data/</x:v>
      </x:c>
      <x:c r="I112" s="29" t="str">
        <x:v>全球发展与事实教育</x:v>
      </x:c>
      <x:c r="J112" s="29" t="str">
        <x:v>误解纠正、长期趋势、动态图表</x:v>
      </x:c>
      <x:c r="K112" s="29" t="str">
        <x:v>擅长纠正常见世界观误差，图形易懂且适合大众传播。</x:v>
      </x:c>
      <x:c r="L112" s="29" t="str">
        <x:v>未核验到统一RSS；使用时检查每个数据集的底层来源和更新时间。</x:v>
      </x:c>
    </x:row>
    <x:row r="113" ht="48" customHeight="1">
      <x:c r="A113" s="29" t="str">
        <x:v>B</x:v>
      </x:c>
      <x:c r="B113" s="29" t="n">
        <x:v>88</x:v>
      </x:c>
      <x:c r="C113" s="29" t="str">
        <x:v>商业、管理与创新</x:v>
      </x:c>
      <x:c r="D113" s="29" t="str">
        <x:v>Bessemer Venture Partners Atlas</x:v>
      </x:c>
      <x:c r="E113" s="29" t="str">
        <x:v>Platform</x:v>
      </x:c>
      <x:c r="F113" s="29" t="str">
        <x:v>Open</x:v>
      </x:c>
      <x:c r="G113" s="29" t="str">
        <x:v>解释源</x:v>
      </x:c>
      <x:c r="H113" s="29" t="str">
        <x:v>https://www.bvp.com/atlas</x:v>
      </x:c>
      <x:c r="I113" s="29" t="str">
        <x:v>云软件、创业与基准</x:v>
      </x:c>
      <x:c r="J113" s="29" t="str">
        <x:v>用一个行业基准对比公司案例，说明阶段差异。</x:v>
      </x:c>
      <x:c r="K113" s="29" t="str">
        <x:v>Atlas沉淀了SaaS和云经济的基准、方法与历史案例，适合数据化讨论公司建设。</x:v>
      </x:c>
      <x:c r="L113" s="29" t="str">
        <x:v>2026-08-17：Atlas页面返回200；常见Feed路径均为404，按平台收录。投资机构观点需与财报或独立数据交叉核验。</x:v>
      </x:c>
    </x:row>
    <x:row r="114" ht="48" customHeight="1">
      <x:c r="A114" s="29" t="str">
        <x:v>B</x:v>
      </x:c>
      <x:c r="B114" s="29" t="n">
        <x:v>88</x:v>
      </x:c>
      <x:c r="C114" s="29" t="str">
        <x:v>商业、管理与创新</x:v>
      </x:c>
      <x:c r="D114" s="29" t="str">
        <x:v>London Business School Think</x:v>
      </x:c>
      <x:c r="E114" s="29" t="str">
        <x:v>Platform</x:v>
      </x:c>
      <x:c r="F114" s="29" t="str">
        <x:v>Open</x:v>
      </x:c>
      <x:c r="G114" s="29" t="str">
        <x:v>解释源</x:v>
      </x:c>
      <x:c r="H114" s="29" t="str">
        <x:v>https://www.london.edu/think</x:v>
      </x:c>
      <x:c r="I114" s="29" t="str">
        <x:v>全球战略与领导力</x:v>
      </x:c>
      <x:c r="J114" s="29" t="str">
        <x:v>用跨市场比较解释同一管理方法为何不能简单复制。</x:v>
      </x:c>
      <x:c r="K114" s="29" t="str">
        <x:v>欧洲与全球市场视角突出，可平衡以美国公司为中心的商业素材。</x:v>
      </x:c>
      <x:c r="L114" s="29" t="str">
        <x:v>2026-08-17：官网返回200；测试的RSS路径均为404，按平台收录。</x:v>
      </x:c>
    </x:row>
    <x:row r="115" ht="48" customHeight="1">
      <x:c r="A115" s="29" t="str">
        <x:v>B</x:v>
      </x:c>
      <x:c r="B115" s="29" t="n">
        <x:v>88</x:v>
      </x:c>
      <x:c r="C115" s="29" t="str">
        <x:v>商业、管理与创新</x:v>
      </x:c>
      <x:c r="D115" s="29" t="str">
        <x:v>NFX Library</x:v>
      </x:c>
      <x:c r="E115" s="29" t="str">
        <x:v>Platform</x:v>
      </x:c>
      <x:c r="F115" s="29" t="str">
        <x:v>Open</x:v>
      </x:c>
      <x:c r="G115" s="29" t="str">
        <x:v>解释源</x:v>
      </x:c>
      <x:c r="H115" s="29" t="str">
        <x:v>https://www.nfx.com/library</x:v>
      </x:c>
      <x:c r="I115" s="29" t="str">
        <x:v>网络效应与创业增长</x:v>
      </x:c>
      <x:c r="J115" s="29" t="str">
        <x:v>用网络结构图解释产品增长与防御性，再列出失效条件。</x:v>
      </x:c>
      <x:c r="K115" s="29" t="str">
        <x:v>网络效应和平台业务框架集中，Library可按主题、作者与内容类型筛选。</x:v>
      </x:c>
      <x:c r="L115" s="29" t="str">
        <x:v>2026-08-17：Library页面返回200；常见Feed路径为404，按平台收录。研究数据由投资机构发布，需查方法和利益关系。</x:v>
      </x:c>
    </x:row>
    <x:row r="116" ht="48" customHeight="1">
      <x:c r="A116" s="29" t="str">
        <x:v>B</x:v>
      </x:c>
      <x:c r="B116" s="29" t="n">
        <x:v>88</x:v>
      </x:c>
      <x:c r="C116" s="29" t="str">
        <x:v>商业、管理与创新</x:v>
      </x:c>
      <x:c r="D116" s="29" t="str">
        <x:v>北京大学光华管理学院观点与研究</x:v>
      </x:c>
      <x:c r="E116" s="29" t="str">
        <x:v>Platform</x:v>
      </x:c>
      <x:c r="F116" s="29" t="str">
        <x:v>Open</x:v>
      </x:c>
      <x:c r="G116" s="29" t="str">
        <x:v>解释源</x:v>
      </x:c>
      <x:c r="H116" s="29" t="str">
        <x:v>https://www.gsm.pku.edu.cn/</x:v>
      </x:c>
      <x:c r="I116" s="29" t="str">
        <x:v>管理、经济与中国商业研究</x:v>
      </x:c>
      <x:c r="J116" s="29" t="str">
        <x:v>中国企业案例、管理研究、政策与商业交叉解读</x:v>
      </x:c>
      <x:c r="K116" s="29" t="str">
        <x:v>提供管理、经济、数字化和中国商业问题的教授研究与观点。</x:v>
      </x:c>
      <x:c r="L116" s="29" t="str">
        <x:v>区分学术研究、政策观点、教学案例和招生内容；案例不等于决策有效性的因果证明。</x:v>
      </x:c>
    </x:row>
    <x:row r="117" ht="48" customHeight="1">
      <x:c r="A117" s="29" t="str">
        <x:v>B</x:v>
      </x:c>
      <x:c r="B117" s="29" t="n">
        <x:v>88</x:v>
      </x:c>
      <x:c r="C117" s="29" t="str">
        <x:v>数据与可视化</x:v>
      </x:c>
      <x:c r="D117" s="29" t="str">
        <x:v>Vega Example Gallery</x:v>
      </x:c>
      <x:c r="E117" s="29" t="str">
        <x:v>Platform</x:v>
      </x:c>
      <x:c r="F117" s="29" t="str">
        <x:v>Open</x:v>
      </x:c>
      <x:c r="G117" s="29" t="str">
        <x:v>解释源</x:v>
      </x:c>
      <x:c r="H117" s="29" t="str">
        <x:v>https://vega.github.io/vega-lite/examples/</x:v>
      </x:c>
      <x:c r="I117" s="29" t="str">
        <x:v>声明式可视化示例</x:v>
      </x:c>
      <x:c r="J117" s="29" t="str">
        <x:v>图表原型、视觉编码参考</x:v>
      </x:c>
      <x:c r="K117" s="29" t="str">
        <x:v>从可运行规范学习统计图和交互设计。</x:v>
      </x:c>
      <x:c r="L117" s="29" t="str">
        <x:v>使用前核对数据口径、更新时间、许可与引用格式。</x:v>
      </x:c>
    </x:row>
    <x:row r="118" ht="48" customHeight="1">
      <x:c r="A118" s="29" t="str">
        <x:v>B</x:v>
      </x:c>
      <x:c r="B118" s="29" t="n">
        <x:v>88</x:v>
      </x:c>
      <x:c r="C118" s="29" t="str">
        <x:v>心理、认知与情商</x:v>
      </x:c>
      <x:c r="D118" s="29" t="str">
        <x:v>国民心理健康评估发展中心科普服务</x:v>
      </x:c>
      <x:c r="E118" s="29" t="str">
        <x:v>Platform</x:v>
      </x:c>
      <x:c r="F118" s="29" t="str">
        <x:v>Open</x:v>
      </x:c>
      <x:c r="G118" s="29" t="str">
        <x:v>解释源</x:v>
      </x:c>
      <x:c r="H118" s="29" t="str">
        <x:v>https://cmhr.psych.ac.cn/PopularScienceService.html</x:v>
      </x:c>
      <x:c r="I118" s="29" t="str">
        <x:v>心理健康素养与公众科普</x:v>
      </x:c>
      <x:c r="J118" s="29" t="str">
        <x:v>情绪调节、婚恋家庭、教育与心理健康素养</x:v>
      </x:c>
      <x:c r="K118" s="29" t="str">
        <x:v>由中国科学院心理研究所相关中心提供心理健康直播、文章与知识问答入口。</x:v>
      </x:c>
      <x:c r="L118" s="29" t="str">
        <x:v>公众科普不能替代精神科或心理专业评估；遇到危机应指向当地专业和急救服务。</x:v>
      </x:c>
    </x:row>
    <x:row r="119" ht="48" customHeight="1">
      <x:c r="A119" s="29" t="str">
        <x:v>B</x:v>
      </x:c>
      <x:c r="B119" s="29" t="n">
        <x:v>87</x:v>
      </x:c>
      <x:c r="C119" s="29" t="str">
        <x:v>心理、认知与情商</x:v>
      </x:c>
      <x:c r="D119" s="29" t="str">
        <x:v>BPS Research Digest</x:v>
      </x:c>
      <x:c r="E119" s="29" t="str">
        <x:v>Platform</x:v>
      </x:c>
      <x:c r="F119" s="29" t="str">
        <x:v>开放；当前未发现稳定公开 RSS</x:v>
      </x:c>
      <x:c r="G119" s="29" t="str">
        <x:v>解释源</x:v>
      </x:c>
      <x:c r="H119" s="29" t="str">
        <x:v>https://www.bps.org.uk/research-digest</x:v>
      </x:c>
      <x:c r="I119" s="29" t="str">
        <x:v>心理研究解释与批判</x:v>
      </x:c>
      <x:c r="J119" s="29" t="str">
        <x:v>将复杂论文转成清晰叙事，并沿原文链接核实研究；适合纠正常见心理学误读。</x:v>
      </x:c>
      <x:c r="K119" s="29" t="str">
        <x:v>英国心理学会旗下研究解读，常主动讨论方法限制、复制问题和结论边界。</x:v>
      </x:c>
      <x:c r="L119" s="29" t="str">
        <x:v>2026-08-17：官方主页 200；页面未发现 RSS，建议网页巡检或邮件订阅。</x:v>
      </x:c>
    </x:row>
    <x:row r="120" ht="48" customHeight="1">
      <x:c r="A120" s="29" t="str">
        <x:v>B</x:v>
      </x:c>
      <x:c r="B120" s="29" t="n">
        <x:v>87</x:v>
      </x:c>
      <x:c r="C120" s="29" t="str">
        <x:v>心理、认知与情商</x:v>
      </x:c>
      <x:c r="D120" s="29" t="str">
        <x:v>BrainFacts.org</x:v>
      </x:c>
      <x:c r="E120" s="29" t="str">
        <x:v>Platform</x:v>
      </x:c>
      <x:c r="F120" s="29" t="str">
        <x:v>开放；当前未发现稳定公开 RSS</x:v>
      </x:c>
      <x:c r="G120" s="29" t="str">
        <x:v>解释源</x:v>
      </x:c>
      <x:c r="H120" s="29" t="str">
        <x:v>https://www.brainfacts.org/</x:v>
      </x:c>
      <x:c r="I120" s="29" t="str">
        <x:v>脑科学与认知科普</x:v>
      </x:c>
      <x:c r="J120" s="29" t="str">
        <x:v>用于解释脑区、神经机制和常见脑科学误区；前沿结论继续引用原论文。</x:v>
      </x:c>
      <x:c r="K120" s="29" t="str">
        <x:v>由 Society for Neuroscience 等支持，将神经科学基础、疾病与研究方法转成公众可读材料。</x:v>
      </x:c>
      <x:c r="L120" s="29" t="str">
        <x:v>2026-08-17：官方主页 200；页面未暴露固定 RSS。</x:v>
      </x:c>
    </x:row>
    <x:row r="121" ht="48" customHeight="1">
      <x:c r="A121" s="29" t="str">
        <x:v>B</x:v>
      </x:c>
      <x:c r="B121" s="29" t="n">
        <x:v>87</x:v>
      </x:c>
      <x:c r="C121" s="29" t="str">
        <x:v>心理、认知与情商</x:v>
      </x:c>
      <x:c r="D121" s="29" t="str">
        <x:v>Harvard Center on the Developing Child</x:v>
      </x:c>
      <x:c r="E121" s="29" t="str">
        <x:v>Platform</x:v>
      </x:c>
      <x:c r="F121" s="29" t="str">
        <x:v>开放；未发现固定 RSS</x:v>
      </x:c>
      <x:c r="G121" s="29" t="str">
        <x:v>解释源</x:v>
      </x:c>
      <x:c r="H121" s="29" t="str">
        <x:v>https://developingchild.harvard.edu/</x:v>
      </x:c>
      <x:c r="I121" s="29" t="str">
        <x:v>儿童发展、压力与执行功能</x:v>
      </x:c>
      <x:c r="J121" s="29" t="str">
        <x:v>用于育儿、成长与儿童认知话题；优先引用工作论文或所列原始研究。</x:v>
      </x:c>
      <x:c r="K121" s="29" t="str">
        <x:v>将儿童发展、执行功能、早期压力与韧性研究转成图解、工作论文和实践框架。</x:v>
      </x:c>
      <x:c r="L121" s="29" t="str">
        <x:v>2026-08-17：自动检查主页返回 403/CDN；官方内容可被搜索索引，建议网页巡检或邮件订阅。</x:v>
      </x:c>
    </x:row>
    <x:row r="122" ht="48" customHeight="1">
      <x:c r="A122" s="29" t="str">
        <x:v>B</x:v>
      </x:c>
      <x:c r="B122" s="29" t="n">
        <x:v>87</x:v>
      </x:c>
      <x:c r="C122" s="29" t="str">
        <x:v>心理、认知与情商</x:v>
      </x:c>
      <x:c r="D122" s="29" t="str">
        <x:v>Stanford SPARQ</x:v>
      </x:c>
      <x:c r="E122" s="29" t="str">
        <x:v>Platform</x:v>
      </x:c>
      <x:c r="F122" s="29" t="str">
        <x:v>开放；无固定 RSS</x:v>
      </x:c>
      <x:c r="G122" s="29" t="str">
        <x:v>解释源</x:v>
      </x:c>
      <x:c r="H122" s="29" t="str">
        <x:v>https://sparq.stanford.edu/</x:v>
      </x:c>
      <x:c r="I122" s="29" t="str">
        <x:v>社会心理学现实应用</x:v>
      </x:c>
      <x:c r="J122" s="29" t="str">
        <x:v>适合写“一个行为问题有哪些经过测试的干预”类实用帖，并链接 Solutions Catalog。</x:v>
      </x:c>
      <x:c r="K122" s="29" t="str">
        <x:v>将社会心理研究转化为教育、健康、司法、关系和偏见领域的可用工具与解决方案。</x:v>
      </x:c>
      <x:c r="L122" s="29" t="str">
        <x:v>2026-08-17：官方主页 200；未发现公开 RSS。</x:v>
      </x:c>
    </x:row>
    <x:row r="123" ht="48" customHeight="1">
      <x:c r="A123" s="29" t="str">
        <x:v>B</x:v>
      </x:c>
      <x:c r="B123" s="29" t="n">
        <x:v>86</x:v>
      </x:c>
      <x:c r="C123" s="29" t="str">
        <x:v>成长与学习</x:v>
      </x:c>
      <x:c r="D123" s="29" t="str">
        <x:v>LeadDev</x:v>
      </x:c>
      <x:c r="E123" s="29" t="str">
        <x:v>Platform</x:v>
      </x:c>
      <x:c r="F123" s="29" t="str">
        <x:v>Freemium</x:v>
      </x:c>
      <x:c r="G123" s="29" t="str">
        <x:v>解释源</x:v>
      </x:c>
      <x:c r="H123" s="29" t="str">
        <x:v>https://leaddev.com/</x:v>
      </x:c>
      <x:c r="I123" s="29" t="str">
        <x:v>技术领导力与团队管理</x:v>
      </x:c>
      <x:c r="J123" s="29" t="str">
        <x:v>把技术主管的模糊问题转成团队机制、对话模板和复盘问题。</x:v>
      </x:c>
      <x:c r="K123" s="29" t="str">
        <x:v>聚焦技术主管真实工作，兼有从业者文章、演讲和团队管理案例。</x:v>
      </x:c>
      <x:c r="L123" s="29" t="str">
        <x:v>2026-08-17：官网返回200；本轮未发现稳定官方统一RSS，按平台收录。</x:v>
      </x:c>
    </x:row>
    <x:row r="124" ht="48" customHeight="1">
      <x:c r="A124" s="29" t="str">
        <x:v>B</x:v>
      </x:c>
      <x:c r="B124" s="29" t="n">
        <x:v>86</x:v>
      </x:c>
      <x:c r="C124" s="29" t="str">
        <x:v>科学与数学</x:v>
      </x:c>
      <x:c r="D124" s="29" t="str">
        <x:v>Lens</x:v>
      </x:c>
      <x:c r="E124" s="29" t="str">
        <x:v>Platform</x:v>
      </x:c>
      <x:c r="F124" s="29" t="str">
        <x:v>Freemium</x:v>
      </x:c>
      <x:c r="G124" s="29" t="str">
        <x:v>解释源</x:v>
      </x:c>
      <x:c r="H124" s="29" t="str">
        <x:v>https://www.lens.org/</x:v>
      </x:c>
      <x:c r="I124" s="29" t="str">
        <x:v>论文与专利图谱</x:v>
      </x:c>
      <x:c r="J124" s="29" t="str">
        <x:v>论文—专利关联、技术演化</x:v>
      </x:c>
      <x:c r="K124" s="29" t="str">
        <x:v>把论文、专利和机构连接起来，适合技术转化和产业脉络。</x:v>
      </x:c>
      <x:c r="L124" s="29" t="str">
        <x:v>使用前核对数据口径、更新时间、许可与引用格式。</x:v>
      </x:c>
    </x:row>
    <x:row r="125" ht="48" customHeight="1">
      <x:c r="A125" s="29" t="str">
        <x:v>B</x:v>
      </x:c>
      <x:c r="B125" s="29" t="n">
        <x:v>86</x:v>
      </x:c>
      <x:c r="C125" s="29" t="str">
        <x:v>商业、管理与创新</x:v>
      </x:c>
      <x:c r="D125" s="29" t="str">
        <x:v>Benedict Evans</x:v>
      </x:c>
      <x:c r="E125" s="29" t="str">
        <x:v>RSS</x:v>
      </x:c>
      <x:c r="F125" s="29" t="str">
        <x:v>Freemium</x:v>
      </x:c>
      <x:c r="G125" s="29" t="str">
        <x:v>解释源</x:v>
      </x:c>
      <x:c r="H125" s="29" t="str">
        <x:v>https://www.ben-evans.com/benedictevans?format=rss</x:v>
      </x:c>
      <x:c r="I125" s="29" t="str">
        <x:v>科技趋势与市场结构</x:v>
      </x:c>
      <x:c r="J125" s="29" t="str">
        <x:v>一张图表加一个被忽视的基准率加一个趋势问题。</x:v>
      </x:c>
      <x:c r="K125" s="29" t="str">
        <x:v>善于用历史和市场数据校准技术叙事，能提供高质量图表和二阶问题。</x:v>
      </x:c>
      <x:c r="L125" s="29" t="str">
        <x:v>2026-08-17：Squarespace官方RSS返回200和有效XML；图表引用应保留原始数据出处。</x:v>
      </x:c>
    </x:row>
    <x:row r="126" ht="48" customHeight="1">
      <x:c r="A126" s="29" t="str">
        <x:v>B</x:v>
      </x:c>
      <x:c r="B126" s="29" t="n">
        <x:v>86</x:v>
      </x:c>
      <x:c r="C126" s="29" t="str">
        <x:v>商业、管理与创新</x:v>
      </x:c>
      <x:c r="D126" s="29" t="str">
        <x:v>Center for Evidence-Based Management</x:v>
      </x:c>
      <x:c r="E126" s="29" t="str">
        <x:v>Platform</x:v>
      </x:c>
      <x:c r="F126" s="29" t="str">
        <x:v>Freemium</x:v>
      </x:c>
      <x:c r="G126" s="29" t="str">
        <x:v>解释源</x:v>
      </x:c>
      <x:c r="H126" s="29" t="str">
        <x:v>https://cebma.org/</x:v>
      </x:c>
      <x:c r="I126" s="29" t="str">
        <x:v>循证管理与决策</x:v>
      </x:c>
      <x:c r="J126" s="29" t="str">
        <x:v>展示如何把一个管理问题改写成可检验问题，并检查四类证据。</x:v>
      </x:c>
      <x:c r="K126" s="29" t="str">
        <x:v>独立非营利机构，专门训练管理者综合科学、组织、实践者与利益相关者证据。</x:v>
      </x:c>
      <x:c r="L126" s="29" t="str">
        <x:v>2026-08-17：官网返回200；未发现稳定官方RSS，按资源平台收录，部分课程和综述需会员。</x:v>
      </x:c>
    </x:row>
    <x:row r="127" ht="48" customHeight="1">
      <x:c r="A127" s="29" t="str">
        <x:v>B</x:v>
      </x:c>
      <x:c r="B127" s="29" t="n">
        <x:v>86</x:v>
      </x:c>
      <x:c r="C127" s="29" t="str">
        <x:v>商业、管理与创新</x:v>
      </x:c>
      <x:c r="D127" s="29" t="str">
        <x:v>Harvard Business Review</x:v>
      </x:c>
      <x:c r="E127" s="29" t="str">
        <x:v>Platform</x:v>
      </x:c>
      <x:c r="F127" s="29" t="str">
        <x:v>Freemium</x:v>
      </x:c>
      <x:c r="G127" s="29" t="str">
        <x:v>解释源</x:v>
      </x:c>
      <x:c r="H127" s="29" t="str">
        <x:v>https://hbr.org/</x:v>
      </x:c>
      <x:c r="I127" s="29" t="str">
        <x:v>管理研究与实践</x:v>
      </x:c>
      <x:c r="J127" s="29" t="str">
        <x:v>用一个管理难题组织研究观点、案例和行动清单。</x:v>
      </x:c>
      <x:c r="K127" s="29" t="str">
        <x:v>管理学者与企业实践者共同写作，选题覆盖管理者最常见的决策问题。</x:v>
      </x:c>
      <x:c r="L127" s="29" t="str">
        <x:v>2026-08-17：官网返回200；未使用不稳定的第三方文章Feed，重要结论应引用具体文章及其研究出处。</x:v>
      </x:c>
    </x:row>
    <x:row r="128" ht="48" customHeight="1">
      <x:c r="A128" s="29" t="str">
        <x:v>B</x:v>
      </x:c>
      <x:c r="B128" s="29" t="n">
        <x:v>86</x:v>
      </x:c>
      <x:c r="C128" s="29" t="str">
        <x:v>商业、管理与创新</x:v>
      </x:c>
      <x:c r="D128" s="29" t="str">
        <x:v>Stratechery</x:v>
      </x:c>
      <x:c r="E128" s="29" t="str">
        <x:v>RSS</x:v>
      </x:c>
      <x:c r="F128" s="29" t="str">
        <x:v>Freemium</x:v>
      </x:c>
      <x:c r="G128" s="29" t="str">
        <x:v>解释源</x:v>
      </x:c>
      <x:c r="H128" s="29" t="str">
        <x:v>https://stratechery.com/feed/</x:v>
      </x:c>
      <x:c r="I128" s="29" t="str">
        <x:v>科技战略与商业模式</x:v>
      </x:c>
      <x:c r="J128" s="29" t="str">
        <x:v>事件加商业模式机制加长期竞争格局的三层分析。</x:v>
      </x:c>
      <x:c r="K128" s="29" t="str">
        <x:v>形成了高度一致的科技商业分析框架，适合从单一新闻提升到结构性解释。</x:v>
      </x:c>
      <x:c r="L128" s="29" t="str">
        <x:v>2026-08-17：官方RSS返回200和有效XML；付费内容可能只显示摘要，观点应与公司披露和数据对照。</x:v>
      </x:c>
    </x:row>
    <x:row r="129" ht="48" customHeight="1">
      <x:c r="A129" s="29" t="str">
        <x:v>B</x:v>
      </x:c>
      <x:c r="B129" s="29" t="n">
        <x:v>86</x:v>
      </x:c>
      <x:c r="C129" s="29" t="str">
        <x:v>商业、管理与创新</x:v>
      </x:c>
      <x:c r="D129" s="29" t="str">
        <x:v>中欧国际工商学院研究</x:v>
      </x:c>
      <x:c r="E129" s="29" t="str">
        <x:v>Platform</x:v>
      </x:c>
      <x:c r="F129" s="29" t="str">
        <x:v>Varies</x:v>
      </x:c>
      <x:c r="G129" s="29" t="str">
        <x:v>解释源</x:v>
      </x:c>
      <x:c r="H129" s="29" t="str">
        <x:v>https://cn.ceibs.edu/faculty/research</x:v>
      </x:c>
      <x:c r="I129" s="29" t="str">
        <x:v>工作论文、研究报告与中国管理实践</x:v>
      </x:c>
      <x:c r="J129" s="29" t="str">
        <x:v>管理研究、组织案例、中国与全球商业比较</x:v>
      </x:c>
      <x:c r="K129" s="29" t="str">
        <x:v>集中提供工作论文、研究报告、前沿观点、案例中心与研究机构入口。</x:v>
      </x:c>
      <x:c r="L129" s="29" t="str">
        <x:v>优先引用完整研究报告；商业活动与媒体稿仅作线索，注意案例和报告版权。</x:v>
      </x:c>
    </x:row>
    <x:row r="130" ht="48" customHeight="1">
      <x:c r="A130" s="29" t="str">
        <x:v>C</x:v>
      </x:c>
      <x:c r="B130" s="29" t="n">
        <x:v>77</x:v>
      </x:c>
      <x:c r="C130" s="29" t="str">
        <x:v>商业、管理与创新</x:v>
      </x:c>
      <x:c r="D130" s="29" t="str">
        <x:v>First Round Review</x:v>
      </x:c>
      <x:c r="E130" s="29" t="str">
        <x:v>Platform</x:v>
      </x:c>
      <x:c r="F130" s="29" t="str">
        <x:v>Open</x:v>
      </x:c>
      <x:c r="G130" s="29" t="str">
        <x:v>观点源</x:v>
      </x:c>
      <x:c r="H130" s="29" t="str">
        <x:v>https://review.firstround.com/</x:v>
      </x:c>
      <x:c r="I130" s="29" t="str">
        <x:v>创业与公司建设</x:v>
      </x:c>
      <x:c r="J130" s="29" t="str">
        <x:v>将一个公司实践拆成背景、关键决策、指标和可迁移做法。</x:v>
      </x:c>
      <x:c r="K130" s="29" t="str">
        <x:v>强调由一线建设者讲清具体做法，案例细节和可复用模板密度很高。</x:v>
      </x:c>
      <x:c r="L130" s="29" t="str">
        <x:v>2026-08-17：官网返回200；未发现文章统一RSS，按平台收录。来源由风投机构运营，需注意成功案例选择偏差。</x:v>
      </x:c>
    </x:row>
    <x:row r="131" ht="48" customHeight="1">
      <x:c r="A131" s="29" t="str">
        <x:v>C</x:v>
      </x:c>
      <x:c r="B131" s="29" t="n">
        <x:v>77</x:v>
      </x:c>
      <x:c r="C131" s="29" t="str">
        <x:v>商业、管理与创新</x:v>
      </x:c>
      <x:c r="D131" s="29" t="str">
        <x:v>Sequoia Capital Stories</x:v>
      </x:c>
      <x:c r="E131" s="29" t="str">
        <x:v>Platform</x:v>
      </x:c>
      <x:c r="F131" s="29" t="str">
        <x:v>Open</x:v>
      </x:c>
      <x:c r="G131" s="29" t="str">
        <x:v>观点源</x:v>
      </x:c>
      <x:c r="H131" s="29" t="str">
        <x:v>https://sequoiacap.com/stories/?_story-category=perspective</x:v>
      </x:c>
      <x:c r="I131" s="29" t="str">
        <x:v>创业、组织与科技趋势</x:v>
      </x:c>
      <x:c r="J131" s="29" t="str">
        <x:v>引用具体公司历程或投资判断，并加入反方数据。</x:v>
      </x:c>
      <x:c r="K131" s="29" t="str">
        <x:v>提供长期创业观察、标志性公司案例和投资人的明确判断，适合形成可争辩观点。</x:v>
      </x:c>
      <x:c r="L131" s="29" t="str">
        <x:v>2026-08-17：Stories页面返回200；未发现稳定官方RSS。属于投资机构自有叙事，应标注利益关系和幸存者偏差。</x:v>
      </x:c>
    </x:row>
    <x:row r="132" ht="48" customHeight="1">
      <x:c r="A132" s="29" t="str">
        <x:v>C</x:v>
      </x:c>
      <x:c r="B132" s="29" t="n">
        <x:v>77</x:v>
      </x:c>
      <x:c r="C132" s="29" t="str">
        <x:v>商业、管理与创新</x:v>
      </x:c>
      <x:c r="D132" s="29" t="str">
        <x:v>Stanford eCorner</x:v>
      </x:c>
      <x:c r="E132" s="29" t="str">
        <x:v>Platform</x:v>
      </x:c>
      <x:c r="F132" s="29" t="str">
        <x:v>Open</x:v>
      </x:c>
      <x:c r="G132" s="29" t="str">
        <x:v>观点源</x:v>
      </x:c>
      <x:c r="H132" s="29" t="str">
        <x:v>https://stvp.stanford.edu/ecorner</x:v>
      </x:c>
      <x:c r="I132" s="29" t="str">
        <x:v>创业教育与案例</x:v>
      </x:c>
      <x:c r="J132" s="29" t="str">
        <x:v>从一段创业者原话延伸出案例时间线和可迁移经验。</x:v>
      </x:c>
      <x:c r="K132" s="29" t="str">
        <x:v>斯坦福技术创业项目的长期公开档案，可用来对比不同时代的创业方法和失败经验。</x:v>
      </x:c>
      <x:c r="L132" s="29" t="str">
        <x:v>2026-08-17：旧ecorner域名重定向到STVP官网并返回200；旧RSS路径已404，按平台收录。</x:v>
      </x:c>
    </x:row>
    <x:row r="133" ht="48" customHeight="1">
      <x:c r="A133" s="29" t="str">
        <x:v>C</x:v>
      </x:c>
      <x:c r="B133" s="29" t="n">
        <x:v>71</x:v>
      </x:c>
      <x:c r="C133" s="29" t="str">
        <x:v>历史与考古</x:v>
      </x:c>
      <x:c r="D133" s="29" t="str">
        <x:v>The Public Domain Review</x:v>
      </x:c>
      <x:c r="E133" s="29" t="str">
        <x:v>RSS</x:v>
      </x:c>
      <x:c r="F133" s="29" t="str">
        <x:v>Open</x:v>
      </x:c>
      <x:c r="G133" s="29" t="str">
        <x:v>灵感源</x:v>
      </x:c>
      <x:c r="H133" s="29" t="str">
        <x:v>https://publicdomainreview.org/rss.xml</x:v>
      </x:c>
      <x:c r="I133" s="29" t="str">
        <x:v>公共领域、艺术与思想史</x:v>
      </x:c>
      <x:c r="J133" s="29" t="str">
        <x:v>古图轮播、历史冷知识和旧观念如何影响今天。</x:v>
      </x:c>
      <x:c r="K133" s="29" t="str">
        <x:v>从公共领域档案中策展高质量图像与文本，常能直接追到博物馆或图书馆原始记录。</x:v>
      </x:c>
      <x:c r="L133" s="29" t="str">
        <x:v>2026-08-17：RSS 端点返回 application/xml。使用图像前仍需核对单件权利声明。</x:v>
      </x:c>
    </x:row>
    <x:row r="134" ht="48" customHeight="1">
      <x:c r="A134" s="29" t="str">
        <x:v>C</x:v>
      </x:c>
      <x:c r="B134" s="29" t="n">
        <x:v>71</x:v>
      </x:c>
      <x:c r="C134" s="29" t="str">
        <x:v>数据与可视化</x:v>
      </x:c>
      <x:c r="D134" s="29" t="str">
        <x:v>Information is Beautiful Awards</x:v>
      </x:c>
      <x:c r="E134" s="29" t="str">
        <x:v>Platform</x:v>
      </x:c>
      <x:c r="F134" s="29" t="str">
        <x:v>Open</x:v>
      </x:c>
      <x:c r="G134" s="29" t="str">
        <x:v>灵感源</x:v>
      </x:c>
      <x:c r="H134" s="29" t="str">
        <x:v>https://www.informationisbeautifulawards.com/</x:v>
      </x:c>
      <x:c r="I134" s="29" t="str">
        <x:v>优秀可视化案例库</x:v>
      </x:c>
      <x:c r="J134" s="29" t="str">
        <x:v>视觉趋势、案例拆解</x:v>
      </x:c>
      <x:c r="K134" s="29" t="str">
        <x:v>按年度和类别浏览高水平数据叙事项目。</x:v>
      </x:c>
      <x:c r="L134" s="29" t="str">
        <x:v>作品是灵感与线索，事实需回查项目数据和方法。</x:v>
      </x:c>
    </x:row>
    <x:row r="135" ht="48" customHeight="1">
      <x:c r="A135" s="29" t="str">
        <x:v>C</x:v>
      </x:c>
      <x:c r="B135" s="29" t="n">
        <x:v>71</x:v>
      </x:c>
      <x:c r="C135" s="29" t="str">
        <x:v>数据与可视化</x:v>
      </x:c>
      <x:c r="D135" s="29" t="str">
        <x:v>RAWGraphs</x:v>
      </x:c>
      <x:c r="E135" s="29" t="str">
        <x:v>Platform</x:v>
      </x:c>
      <x:c r="F135" s="29" t="str">
        <x:v>Open</x:v>
      </x:c>
      <x:c r="G135" s="29" t="str">
        <x:v>灵感源</x:v>
      </x:c>
      <x:c r="H135" s="29" t="str">
        <x:v>https://www.rawgraphs.io/</x:v>
      </x:c>
      <x:c r="I135" s="29" t="str">
        <x:v>开源图表生成</x:v>
      </x:c>
      <x:c r="J135" s="29" t="str">
        <x:v>桑基、层级与关系图</x:v>
      </x:c>
      <x:c r="K135" s="29" t="str">
        <x:v>快速把表格数据转成非常规图表并导出矢量。</x:v>
      </x:c>
      <x:c r="L135" s="29" t="str">
        <x:v>使用前核对数据口径、更新时间、许可与引用格式。</x:v>
      </x:c>
    </x:row>
    <x:row r="136" ht="48" customHeight="1">
      <x:c r="A136" s="29" t="str">
        <x:v>C</x:v>
      </x:c>
      <x:c r="B136" s="29" t="n">
        <x:v>71</x:v>
      </x:c>
      <x:c r="C136" s="29" t="str">
        <x:v>数据与可视化</x:v>
      </x:c>
      <x:c r="D136" s="29" t="str">
        <x:v>Tableau Public</x:v>
      </x:c>
      <x:c r="E136" s="29" t="str">
        <x:v>Platform</x:v>
      </x:c>
      <x:c r="F136" s="29" t="str">
        <x:v>Open</x:v>
      </x:c>
      <x:c r="G136" s="29" t="str">
        <x:v>灵感源</x:v>
      </x:c>
      <x:c r="H136" s="29" t="str">
        <x:v>https://public.tableau.com/</x:v>
      </x:c>
      <x:c r="I136" s="29" t="str">
        <x:v>公开交互可视化社区</x:v>
      </x:c>
      <x:c r="J136" s="29" t="str">
        <x:v>图表灵感、交互结构</x:v>
      </x:c>
      <x:c r="K136" s="29" t="str">
        <x:v>发现交互仪表板和可视化技法，适合作为结构灵感。</x:v>
      </x:c>
      <x:c r="L136" s="29" t="str">
        <x:v>不要把作者计算字段当一手证据；回查其数据源和许可。</x:v>
      </x:c>
    </x:row>
    <x:row r="137" ht="48" customHeight="1">
      <x:c r="A137" s="29" t="str">
        <x:v>C</x:v>
      </x:c>
      <x:c r="B137" s="29" t="n">
        <x:v>70</x:v>
      </x:c>
      <x:c r="C137" s="29" t="str">
        <x:v>地球、地理与城市</x:v>
      </x:c>
      <x:c r="D137" s="29" t="str">
        <x:v>Humanitarian Data Exchange</x:v>
      </x:c>
      <x:c r="E137" s="29" t="str">
        <x:v>API</x:v>
      </x:c>
      <x:c r="F137" s="29" t="str">
        <x:v>Open</x:v>
      </x:c>
      <x:c r="G137" s="29" t="str">
        <x:v>线索源</x:v>
      </x:c>
      <x:c r="H137" s="29" t="str">
        <x:v>https://data.humdata.org/api/3</x:v>
      </x:c>
      <x:c r="I137" s="29" t="str">
        <x:v>人道主义开放数据</x:v>
      </x:c>
      <x:c r="J137" s="29" t="str">
        <x:v>危机背景、地图与资源缺口</x:v>
      </x:c>
      <x:c r="K137" s="29" t="str">
        <x:v>危机、人口、边界和基础设施数据的权威聚合入口。</x:v>
      </x:c>
      <x:c r="L137" s="29" t="str">
        <x:v>冲突与灾害数据可能滞后或敏感；阅读数据责任与方法说明。</x:v>
      </x:c>
    </x:row>
    <x:row r="138" ht="48" customHeight="1">
      <x:c r="A138" s="29" t="str">
        <x:v>C</x:v>
      </x:c>
      <x:c r="B138" s="29" t="n">
        <x:v>70</x:v>
      </x:c>
      <x:c r="C138" s="29" t="str">
        <x:v>科学与数学</x:v>
      </x:c>
      <x:c r="D138" s="29" t="str">
        <x:v>arXiv</x:v>
      </x:c>
      <x:c r="E138" s="29" t="str">
        <x:v>API</x:v>
      </x:c>
      <x:c r="F138" s="29" t="str">
        <x:v>Open</x:v>
      </x:c>
      <x:c r="G138" s="29" t="str">
        <x:v>线索源</x:v>
      </x:c>
      <x:c r="H138" s="29" t="str">
        <x:v>https://export.arxiv.org/api/query</x:v>
      </x:c>
      <x:c r="I138" s="29" t="str">
        <x:v>预印本检索</x:v>
      </x:c>
      <x:c r="J138" s="29" t="str">
        <x:v>前沿研究雷达、论文清单</x:v>
      </x:c>
      <x:c r="K138" s="29" t="str">
        <x:v>前沿论文最快入口之一，适合发现趋势但不能等同同行评审结论。</x:v>
      </x:c>
      <x:c r="L138" s="29" t="str">
        <x:v>明确标注预印本状态，并检查后续正式版本与撤稿/修订。</x:v>
      </x:c>
    </x:row>
    <x:row r="139" ht="48" customHeight="1">
      <x:c r="A139" s="29" t="str">
        <x:v>C</x:v>
      </x:c>
      <x:c r="B139" s="29" t="n">
        <x:v>70</x:v>
      </x:c>
      <x:c r="C139" s="29" t="str">
        <x:v>科学与数学</x:v>
      </x:c>
      <x:c r="D139" s="29" t="str">
        <x:v>Semantic Scholar</x:v>
      </x:c>
      <x:c r="E139" s="29" t="str">
        <x:v>API</x:v>
      </x:c>
      <x:c r="F139" s="29" t="str">
        <x:v>Open</x:v>
      </x:c>
      <x:c r="G139" s="29" t="str">
        <x:v>线索源</x:v>
      </x:c>
      <x:c r="H139" s="29" t="str">
        <x:v>https://api.semanticscholar.org/</x:v>
      </x:c>
      <x:c r="I139" s="29" t="str">
        <x:v>论文检索与引用图谱</x:v>
      </x:c>
      <x:c r="J139" s="29" t="str">
        <x:v>文献追踪、研究脉络</x:v>
      </x:c>
      <x:c r="K139" s="29" t="str">
        <x:v>提供论文关联、引用与主题发现，适合从解释源追一手论文。</x:v>
      </x:c>
      <x:c r="L139" s="29" t="str">
        <x:v>使用前核对数据口径、更新时间、许可与引用格式。</x:v>
      </x:c>
    </x:row>
    <x:row r="140" ht="48" customHeight="1">
      <x:c r="A140" s="29" t="str">
        <x:v>C</x:v>
      </x:c>
      <x:c r="B140" s="29" t="n">
        <x:v>70</x:v>
      </x:c>
      <x:c r="C140" s="29" t="str">
        <x:v>历史与考古</x:v>
      </x:c>
      <x:c r="D140" s="29" t="str">
        <x:v>Digital Public Library of America</x:v>
      </x:c>
      <x:c r="E140" s="29" t="str">
        <x:v>API</x:v>
      </x:c>
      <x:c r="F140" s="29" t="str">
        <x:v>Open</x:v>
      </x:c>
      <x:c r="G140" s="29" t="str">
        <x:v>线索源</x:v>
      </x:c>
      <x:c r="H140" s="29" t="str">
        <x:v>https://pro.dp.la/developers/api-codex</x:v>
      </x:c>
      <x:c r="I140" s="29" t="str">
        <x:v>美国文化遗产聚合</x:v>
      </x:c>
      <x:c r="J140" s="29" t="str">
        <x:v>美国史素材、跨馆藏集合</x:v>
      </x:c>
      <x:c r="K140" s="29" t="str">
        <x:v>跨机构检索照片、手稿、地图和口述史。</x:v>
      </x:c>
      <x:c r="L140" s="29" t="str">
        <x:v>使用前核对数据口径、更新时间、许可与引用格式。</x:v>
      </x:c>
    </x:row>
    <x:row r="141" ht="48" customHeight="1">
      <x:c r="A141" s="29" t="str">
        <x:v>C</x:v>
      </x:c>
      <x:c r="B141" s="29" t="n">
        <x:v>70</x:v>
      </x:c>
      <x:c r="C141" s="29" t="str">
        <x:v>历史与考古</x:v>
      </x:c>
      <x:c r="D141" s="29" t="str">
        <x:v>Europeana</x:v>
      </x:c>
      <x:c r="E141" s="29" t="str">
        <x:v>API</x:v>
      </x:c>
      <x:c r="F141" s="29" t="str">
        <x:v>Open</x:v>
      </x:c>
      <x:c r="G141" s="29" t="str">
        <x:v>线索源</x:v>
      </x:c>
      <x:c r="H141" s="29" t="str">
        <x:v>https://api.europeana.eu/</x:v>
      </x:c>
      <x:c r="I141" s="29" t="str">
        <x:v>欧洲文化遗产聚合</x:v>
      </x:c>
      <x:c r="J141" s="29" t="str">
        <x:v>跨馆藏选题、欧洲文化史</x:v>
      </x:c>
      <x:c r="K141" s="29" t="str">
        <x:v>聚合欧洲博物馆、图书馆和档案馆的图像与元数据。</x:v>
      </x:c>
      <x:c r="L141" s="29" t="str">
        <x:v>以原持有机构条目的版权标签为准。</x:v>
      </x:c>
    </x:row>
    <x:row r="142" ht="48" customHeight="1">
      <x:c r="A142" s="29" t="str">
        <x:v>C</x:v>
      </x:c>
      <x:c r="B142" s="29" t="n">
        <x:v>70</x:v>
      </x:c>
      <x:c r="C142" s="29" t="str">
        <x:v>商业、管理与创新</x:v>
      </x:c>
      <x:c r="D142" s="29" t="str">
        <x:v>a16z</x:v>
      </x:c>
      <x:c r="E142" s="29" t="str">
        <x:v>Platform</x:v>
      </x:c>
      <x:c r="F142" s="29" t="str">
        <x:v>Open</x:v>
      </x:c>
      <x:c r="G142" s="29" t="str">
        <x:v>线索源</x:v>
      </x:c>
      <x:c r="H142" s="29" t="str">
        <x:v>https://a16z.com/</x:v>
      </x:c>
      <x:c r="I142" s="29" t="str">
        <x:v>科技投资与产业分析</x:v>
      </x:c>
      <x:c r="J142" s="29" t="str">
        <x:v>用市场地图发现赛道，再以独立数据校验规模和趋势。</x:v>
      </x:c>
      <x:c r="K142" s="29" t="str">
        <x:v>覆盖AI、软件、金融科技、生物科技和创业生态，常发布原创框架与市场材料。</x:v>
      </x:c>
      <x:c r="L142" s="29" t="str">
        <x:v>2026-08-17：官网返回200；旧/feed/为404，按平台收录。属于投资机构观点，涉及其投资组合时必须披露并交叉核验。</x:v>
      </x:c>
    </x:row>
    <x:row r="143" ht="48" customHeight="1">
      <x:c r="A143" s="29" t="str">
        <x:v>C</x:v>
      </x:c>
      <x:c r="B143" s="29" t="n">
        <x:v>70</x:v>
      </x:c>
      <x:c r="C143" s="29" t="str">
        <x:v>商业、管理与创新</x:v>
      </x:c>
      <x:c r="D143" s="29" t="str">
        <x:v>IDEAS/RePEc</x:v>
      </x:c>
      <x:c r="E143" s="29" t="str">
        <x:v>Platform</x:v>
      </x:c>
      <x:c r="F143" s="29" t="str">
        <x:v>Open</x:v>
      </x:c>
      <x:c r="G143" s="29" t="str">
        <x:v>线索源</x:v>
      </x:c>
      <x:c r="H143" s="29" t="str">
        <x:v>https://ideas.repec.org/</x:v>
      </x:c>
      <x:c r="I143" s="29" t="str">
        <x:v>经济学文献数据库</x:v>
      </x:c>
      <x:c r="J143" s="29" t="str">
        <x:v>经济学溯源、作者与机构发现</x:v>
      </x:c>
      <x:c r="K143" s="29" t="str">
        <x:v>覆盖工作论文、期刊、作者与机构排名。</x:v>
      </x:c>
      <x:c r="L143" s="29" t="str">
        <x:v>使用前核对数据口径、更新时间、许可与引用格式。</x:v>
      </x:c>
    </x:row>
    <x:row r="144" ht="48" customHeight="1">
      <x:c r="A144" s="29" t="str">
        <x:v>C</x:v>
      </x:c>
      <x:c r="B144" s="29" t="n">
        <x:v>70</x:v>
      </x:c>
      <x:c r="C144" s="29" t="str">
        <x:v>数据与可视化</x:v>
      </x:c>
      <x:c r="D144" s="29" t="str">
        <x:v>Data.gov</x:v>
      </x:c>
      <x:c r="E144" s="29" t="str">
        <x:v>API</x:v>
      </x:c>
      <x:c r="F144" s="29" t="str">
        <x:v>Open</x:v>
      </x:c>
      <x:c r="G144" s="29" t="str">
        <x:v>线索源</x:v>
      </x:c>
      <x:c r="H144" s="29" t="str">
        <x:v>https://catalog.data.gov/api/3/</x:v>
      </x:c>
      <x:c r="I144" s="29" t="str">
        <x:v>美国政府开放数据目录</x:v>
      </x:c>
      <x:c r="J144" s="29" t="str">
        <x:v>公共政策、环境、交通与城市数据</x:v>
      </x:c>
      <x:c r="K144" s="29" t="str">
        <x:v>跨机构发现原始政府数据集的统一入口。</x:v>
      </x:c>
      <x:c r="L144" s="29" t="str">
        <x:v>使用前核对数据口径、更新时间、许可与引用格式。</x:v>
      </x:c>
    </x:row>
    <x:row r="145" ht="48" customHeight="1">
      <x:c r="A145" s="29" t="str">
        <x:v>C</x:v>
      </x:c>
      <x:c r="B145" s="29" t="n">
        <x:v>70</x:v>
      </x:c>
      <x:c r="C145" s="29" t="str">
        <x:v>新闻与调查</x:v>
      </x:c>
      <x:c r="D145" s="29" t="str">
        <x:v>GDELT Project</x:v>
      </x:c>
      <x:c r="E145" s="29" t="str">
        <x:v>API</x:v>
      </x:c>
      <x:c r="F145" s="29" t="str">
        <x:v>Open</x:v>
      </x:c>
      <x:c r="G145" s="29" t="str">
        <x:v>线索源</x:v>
      </x:c>
      <x:c r="H145" s="29" t="str">
        <x:v>https://api.gdeltproject.org/api/v2/doc/doc</x:v>
      </x:c>
      <x:c r="I145" s="29" t="str">
        <x:v>全球新闻事件与文本</x:v>
      </x:c>
      <x:c r="J145" s="29" t="str">
        <x:v>新闻热度图、事件传播、叙事对比；事件时间线、媒体关注与地理分布</x:v>
      </x:c>
      <x:c r="K145" s="29" t="str">
        <x:v>以机器方式索引全球新闻、事件、地点和情绪，适合宏观媒体分析。</x:v>
      </x:c>
      <x:c r="L145" s="29" t="str">
        <x:v>数据流与API而非统一RSS；分析必须说明媒体覆盖、语言和自动编码偏差。；机器抽取存在误报和媒体覆盖偏差；抽样回读原报道。</x:v>
      </x:c>
    </x:row>
    <x:row r="146" ht="48" customHeight="1">
      <x:c r="A146" s="29" t="str">
        <x:v>C</x:v>
      </x:c>
      <x:c r="B146" s="29" t="n">
        <x:v>70</x:v>
      </x:c>
      <x:c r="C146" s="29" t="str">
        <x:v>艺术、设计与建筑</x:v>
      </x:c>
      <x:c r="D146" s="29" t="str">
        <x:v>Wikimedia Commons</x:v>
      </x:c>
      <x:c r="E146" s="29" t="str">
        <x:v>API</x:v>
      </x:c>
      <x:c r="F146" s="29" t="str">
        <x:v>Open</x:v>
      </x:c>
      <x:c r="G146" s="29" t="str">
        <x:v>线索源</x:v>
      </x:c>
      <x:c r="H146" s="29" t="str">
        <x:v>https://commons.wikimedia.org/w/api.php</x:v>
      </x:c>
      <x:c r="I146" s="29" t="str">
        <x:v>开放媒体与许可元数据</x:v>
      </x:c>
      <x:c r="J146" s="29" t="str">
        <x:v>图卡、地图、作品与人物图像</x:v>
      </x:c>
      <x:c r="K146" s="29" t="str">
        <x:v>适合找可合法复用的历史图像、地图、照片和 SVG。</x:v>
      </x:c>
      <x:c r="L146" s="29" t="str">
        <x:v>逐个文件核对许可证、作者、来源和署名要求；不要只看搜索缩略图。</x:v>
      </x:c>
    </x:row>
    <x:row r="147" ht="48" customHeight="1">
      <x:c r="A147" s="29" t="str">
        <x:v>C</x:v>
      </x:c>
      <x:c r="B147" s="29" t="n">
        <x:v>70</x:v>
      </x:c>
      <x:c r="C147" s="29" t="str">
        <x:v>AI、科技与工程</x:v>
      </x:c>
      <x:c r="D147" s="29" t="str">
        <x:v>Papers with Code</x:v>
      </x:c>
      <x:c r="E147" s="29" t="str">
        <x:v>Platform</x:v>
      </x:c>
      <x:c r="F147" s="29" t="str">
        <x:v>Open</x:v>
      </x:c>
      <x:c r="G147" s="29" t="str">
        <x:v>线索源</x:v>
      </x:c>
      <x:c r="H147" s="29" t="str">
        <x:v>https://paperswithcode.com/</x:v>
      </x:c>
      <x:c r="I147" s="29" t="str">
        <x:v>论文代码与基准数据库</x:v>
      </x:c>
      <x:c r="J147" s="29" t="str">
        <x:v>Benchmark对比、代码资源包、复现路线</x:v>
      </x:c>
      <x:c r="K147" s="29" t="str">
        <x:v>快速连接论文、实现和基准，适合作为复现入口。</x:v>
      </x:c>
      <x:c r="L147" s="29" t="str">
        <x:v>未核验到官方统一RSS；SOTA数字须回原论文和官方代码库复核。</x:v>
      </x:c>
    </x:row>
    <x:row r="148" ht="48" customHeight="1">
      <x:c r="A148" s="29" t="str">
        <x:v>C</x:v>
      </x:c>
      <x:c r="B148" s="29" t="n">
        <x:v>69</x:v>
      </x:c>
      <x:c r="C148" s="29" t="str">
        <x:v>数据与可视化</x:v>
      </x:c>
      <x:c r="D148" s="29" t="str">
        <x:v>Flourish Blog</x:v>
      </x:c>
      <x:c r="E148" s="29" t="str">
        <x:v>Platform</x:v>
      </x:c>
      <x:c r="F148" s="29" t="str">
        <x:v>Freemium</x:v>
      </x:c>
      <x:c r="G148" s="29" t="str">
        <x:v>灵感源</x:v>
      </x:c>
      <x:c r="H148" s="29" t="str">
        <x:v>https://flourish.studio/blog/</x:v>
      </x:c>
      <x:c r="I148" s="29" t="str">
        <x:v>交互图表与滚动叙事</x:v>
      </x:c>
      <x:c r="J148" s="29" t="str">
        <x:v>图表类型教程、互动设计、案例拆解</x:v>
      </x:c>
      <x:c r="K148" s="29" t="str">
        <x:v>模板丰富，文章常给出可直接复用的图表选择建议。</x:v>
      </x:c>
      <x:c r="L148" s="29" t="str">
        <x:v>本轮未核验到稳定官方RSS，建议网页或邮件监测。</x:v>
      </x:c>
    </x:row>
    <x:row r="149" ht="48" customHeight="1">
      <x:c r="A149" s="29" t="str">
        <x:v>C</x:v>
      </x:c>
      <x:c r="B149" s="29" t="n">
        <x:v>69</x:v>
      </x:c>
      <x:c r="C149" s="29" t="str">
        <x:v>数据与可视化</x:v>
      </x:c>
      <x:c r="D149" s="29" t="str">
        <x:v>Reuters Graphics</x:v>
      </x:c>
      <x:c r="E149" s="29" t="str">
        <x:v>Platform</x:v>
      </x:c>
      <x:c r="F149" s="29" t="str">
        <x:v>Varies</x:v>
      </x:c>
      <x:c r="G149" s="29" t="str">
        <x:v>灵感源</x:v>
      </x:c>
      <x:c r="H149" s="29" t="str">
        <x:v>https://www.reuters.com/graphics/</x:v>
      </x:c>
      <x:c r="I149" s="29" t="str">
        <x:v>视觉新闻</x:v>
      </x:c>
      <x:c r="J149" s="29" t="str">
        <x:v>热点图解、交互案例、视觉新闻复盘</x:v>
      </x:c>
      <x:c r="K149" s="29" t="str">
        <x:v>世界级视觉新闻团队，事件可视化和叙事方法值得拆解。</x:v>
      </x:c>
      <x:c r="L149" s="29" t="str">
        <x:v>未核验到独立官方RSS；建议定期巡检页面，转载图形须检查授权。</x:v>
      </x:c>
    </x:row>
    <x:row r="150" ht="48" customHeight="1">
      <x:c r="A150" s="29" t="str">
        <x:v>C</x:v>
      </x:c>
      <x:c r="B150" s="29" t="n">
        <x:v>69</x:v>
      </x:c>
      <x:c r="C150" s="29" t="str">
        <x:v>艺术、设计与建筑</x:v>
      </x:c>
      <x:c r="D150" s="29" t="str">
        <x:v>Are.na</x:v>
      </x:c>
      <x:c r="E150" s="29" t="str">
        <x:v>Platform</x:v>
      </x:c>
      <x:c r="F150" s="29" t="str">
        <x:v>Freemium</x:v>
      </x:c>
      <x:c r="G150" s="29" t="str">
        <x:v>灵感源</x:v>
      </x:c>
      <x:c r="H150" s="29" t="str">
        <x:v>https://www.are.na/</x:v>
      </x:c>
      <x:c r="I150" s="29" t="str">
        <x:v>人工策展与研究板</x:v>
      </x:c>
      <x:c r="J150" s="29" t="str">
        <x:v>选题策展、视觉参考、跨学科连接</x:v>
      </x:c>
      <x:c r="K150" s="29" t="str">
        <x:v>高信噪比的人工收藏网络，适合发现跨学科视觉与文本脉络。</x:v>
      </x:c>
      <x:c r="L150" s="29" t="str">
        <x:v>保存出处链接并尊重原作者权利；收藏不等于授权。</x:v>
      </x:c>
    </x:row>
    <x:row r="151" ht="48" customHeight="1">
      <x:c r="A151" s="29" t="str">
        <x:v>C</x:v>
      </x:c>
      <x:c r="B151" s="29" t="n">
        <x:v>68</x:v>
      </x:c>
      <x:c r="C151" s="29" t="str">
        <x:v>哲学与思想</x:v>
      </x:c>
      <x:c r="D151" s="29" t="str">
        <x:v>PhilPapers</x:v>
      </x:c>
      <x:c r="E151" s="29" t="str">
        <x:v>Platform</x:v>
      </x:c>
      <x:c r="F151" s="29" t="str">
        <x:v>Freemium</x:v>
      </x:c>
      <x:c r="G151" s="29" t="str">
        <x:v>线索源</x:v>
      </x:c>
      <x:c r="H151" s="29" t="str">
        <x:v>https://philpapers.org/</x:v>
      </x:c>
      <x:c r="I151" s="29" t="str">
        <x:v>哲学论文与书目</x:v>
      </x:c>
      <x:c r="J151" s="29" t="str">
        <x:v>哲学文献地图、观点对照</x:v>
      </x:c>
      <x:c r="K151" s="29" t="str">
        <x:v>按分支、主题与作者组织哲学文献，是概念研究的索引层。</x:v>
      </x:c>
      <x:c r="L151" s="29" t="str">
        <x:v>使用前核对数据口径、更新时间、许可与引用格式。</x:v>
      </x:c>
    </x:row>
    <x:row r="152" ht="48" customHeight="1">
      <x:c r="A152" s="29" t="str">
        <x:v>C</x:v>
      </x:c>
      <x:c r="B152" s="29" t="n">
        <x:v>65</x:v>
      </x:c>
      <x:c r="C152" s="29" t="str">
        <x:v>科学与数学</x:v>
      </x:c>
      <x:c r="D152" s="29" t="str">
        <x:v>SSRN</x:v>
      </x:c>
      <x:c r="E152" s="29" t="str">
        <x:v>Platform</x:v>
      </x:c>
      <x:c r="F152" s="29" t="str">
        <x:v>Open</x:v>
      </x:c>
      <x:c r="G152" s="29" t="str">
        <x:v>线索源</x:v>
      </x:c>
      <x:c r="H152" s="29" t="str">
        <x:v>https://www.ssrn.com/</x:v>
      </x:c>
      <x:c r="I152" s="29" t="str">
        <x:v>社会科学预印本</x:v>
      </x:c>
      <x:c r="J152" s="29" t="str">
        <x:v>政策与社会科学前沿</x:v>
      </x:c>
      <x:c r="K152" s="29" t="str">
        <x:v>经济、法律和社会科学工作论文的重要入口。</x:v>
      </x:c>
      <x:c r="L152" s="29" t="str">
        <x:v>工作论文未必同行评审；检查版本、利益冲突与正式发表状态。</x:v>
      </x:c>
    </x:row>
    <x:row r="153" ht="48" customHeight="1">
      <x:c r="A153" s="29" t="str">
        <x:v>C</x:v>
      </x:c>
      <x:c r="B153" s="29" t="n">
        <x:v>65</x:v>
      </x:c>
      <x:c r="C153" s="29" t="str">
        <x:v>科学与数学</x:v>
      </x:c>
      <x:c r="D153" s="29" t="str">
        <x:v>Zooniverse</x:v>
      </x:c>
      <x:c r="E153" s="29" t="str">
        <x:v>Platform</x:v>
      </x:c>
      <x:c r="F153" s="29" t="str">
        <x:v>Open</x:v>
      </x:c>
      <x:c r="G153" s="29" t="str">
        <x:v>线索源</x:v>
      </x:c>
      <x:c r="H153" s="29" t="str">
        <x:v>https://www.zooniverse.org/</x:v>
      </x:c>
      <x:c r="I153" s="29" t="str">
        <x:v>公民科学项目</x:v>
      </x:c>
      <x:c r="J153" s="29" t="str">
        <x:v>公民科学、项目方法与成果</x:v>
      </x:c>
      <x:c r="K153" s="29" t="str">
        <x:v>从真实科研项目中发现可解释的数据任务与公众参与案例。</x:v>
      </x:c>
      <x:c r="L153" s="29" t="str">
        <x:v>使用前核对数据口径、更新时间、许可与引用格式。</x:v>
      </x:c>
    </x:row>
    <x:row r="154" ht="48" customHeight="1">
      <x:c r="A154" s="29" t="str">
        <x:v>C</x:v>
      </x:c>
      <x:c r="B154" s="29" t="n">
        <x:v>65</x:v>
      </x:c>
      <x:c r="C154" s="29" t="str">
        <x:v>历史与考古</x:v>
      </x:c>
      <x:c r="D154" s="29" t="str">
        <x:v>Wikisource</x:v>
      </x:c>
      <x:c r="E154" s="29" t="str">
        <x:v>Platform</x:v>
      </x:c>
      <x:c r="F154" s="29" t="str">
        <x:v>Open</x:v>
      </x:c>
      <x:c r="G154" s="29" t="str">
        <x:v>线索源</x:v>
      </x:c>
      <x:c r="H154" s="29" t="str">
        <x:v>https://wikisource.org/</x:v>
      </x:c>
      <x:c r="I154" s="29" t="str">
        <x:v>协作校对原典</x:v>
      </x:c>
      <x:c r="J154" s="29" t="str">
        <x:v>原典线索、版本对照</x:v>
      </x:c>
      <x:c r="K154" s="29" t="str">
        <x:v>多语言公共领域文本与扫描页对照，适合快速定位。</x:v>
      </x:c>
      <x:c r="L154" s="29" t="str">
        <x:v>协作文本可能有校对错误；重要引文回查扫描本或权威版本。</x:v>
      </x:c>
    </x:row>
    <x:row r="155" ht="48" customHeight="1">
      <x:c r="A155" s="29" t="str">
        <x:v>C</x:v>
      </x:c>
      <x:c r="B155" s="29" t="n">
        <x:v>65</x:v>
      </x:c>
      <x:c r="C155" s="29" t="str">
        <x:v>数据与可视化</x:v>
      </x:c>
      <x:c r="D155" s="29" t="str">
        <x:v>Google Dataset Search</x:v>
      </x:c>
      <x:c r="E155" s="29" t="str">
        <x:v>Platform</x:v>
      </x:c>
      <x:c r="F155" s="29" t="str">
        <x:v>Open</x:v>
      </x:c>
      <x:c r="G155" s="29" t="str">
        <x:v>线索源</x:v>
      </x:c>
      <x:c r="H155" s="29" t="str">
        <x:v>https://datasetsearch.research.google.com/</x:v>
      </x:c>
      <x:c r="I155" s="29" t="str">
        <x:v>跨站数据集发现</x:v>
      </x:c>
      <x:c r="J155" s="29" t="str">
        <x:v>选题数据发现</x:v>
      </x:c>
      <x:c r="K155" s="29" t="str">
        <x:v>快速寻找公开数据集，再回到原发布机构核对。</x:v>
      </x:c>
      <x:c r="L155" s="29" t="str">
        <x:v>使用前核对数据口径、更新时间、许可与引用格式。</x:v>
      </x:c>
    </x:row>
    <x:row r="156" ht="48" customHeight="1">
      <x:c r="A156" s="29" t="str">
        <x:v>C</x:v>
      </x:c>
      <x:c r="B156" s="29" t="n">
        <x:v>65</x:v>
      </x:c>
      <x:c r="C156" s="29" t="str">
        <x:v>心理、认知与情商</x:v>
      </x:c>
      <x:c r="D156" s="29" t="str">
        <x:v>Mind &amp; Life Institute</x:v>
      </x:c>
      <x:c r="E156" s="29" t="str">
        <x:v>Platform</x:v>
      </x:c>
      <x:c r="F156" s="29" t="str">
        <x:v>开放；未发现固定 RSS</x:v>
      </x:c>
      <x:c r="G156" s="29" t="str">
        <x:v>线索源</x:v>
      </x:c>
      <x:c r="H156" s="29" t="str">
        <x:v>https://www.mindandlife.org/</x:v>
      </x:c>
      <x:c r="I156" s="29" t="str">
        <x:v>沉思科学与跨学科心智研究</x:v>
      </x:c>
      <x:c r="J156" s="29" t="str">
        <x:v>用于跨学科选题和研究者线索；对冥想、正念效果保持证据等级意识。</x:v>
      </x:c>
      <x:c r="K156" s="29" t="str">
        <x:v>连接认知科学、心理学、神经科学与沉思传统，适合寻找跨学科心智与福祉研究。</x:v>
      </x:c>
      <x:c r="L156" s="29" t="str">
        <x:v>2026-08-17：自动检查主页返回 403/CDN；官方页面仍可被搜索索引，建议网页或邮件订阅。</x:v>
      </x:c>
    </x:row>
    <x:row r="157" ht="48" customHeight="1">
      <x:c r="A157" s="29" t="str">
        <x:v>C</x:v>
      </x:c>
      <x:c r="B157" s="29" t="n">
        <x:v>65</x:v>
      </x:c>
      <x:c r="C157" s="29" t="str">
        <x:v>心理、认知与情商</x:v>
      </x:c>
      <x:c r="D157" s="29" t="str">
        <x:v>PsyArXiv</x:v>
      </x:c>
      <x:c r="E157" s="29" t="str">
        <x:v>API</x:v>
      </x:c>
      <x:c r="F157" s="29" t="str">
        <x:v>开放</x:v>
      </x:c>
      <x:c r="G157" s="29" t="str">
        <x:v>线索源</x:v>
      </x:c>
      <x:c r="H157" s="29" t="str">
        <x:v>https://api.osf.io/v2/preprints/?filter[provider]=psyarxiv&amp;page[size]=10</x:v>
      </x:c>
      <x:c r="I157" s="29" t="str">
        <x:v>心理学预印本</x:v>
      </x:c>
      <x:c r="J157" s="29" t="str">
        <x:v>只用于趋势和选题线索；明确标注“未同行评审”，待正式发表或多源验证后再作强结论。</x:v>
      </x:c>
      <x:c r="K157" s="29" t="str">
        <x:v>心理学开放预印本库，可比期刊更早捕捉新问题、方法与复制研究。</x:v>
      </x:c>
      <x:c r="L157" s="29" t="str">
        <x:v>2026-08-17：主页重定向至 OSF 后 200；OSF API 200，JSON 已确认。</x:v>
      </x:c>
    </x:row>
    <x:row r="158" ht="48" customHeight="1">
      <x:c r="A158" s="29" t="str">
        <x:v>C</x:v>
      </x:c>
      <x:c r="B158" s="29" t="n">
        <x:v>65</x:v>
      </x:c>
      <x:c r="C158" s="29" t="str">
        <x:v>心理、认知与情商</x:v>
      </x:c>
      <x:c r="D158" s="29" t="str">
        <x:v>Society for Personality and Social Psychology（SPSP）</x:v>
      </x:c>
      <x:c r="E158" s="29" t="str">
        <x:v>Platform</x:v>
      </x:c>
      <x:c r="F158" s="29" t="str">
        <x:v>开放；部分会员内容；无固定 RSS</x:v>
      </x:c>
      <x:c r="G158" s="29" t="str">
        <x:v>线索源</x:v>
      </x:c>
      <x:c r="H158" s="29" t="str">
        <x:v>https://spsp.org/</x:v>
      </x:c>
      <x:c r="I158" s="29" t="str">
        <x:v>人格与社会心理学共同体</x:v>
      </x:c>
      <x:c r="J158" s="29" t="str">
        <x:v>用于发现研究者与社会心理热点；将协会解读作为入口而非最终证据。</x:v>
      </x:c>
      <x:c r="K158" s="29" t="str">
        <x:v>聚合人格、关系、社会认知与群体行为领域的期刊、会议和公众解读。</x:v>
      </x:c>
      <x:c r="L158" s="29" t="str">
        <x:v>2026-08-17：官方主页 200；未发现公开 RSS。</x:v>
      </x:c>
    </x:row>
    <x:row r="159" ht="48" customHeight="1">
      <x:c r="A159" s="29" t="str">
        <x:v>C</x:v>
      </x:c>
      <x:c r="B159" s="29" t="n">
        <x:v>65</x:v>
      </x:c>
      <x:c r="C159" s="29" t="str">
        <x:v>心理、认知与情商</x:v>
      </x:c>
      <x:c r="D159" s="29" t="str">
        <x:v>中国心理学会</x:v>
      </x:c>
      <x:c r="E159" s="29" t="str">
        <x:v>Platform</x:v>
      </x:c>
      <x:c r="F159" s="29" t="str">
        <x:v>开放；部分会员服务</x:v>
      </x:c>
      <x:c r="G159" s="29" t="str">
        <x:v>线索源</x:v>
      </x:c>
      <x:c r="H159" s="29" t="str">
        <x:v>https://www.psysoc.org.cn/</x:v>
      </x:c>
      <x:c r="I159" s="29" t="str">
        <x:v>中国心理学专业共同体</x:v>
      </x:c>
      <x:c r="J159" s="29" t="str">
        <x:v>寻找国内会议、专家与专题线索；实证结论继续追踪期刊或研究机构。</x:v>
      </x:c>
      <x:c r="K159" s="29" t="str">
        <x:v>提供国内心理学会议、专业委员会、学术规范和共同体动态。</x:v>
      </x:c>
      <x:c r="L159" s="29" t="str">
        <x:v>2026-08-17：官方主页 200；未发现公开 RSS。</x:v>
      </x:c>
    </x:row>
    <x:row r="160" ht="48" customHeight="1">
      <x:c r="A160" s="29" t="str">
        <x:v>C</x:v>
      </x:c>
      <x:c r="B160" s="29" t="n">
        <x:v>65</x:v>
      </x:c>
      <x:c r="C160" s="29" t="str">
        <x:v>艺术、设计与建筑</x:v>
      </x:c>
      <x:c r="D160" s="29" t="str">
        <x:v>Design Systems Repo</x:v>
      </x:c>
      <x:c r="E160" s="29" t="str">
        <x:v>Platform</x:v>
      </x:c>
      <x:c r="F160" s="29" t="str">
        <x:v>Open</x:v>
      </x:c>
      <x:c r="G160" s="29" t="str">
        <x:v>线索源</x:v>
      </x:c>
      <x:c r="H160" s="29" t="str">
        <x:v>https://designsystemsrepo.com/</x:v>
      </x:c>
      <x:c r="I160" s="29" t="str">
        <x:v>设计系统案例索引</x:v>
      </x:c>
      <x:c r="J160" s="29" t="str">
        <x:v>设计系统对比、组件与文档案例</x:v>
      </x:c>
      <x:c r="K160" s="29" t="str">
        <x:v>汇总真实产品设计系统、组件库和规范。</x:v>
      </x:c>
      <x:c r="L160" s="29" t="str">
        <x:v>使用前核对数据口径、更新时间、许可与引用格式。</x:v>
      </x:c>
    </x:row>
    <x:row r="161" ht="48" customHeight="1">
      <x:c r="A161" s="29" t="str">
        <x:v>C</x:v>
      </x:c>
      <x:c r="B161" s="29" t="n">
        <x:v>65</x:v>
      </x:c>
      <x:c r="C161" s="29" t="str">
        <x:v>艺术、设计与建筑</x:v>
      </x:c>
      <x:c r="D161" s="29" t="str">
        <x:v>Google Arts &amp; Culture</x:v>
      </x:c>
      <x:c r="E161" s="29" t="str">
        <x:v>Platform</x:v>
      </x:c>
      <x:c r="F161" s="29" t="str">
        <x:v>Open</x:v>
      </x:c>
      <x:c r="G161" s="29" t="str">
        <x:v>线索源</x:v>
      </x:c>
      <x:c r="H161" s="29" t="str">
        <x:v>https://artsandculture.google.com/</x:v>
      </x:c>
      <x:c r="I161" s="29" t="str">
        <x:v>数字展览与超高分辨率作品</x:v>
      </x:c>
      <x:c r="J161" s="29" t="str">
        <x:v>展览选题、作品细节</x:v>
      </x:c>
      <x:c r="K161" s="29" t="str">
        <x:v>聚合全球机构的数字展览和高清作品，适合选题发现。</x:v>
      </x:c>
      <x:c r="L161" s="29" t="str">
        <x:v>展示可访问不等于可下载转载；回到合作机构核权。</x:v>
      </x:c>
    </x:row>
    <x:row r="162" ht="48" customHeight="1">
      <x:c r="A162" s="29" t="str">
        <x:v>C</x:v>
      </x:c>
      <x:c r="B162" s="29" t="n">
        <x:v>63</x:v>
      </x:c>
      <x:c r="C162" s="29" t="str">
        <x:v>地球、地理与城市</x:v>
      </x:c>
      <x:c r="D162" s="29" t="str">
        <x:v>Google Earth Engine Data Catalog</x:v>
      </x:c>
      <x:c r="E162" s="29" t="str">
        <x:v>Platform</x:v>
      </x:c>
      <x:c r="F162" s="29" t="str">
        <x:v>Freemium</x:v>
      </x:c>
      <x:c r="G162" s="29" t="str">
        <x:v>线索源</x:v>
      </x:c>
      <x:c r="H162" s="29" t="str">
        <x:v>https://developers.google.com/earth-engine/datasets/catalog</x:v>
      </x:c>
      <x:c r="I162" s="29" t="str">
        <x:v>遥感与环境数据目录</x:v>
      </x:c>
      <x:c r="J162" s="29" t="str">
        <x:v>遥感选题、时空变化图</x:v>
      </x:c>
      <x:c r="K162" s="29" t="str">
        <x:v>集中索引大量卫星、气候、地表覆盖和社会经济栅格。</x:v>
      </x:c>
      <x:c r="L162" s="29" t="str">
        <x:v>使用前核对数据口径、更新时间、许可与引用格式。</x:v>
      </x:c>
    </x:row>
    <x:row r="163" ht="48" customHeight="1">
      <x:c r="A163" s="29" t="str">
        <x:v>C</x:v>
      </x:c>
      <x:c r="B163" s="29" t="n">
        <x:v>63</x:v>
      </x:c>
      <x:c r="C163" s="29" t="str">
        <x:v>科学与数学</x:v>
      </x:c>
      <x:c r="D163" s="29" t="str">
        <x:v>Connected Papers</x:v>
      </x:c>
      <x:c r="E163" s="29" t="str">
        <x:v>Platform</x:v>
      </x:c>
      <x:c r="F163" s="29" t="str">
        <x:v>Freemium</x:v>
      </x:c>
      <x:c r="G163" s="29" t="str">
        <x:v>线索源</x:v>
      </x:c>
      <x:c r="H163" s="29" t="str">
        <x:v>https://www.connectedpapers.com/</x:v>
      </x:c>
      <x:c r="I163" s="29" t="str">
        <x:v>论文关系图</x:v>
      </x:c>
      <x:c r="J163" s="29" t="str">
        <x:v>研究谱系图、关键论文</x:v>
      </x:c>
      <x:c r="K163" s="29" t="str">
        <x:v>用相似性图谱找到奠基论文和后续工作。</x:v>
      </x:c>
      <x:c r="L163" s="29" t="str">
        <x:v>使用前核对数据口径、更新时间、许可与引用格式。</x:v>
      </x:c>
    </x:row>
    <x:row r="164" ht="48" customHeight="1">
      <x:c r="A164" s="31" t="str">
        <x:v>C</x:v>
      </x:c>
      <x:c r="B164" s="31" t="n">
        <x:v>63</x:v>
      </x:c>
      <x:c r="C164" s="31" t="str">
        <x:v>商业、管理与创新</x:v>
      </x:c>
      <x:c r="D164" s="31" t="str">
        <x:v>长江商学院案例中心</x:v>
      </x:c>
      <x:c r="E164" s="31" t="str">
        <x:v>Platform</x:v>
      </x:c>
      <x:c r="F164" s="31" t="str">
        <x:v>Varies</x:v>
      </x:c>
      <x:c r="G164" s="31" t="str">
        <x:v>线索源</x:v>
      </x:c>
      <x:c r="H164" s="31" t="str">
        <x:v>https://www.ckgsb.edu.cn/faculty/case_center</x:v>
      </x:c>
      <x:c r="I164" s="31" t="str">
        <x:v>中国企业与管理教学案例</x:v>
      </x:c>
      <x:c r="J164" s="31" t="str">
        <x:v>商业案例复盘、决策背景与组织机制</x:v>
      </x:c>
      <x:c r="K164" s="31" t="str">
        <x:v>按战略、创新、营销、运营和组织等主题提供中国企业案例入口。</x:v>
      </x:c>
      <x:c r="L164" s="31" t="str">
        <x:v>教学案例用于讨论而非证明决策有效；回查企业数据、访谈来源与结果基准，并遵守案例版权。</x:v>
      </x:c>
    </x:row>
  </x:sheetData>
  <x:mergeCells>
    <x:mergeCell ref="A1:H1"/>
    <x:mergeCell ref="A2:L2"/>
  </x:mergeCells>
  <x:conditionalFormatting sqref="A5:A164">
    <x:cfRule type="containsText" dxfId="28" priority="1" operator="containsText" text="S"/>
    <x:cfRule type="containsText" dxfId="29" priority="2" operator="containsText" text="A"/>
    <x:cfRule type="containsText" dxfId="30" priority="3" operator="containsText" text="B"/>
    <x:cfRule type="containsText" dxfId="31" priority="4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78b2dfcc2fa842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8" hidden="0" customWidth="1"/>
    <x:col min="5" max="5" width="30" hidden="0" customWidth="1"/>
    <x:col min="6" max="6" width="22" hidden="0" customWidth="1"/>
    <x:col min="7" max="7" width="12" hidden="0" customWidth="1"/>
    <x:col min="8" max="8" width="26" hidden="0" customWidth="1"/>
    <x:col min="9" max="9" width="38" hidden="0" customWidth="1"/>
    <x:col min="10" max="10" width="42" hidden="0" customWidth="1"/>
    <x:col min="11" max="11" width="18" hidden="0" customWidth="1"/>
    <x:col min="12" max="12" width="36" hidden="0" customWidth="1"/>
    <x:col min="13" max="13" width="48" hidden="0" customWidth="1"/>
    <x:col min="14" max="14" width="58" hidden="0" customWidth="1"/>
  </x:cols>
  <x:sheetData>
    <x:row r="1" ht="34" customHeight="1">
      <x:c r="A1" s="3" t="str">
        <x:v>身心成长与商业：高质量专题源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心理与健康优先系统综述、指南、专业机构和原始研究；成长与商业内容须区分证据、专家解释和个案经验。健康信息仅供参考，不替代个体诊断或治疗。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2" customHeight="1">
      <x:c r="A4" s="13" t="str">
        <x:v>优先级</x:v>
      </x:c>
      <x:c r="B4" s="13" t="str">
        <x:v>综合分</x:v>
      </x:c>
      <x:c r="C4" s="13" t="str">
        <x:v>主分类</x:v>
      </x:c>
      <x:c r="D4" s="13" t="str">
        <x:v>细分主题</x:v>
      </x:c>
      <x:c r="E4" s="13" t="str">
        <x:v>名称</x:v>
      </x:c>
      <x:c r="F4" s="13" t="str">
        <x:v>作者/机构</x:v>
      </x:c>
      <x:c r="G4" s="13" t="str">
        <x:v>引用角色</x:v>
      </x:c>
      <x:c r="H4" s="13" t="str">
        <x:v>类型</x:v>
      </x:c>
      <x:c r="I4" s="13" t="str">
        <x:v>主页URL</x:v>
      </x:c>
      <x:c r="J4" s="13" t="str">
        <x:v>Feed/API URL</x:v>
      </x:c>
      <x:c r="K4" s="13" t="str">
        <x:v>Feed状态</x:v>
      </x:c>
      <x:c r="L4" s="13" t="str">
        <x:v>适合X帖型</x:v>
      </x:c>
      <x:c r="M4" s="13" t="str">
        <x:v>为什么值得</x:v>
      </x:c>
      <x:c r="N4" s="13" t="str">
        <x:v>核验/安全边界</x:v>
      </x:c>
    </x:row>
    <x:row r="5" ht="50" customHeight="1">
      <x:c r="A5" s="27" t="str">
        <x:v>S</x:v>
      </x:c>
      <x:c r="B5" s="27" t="n">
        <x:v>95</x:v>
      </x:c>
      <x:c r="C5" s="27" t="str">
        <x:v>商业、管理与创新</x:v>
      </x:c>
      <x:c r="D5" s="27" t="str">
        <x:v>美国及全球经济时间序列</x:v>
      </x:c>
      <x:c r="E5" s="27" t="str">
        <x:v>FRED</x:v>
      </x:c>
      <x:c r="F5" s="27" t="str"/>
      <x:c r="G5" s="27" t="str">
        <x:v>证据源</x:v>
      </x:c>
      <x:c r="H5" s="27" t="str">
        <x:v>经济数据库 / API</x:v>
      </x:c>
      <x:c r="I5" s="27" t="str">
        <x:v>https://fred.stlouisfed.org/</x:v>
      </x:c>
      <x:c r="J5" s="27" t="str">
        <x:v>https://api.stlouisfed.org/fred/</x:v>
      </x:c>
      <x:c r="K5" s="27" t="str">
        <x:v>API入口</x:v>
      </x:c>
      <x:c r="L5" s="27" t="str">
        <x:v>时间序列图、经济周期与政策背景</x:v>
      </x:c>
      <x:c r="M5" s="27" t="str">
        <x:v>时间序列丰富、元数据清晰，适合宏观和市场背景图。</x:v>
      </x:c>
      <x:c r="N5" s="27" t="str">
        <x:v>API 需免费密钥；不同序列的季调、单位和修订规则要核对。；未按 RSS/Atom 校验。</x:v>
      </x:c>
    </x:row>
    <x:row r="6" ht="50" customHeight="1">
      <x:c r="A6" s="29" t="str">
        <x:v>S</x:v>
      </x:c>
      <x:c r="B6" s="29" t="n">
        <x:v>95</x:v>
      </x:c>
      <x:c r="C6" s="29" t="str">
        <x:v>商业、管理与创新</x:v>
      </x:c>
      <x:c r="D6" s="29" t="str">
        <x:v>宏观经济与金融</x:v>
      </x:c>
      <x:c r="E6" s="29" t="str">
        <x:v>IMF Data</x:v>
      </x:c>
      <x:c r="F6" s="29" t="str"/>
      <x:c r="G6" s="29" t="str">
        <x:v>证据源</x:v>
      </x:c>
      <x:c r="H6" s="29" t="str">
        <x:v>国际组织统计 / API</x:v>
      </x:c>
      <x:c r="I6" s="29" t="str">
        <x:v>https://www.imf.org/en/Data</x:v>
      </x:c>
      <x:c r="J6" s="29" t="str">
        <x:v>http://dataservices.imf.org/REST/SDMX_JSON.svc/</x:v>
      </x:c>
      <x:c r="K6" s="29" t="str">
        <x:v>API入口</x:v>
      </x:c>
      <x:c r="L6" s="29" t="str">
        <x:v>宏观图表、国家与周期比较</x:v>
      </x:c>
      <x:c r="M6" s="29" t="str">
        <x:v>全球宏观、财政、金融和国际收支数据的核心入口。</x:v>
      </x:c>
      <x:c r="N6" s="29" t="str">
        <x:v>使用前核对数据口径、更新时间、许可与引用格式。；未按 RSS/Atom 校验。</x:v>
      </x:c>
    </x:row>
    <x:row r="7" ht="50" customHeight="1">
      <x:c r="A7" s="29" t="str">
        <x:v>S</x:v>
      </x:c>
      <x:c r="B7" s="29" t="n">
        <x:v>95</x:v>
      </x:c>
      <x:c r="C7" s="29" t="str">
        <x:v>商业、管理与创新</x:v>
      </x:c>
      <x:c r="D7" s="29" t="str">
        <x:v>就业、工资与价格</x:v>
      </x:c>
      <x:c r="E7" s="29" t="str">
        <x:v>U.S. Bureau of Labor Statistics</x:v>
      </x:c>
      <x:c r="F7" s="29" t="str"/>
      <x:c r="G7" s="29" t="str">
        <x:v>证据源</x:v>
      </x:c>
      <x:c r="H7" s="29" t="str">
        <x:v>官方统计 / API</x:v>
      </x:c>
      <x:c r="I7" s="29" t="str">
        <x:v>https://www.bls.gov/data/</x:v>
      </x:c>
      <x:c r="J7" s="29" t="str">
        <x:v>https://www.bls.gov/developers/</x:v>
      </x:c>
      <x:c r="K7" s="29" t="str">
        <x:v>API入口</x:v>
      </x:c>
      <x:c r="L7" s="29" t="str">
        <x:v>劳动力、通胀与行业结构</x:v>
      </x:c>
      <x:c r="M7" s="29" t="str">
        <x:v>就业、通胀、生产率和职业数据口径透明。</x:v>
      </x:c>
      <x:c r="N7" s="29" t="str">
        <x:v>使用前核对数据口径、更新时间、许可与引用格式。；未按 RSS/Atom 校验。</x:v>
      </x:c>
    </x:row>
    <x:row r="8" ht="50" customHeight="1">
      <x:c r="A8" s="29" t="str">
        <x:v>S</x:v>
      </x:c>
      <x:c r="B8" s="29" t="n">
        <x:v>94</x:v>
      </x:c>
      <x:c r="C8" s="29" t="str">
        <x:v>心理、认知与情商</x:v>
      </x:c>
      <x:c r="D8" s="29" t="str">
        <x:v>系统综述数据库检索</x:v>
      </x:c>
      <x:c r="E8" s="29" t="str">
        <x:v>PubMed：心理学与心理健康系统综述检索</x:v>
      </x:c>
      <x:c r="F8" s="29" t="str"/>
      <x:c r="G8" s="29" t="str">
        <x:v>证据源</x:v>
      </x:c>
      <x:c r="H8" s="29" t="str">
        <x:v>学术文献数据库 / 可复用检索</x:v>
      </x:c>
      <x:c r="I8" s="29" t="str">
        <x:v>https://pubmed.ncbi.nlm.nih.gov/</x:v>
      </x:c>
      <x:c r="J8" s="29" t="str">
        <x:v>https://eutils.ncbi.nlm.nih.gov/entrez/eutils/</x:v>
      </x:c>
      <x:c r="K8" s="29" t="str">
        <x:v>API入口</x:v>
      </x:c>
      <x:c r="L8" s="29" t="str">
        <x:v>医学研究溯源、主题趋势；对争议性健康主张先查综述，再下钻原始研究；不要把检索命中数当结论。；论文溯源、系统检索、研究趋势、反向核验</x:v>
      </x:c>
      <x:c r="M8" s="29" t="str">
        <x:v>用 MeSH 与出版类型限定，持续追踪心理与心理健康领域的新系统综述和元分析。</x:v>
      </x:c>
      <x:c r="N8" s="29" t="str">
        <x:v>数据库记录不是临床建议；检查研究设计、样本和系统综述层级。；2026-08-17：PubMed 主页 200；NCBI E-utilities 查询 200，JSON 已确认。；2026-08-17 实测主页 200，E-utilities ESearch 返回 JSON；批量调用须遵守 NCBI 速率规则。PubMed 收录不等于研究结论可靠，仍需评估设计与偏倚；不替代个体医疗建议。；未按 RSS/Atom 校验。</x:v>
      </x:c>
    </x:row>
    <x:row r="9" ht="50" customHeight="1">
      <x:c r="A9" s="29" t="str">
        <x:v>S</x:v>
      </x:c>
      <x:c r="B9" s="29" t="n">
        <x:v>93</x:v>
      </x:c>
      <x:c r="C9" s="29" t="str">
        <x:v>成长与学习</x:v>
      </x:c>
      <x:c r="D9" s="29" t="str">
        <x:v>职业选择与社会影响</x:v>
      </x:c>
      <x:c r="E9" s="29" t="str">
        <x:v>80,000 Hours</x:v>
      </x:c>
      <x:c r="F9" s="29" t="str"/>
      <x:c r="G9" s="29" t="str">
        <x:v>证据源</x:v>
      </x:c>
      <x:c r="H9" s="29" t="str">
        <x:v>职业研究、影响评估、问题优先级、访谈与指南</x:v>
      </x:c>
      <x:c r="I9" s="29" t="str">
        <x:v>https://80000hours.org/research/</x:v>
      </x:c>
      <x:c r="J9" s="29" t="str">
        <x:v>https://80000hours.org/feed/</x:v>
      </x:c>
      <x:c r="K9" s="29" t="str">
        <x:v>有效</x:v>
      </x:c>
      <x:c r="L9" s="29" t="str">
        <x:v>用决策矩阵比较两条职业路径，并公开关键假设。</x:v>
      </x:c>
      <x:c r="M9" s="29" t="str">
        <x:v>以研究和显式假设讨论职业影响力，适合学习如何比较职业路径和长期取舍。</x:v>
      </x:c>
      <x:c r="N9" s="29" t="str">
        <x:v>2026-08-17：官方RSS返回200和有效XML；有明确有效利他主义视角，结论宜与其他职业研究并列。</x:v>
      </x:c>
    </x:row>
    <x:row r="10" ht="50" customHeight="1">
      <x:c r="A10" s="29" t="str">
        <x:v>S</x:v>
      </x:c>
      <x:c r="B10" s="29" t="n">
        <x:v>93</x:v>
      </x:c>
      <x:c r="C10" s="29" t="str">
        <x:v>成长与学习</x:v>
      </x:c>
      <x:c r="D10" s="29" t="str">
        <x:v>学习科学</x:v>
      </x:c>
      <x:c r="E10" s="29" t="str">
        <x:v>The Learning Scientists</x:v>
      </x:c>
      <x:c r="F10" s="29" t="str"/>
      <x:c r="G10" s="29" t="str">
        <x:v>证据源</x:v>
      </x:c>
      <x:c r="H10" s="29" t="str">
        <x:v>认知心理学、记忆、教学策略与学习方法</x:v>
      </x:c>
      <x:c r="I10" s="29" t="str">
        <x:v>https://www.learningscientists.org/blog</x:v>
      </x:c>
      <x:c r="J10" s="29" t="str">
        <x:v>https://www.learningscientists.org/blog?format=rss</x:v>
      </x:c>
      <x:c r="K10" s="29" t="str">
        <x:v>有效</x:v>
      </x:c>
      <x:c r="L10" s="29" t="str">
        <x:v>拆解一个常见学习误区，并给出研究支持的替代方法。</x:v>
      </x:c>
      <x:c r="M10" s="29" t="str">
        <x:v>由认知心理学研究者运营，长期解释间隔、提取练习、交错学习等证据较强的方法。</x:v>
      </x:c>
      <x:c r="N10" s="29" t="str">
        <x:v>2026-08-17：官网显式声明RSS，端点返回200和有效XML。</x:v>
      </x:c>
    </x:row>
    <x:row r="11" ht="50" customHeight="1">
      <x:c r="A11" s="29" t="str">
        <x:v>S</x:v>
      </x:c>
      <x:c r="B11" s="29" t="n">
        <x:v>93</x:v>
      </x:c>
      <x:c r="C11" s="29" t="str">
        <x:v>健康与福祉</x:v>
      </x:c>
      <x:c r="D11" s="29" t="str">
        <x:v>证据综合与卫生服务</x:v>
      </x:c>
      <x:c r="E11" s="29" t="str">
        <x:v>AHRQ Evidence-based Practice Center Reports</x:v>
      </x:c>
      <x:c r="F11" s="29" t="str"/>
      <x:c r="G11" s="29" t="str">
        <x:v>证据源</x:v>
      </x:c>
      <x:c r="H11" s="29" t="str">
        <x:v>系统综述、技术评估、卫生服务与方法报告</x:v>
      </x:c>
      <x:c r="I11" s="29" t="str">
        <x:v>https://www.ahrq.gov/research/findings/evidence-based-reports/index.html</x:v>
      </x:c>
      <x:c r="J11" s="29" t="str"/>
      <x:c r="K11" s="29" t="str">
        <x:v>无RSS/API入口</x:v>
      </x:c>
      <x:c r="L11" s="29" t="str">
        <x:v>证据全景、医疗质量、方法论、研究缺口</x:v>
      </x:c>
      <x:c r="M11" s="29" t="str">
        <x:v>为指南、覆盖决策和质量改进提供全面的证据综合。</x:v>
      </x:c>
      <x:c r="N11" s="29" t="str">
        <x:v>官方页面已浏览确认；2026-08-17 自动 GET 返回 405，但搜索抓取内容可达。未收录稳定统一 RSS，引用时链接具体报告；不替代个体医疗建议。</x:v>
      </x:c>
    </x:row>
    <x:row r="12" ht="50" customHeight="1">
      <x:c r="A12" s="29" t="str">
        <x:v>S</x:v>
      </x:c>
      <x:c r="B12" s="29" t="n">
        <x:v>93</x:v>
      </x:c>
      <x:c r="C12" s="29" t="str">
        <x:v>健康与福祉</x:v>
      </x:c>
      <x:c r="D12" s="29" t="str">
        <x:v>睡眠医学与指南</x:v>
      </x:c>
      <x:c r="E12" s="29" t="str">
        <x:v>American Academy of Sleep Medicine</x:v>
      </x:c>
      <x:c r="F12" s="29" t="str"/>
      <x:c r="G12" s="29" t="str">
        <x:v>证据源</x:v>
      </x:c>
      <x:c r="H12" s="29" t="str">
        <x:v>睡眠医学指南、共识、研究新闻与专业教育</x:v>
      </x:c>
      <x:c r="I12" s="29" t="str">
        <x:v>https://aasm.org/</x:v>
      </x:c>
      <x:c r="J12" s="29" t="str">
        <x:v>https://aasm.org/feed/</x:v>
      </x:c>
      <x:c r="K12" s="29" t="str">
        <x:v>有效</x:v>
      </x:c>
      <x:c r="L12" s="29" t="str">
        <x:v>睡眠指南、睡眠障碍、常见误区、研究解读</x:v>
      </x:c>
      <x:c r="M12" s="29" t="str">
        <x:v>睡眠医学专业学会的一手来源，适合核对临床指南和疾病定义。</x:v>
      </x:c>
      <x:c r="N12" s="29" t="str">
        <x:v>2026-08-17 实测主页 200，官方 RSS 可解析。普通睡眠建议与睡眠障碍诊疗应分开，后者需专业评估；不替代个体医疗建议。</x:v>
      </x:c>
    </x:row>
    <x:row r="13" ht="50" customHeight="1">
      <x:c r="A13" s="29" t="str">
        <x:v>S</x:v>
      </x:c>
      <x:c r="B13" s="29" t="n">
        <x:v>93</x:v>
      </x:c>
      <x:c r="C13" s="29" t="str">
        <x:v>健康与福祉</x:v>
      </x:c>
      <x:c r="D13" s="29" t="str">
        <x:v>流行病学与监测</x:v>
      </x:c>
      <x:c r="E13" s="29" t="str">
        <x:v>CDC Morbidity and Mortality Weekly Report (MMWR)</x:v>
      </x:c>
      <x:c r="F13" s="29" t="str"/>
      <x:c r="G13" s="29" t="str">
        <x:v>证据源</x:v>
      </x:c>
      <x:c r="H13" s="29" t="str">
        <x:v>流行病学调查、监测报告、指南与公共卫生实践</x:v>
      </x:c>
      <x:c r="I13" s="29" t="str">
        <x:v>https://www.cdc.gov/mmwr/</x:v>
      </x:c>
      <x:c r="J13" s="29" t="str">
        <x:v>https://www.cdc.gov/mmwr/rss/mmwr.xml</x:v>
      </x:c>
      <x:c r="K13" s="29" t="str">
        <x:v>有效</x:v>
      </x:c>
      <x:c r="L13" s="29" t="str">
        <x:v>数据型帖文、疫情复盘、风险因素、政策证据</x:v>
      </x:c>
      <x:c r="M13" s="29" t="str">
        <x:v>CDC 的核心科学出版物，适合获得及时、可引用的公共卫生证据和数据。</x:v>
      </x:c>
      <x:c r="N13" s="29" t="str">
        <x:v>2026-08-17 实测主页 200，官方 RSS 返回可解析 XML。区分监测数据、观察性研究与正式建议；不替代个体医疗建议。</x:v>
      </x:c>
    </x:row>
    <x:row r="14" ht="50" customHeight="1">
      <x:c r="A14" s="29" t="str">
        <x:v>S</x:v>
      </x:c>
      <x:c r="B14" s="29" t="n">
        <x:v>93</x:v>
      </x:c>
      <x:c r="C14" s="29" t="str">
        <x:v>健康与福祉</x:v>
      </x:c>
      <x:c r="D14" s="29" t="str">
        <x:v>公共卫生快讯</x:v>
      </x:c>
      <x:c r="E14" s="29" t="str">
        <x:v>CDC Newsroom</x:v>
      </x:c>
      <x:c r="F14" s="29" t="str"/>
      <x:c r="G14" s="29" t="str">
        <x:v>证据源</x:v>
      </x:c>
      <x:c r="H14" s="29" t="str">
        <x:v>美国公共卫生公告、疾病预防、健康警报与媒体材料</x:v>
      </x:c>
      <x:c r="I14" s="29" t="str">
        <x:v>https://www.cdc.gov/media/index.html</x:v>
      </x:c>
      <x:c r="J14" s="29" t="str">
        <x:v>https://tools.cdc.gov/api/v2/resources/media/132608.rss</x:v>
      </x:c>
      <x:c r="K14" s="29" t="str">
        <x:v>有效</x:v>
      </x:c>
      <x:c r="L14" s="29" t="str">
        <x:v>风险提示、政策变化、健康数据快讯</x:v>
      </x:c>
      <x:c r="M14" s="29" t="str">
        <x:v>适合追踪传染病、慢病、伤害预防和健康政策的一手更新。</x:v>
      </x:c>
      <x:c r="N14" s="29" t="str">
        <x:v>2026-08-17 实测主页 200，CDC 官方 RSS 返回可解析 XML。注意结论常以美国人群为主；不替代个体医疗建议。</x:v>
      </x:c>
    </x:row>
    <x:row r="15" ht="50" customHeight="1">
      <x:c r="A15" s="29" t="str">
        <x:v>S</x:v>
      </x:c>
      <x:c r="B15" s="29" t="n">
        <x:v>93</x:v>
      </x:c>
      <x:c r="C15" s="29" t="str">
        <x:v>健康与福祉</x:v>
      </x:c>
      <x:c r="D15" s="29" t="str">
        <x:v>临床试验注册</x:v>
      </x:c>
      <x:c r="E15" s="29" t="str">
        <x:v>ClinicalTrials.gov</x:v>
      </x:c>
      <x:c r="F15" s="29" t="str"/>
      <x:c r="G15" s="29" t="str">
        <x:v>证据源</x:v>
      </x:c>
      <x:c r="H15" s="29" t="str">
        <x:v>临床试验注册、方案、状态、终点与结果</x:v>
      </x:c>
      <x:c r="I15" s="29" t="str">
        <x:v>https://clinicaltrials.gov/</x:v>
      </x:c>
      <x:c r="J15" s="29" t="str">
        <x:v>https://clinicaltrials.gov/api/v2/studies</x:v>
      </x:c>
      <x:c r="K15" s="29" t="str">
        <x:v>API入口</x:v>
      </x:c>
      <x:c r="L15" s="29" t="str">
        <x:v>试验进度、预注册核验、终点与结果对照</x:v>
      </x:c>
      <x:c r="M15" s="29" t="str">
        <x:v>核验一项研究是否预注册、主要终点是否改变、结果是否发布的重要来源。</x:v>
      </x:c>
      <x:c r="N15" s="29" t="str">
        <x:v>2026-08-17 实测主页 200，v2 API 返回 JSON。注册信息由提交者提供，注册不等于疗效或监管批准；不替代个体医疗建议。；未按 RSS/Atom 校验。</x:v>
      </x:c>
    </x:row>
    <x:row r="16" ht="50" customHeight="1">
      <x:c r="A16" s="29" t="str">
        <x:v>S</x:v>
      </x:c>
      <x:c r="B16" s="29" t="n">
        <x:v>93</x:v>
      </x:c>
      <x:c r="C16" s="29" t="str">
        <x:v>健康与福祉</x:v>
      </x:c>
      <x:c r="D16" s="29" t="str">
        <x:v>传染病与欧洲公共卫生</x:v>
      </x:c>
      <x:c r="E16" s="29" t="str">
        <x:v>European Centre for Disease Prevention and Control News</x:v>
      </x:c>
      <x:c r="F16" s="29" t="str"/>
      <x:c r="G16" s="29" t="str">
        <x:v>证据源</x:v>
      </x:c>
      <x:c r="H16" s="29" t="str">
        <x:v>风险评估、流行病学更新、传染病指南与新闻</x:v>
      </x:c>
      <x:c r="I16" s="29" t="str">
        <x:v>https://www.ecdc.europa.eu/en/news-events</x:v>
      </x:c>
      <x:c r="J16" s="29" t="str">
        <x:v>https://www.ecdc.europa.eu/en/taxonomy/term/1307/feed</x:v>
      </x:c>
      <x:c r="K16" s="29" t="str">
        <x:v>有效</x:v>
      </x:c>
      <x:c r="L16" s="29" t="str">
        <x:v>跨国比较、疫情风险、欧洲公共卫生政策</x:v>
      </x:c>
      <x:c r="M16" s="29" t="str">
        <x:v>补充欧洲视角的疾病监测、风险评估和跨境公共卫生信息。</x:v>
      </x:c>
      <x:c r="N16" s="29" t="str">
        <x:v>2026-08-17 实测主页 200，官方新闻 RSS 返回可解析 XML。风险评估需结合发布日期与适用地区；不替代个体医疗建议。</x:v>
      </x:c>
    </x:row>
    <x:row r="17" ht="50" customHeight="1">
      <x:c r="A17" s="29" t="str">
        <x:v>S</x:v>
      </x:c>
      <x:c r="B17" s="29" t="n">
        <x:v>93</x:v>
      </x:c>
      <x:c r="C17" s="29" t="str">
        <x:v>健康与福祉</x:v>
      </x:c>
      <x:c r="D17" s="29" t="str">
        <x:v>药品与产品安全</x:v>
      </x:c>
      <x:c r="E17" s="29" t="str">
        <x:v>FDA Consumer Health Information Updates</x:v>
      </x:c>
      <x:c r="F17" s="29" t="str"/>
      <x:c r="G17" s="29" t="str">
        <x:v>证据源</x:v>
      </x:c>
      <x:c r="H17" s="29" t="str">
        <x:v>药物、食品、医疗器械、召回与健康欺诈提示</x:v>
      </x:c>
      <x:c r="I17" s="29" t="str">
        <x:v>https://www.fda.gov/consumers/consumer-updates</x:v>
      </x:c>
      <x:c r="J17" s="29" t="str">
        <x:v>https://www.fda.gov/about-fda/contact-fda/stay-informed/rss-feeds/consumers/rss.xml</x:v>
      </x:c>
      <x:c r="K17" s="29" t="str">
        <x:v>有效</x:v>
      </x:c>
      <x:c r="L17" s="29" t="str">
        <x:v>辟谣、监管更新、产品风险、保健品红旗</x:v>
      </x:c>
      <x:c r="M17" s="29" t="str">
        <x:v>核验产品安全、监管状态与常见健康营销说法的权威来源。</x:v>
      </x:c>
      <x:c r="N17" s="29" t="str">
        <x:v>2026-08-17 实测主页 200，官方 Consumer RSS 返回可解析 XML。监管信息以美国为主；涉及用药应建议咨询合格专业人士。</x:v>
      </x:c>
    </x:row>
    <x:row r="18" ht="50" customHeight="1">
      <x:c r="A18" s="29" t="str">
        <x:v>S</x:v>
      </x:c>
      <x:c r="B18" s="29" t="n">
        <x:v>93</x:v>
      </x:c>
      <x:c r="C18" s="29" t="str">
        <x:v>健康与福祉</x:v>
      </x:c>
      <x:c r="D18" s="29" t="str">
        <x:v>精神健康科研与科普</x:v>
      </x:c>
      <x:c r="E18" s="29" t="str">
        <x:v>National Institute of Mental Health</x:v>
      </x:c>
      <x:c r="F18" s="29" t="str"/>
      <x:c r="G18" s="29" t="str">
        <x:v>证据源</x:v>
      </x:c>
      <x:c r="H18" s="29" t="str">
        <x:v>精神疾病研究、统计、治疗信息、科研新闻与公共教育</x:v>
      </x:c>
      <x:c r="I18" s="29" t="str">
        <x:v>https://www.nimh.nih.gov/news</x:v>
      </x:c>
      <x:c r="J18" s="29" t="str"/>
      <x:c r="K18" s="29" t="str">
        <x:v>无RSS/API入口</x:v>
      </x:c>
      <x:c r="L18" s="29" t="str">
        <x:v>用于心理健康数据、机制研究和政策背景；优先引用其研究报告或所链接论文。；精神健康科普、研究进展、统计与求助资源</x:v>
      </x:c>
      <x:c r="M18" s="29" t="str">
        <x:v>美国国家级精神健康研究机构，适合核对疾病概念、研究进展与统计口径。</x:v>
      </x:c>
      <x:c r="N18" s="29" t="str">
        <x:v>2026-08-17：官方新闻主页 200；未在当前页面发现固定 RSS，建议网页巡检或邮件订阅。；2026-08-17 实测主页 200；旧 Atom 路径已失效，未收录不稳定 Feed。精神健康内容应避免自我诊断和污名化，并在危机话题中提供当地专业求助渠道。</x:v>
      </x:c>
    </x:row>
    <x:row r="19" ht="50" customHeight="1">
      <x:c r="A19" s="29" t="str">
        <x:v>S</x:v>
      </x:c>
      <x:c r="B19" s="29" t="n">
        <x:v>93</x:v>
      </x:c>
      <x:c r="C19" s="29" t="str">
        <x:v>健康与福祉</x:v>
      </x:c>
      <x:c r="D19" s="29" t="str">
        <x:v>临床与公共卫生指南</x:v>
      </x:c>
      <x:c r="E19" s="29" t="str">
        <x:v>NICE Guidance</x:v>
      </x:c>
      <x:c r="F19" s="29" t="str"/>
      <x:c r="G19" s="29" t="str">
        <x:v>证据源</x:v>
      </x:c>
      <x:c r="H19" s="29" t="str">
        <x:v>临床指南、公共卫生指南、技术评估与质量标准</x:v>
      </x:c>
      <x:c r="I19" s="29" t="str">
        <x:v>https://www.nice.org.uk/guidance</x:v>
      </x:c>
      <x:c r="J19" s="29" t="str"/>
      <x:c r="K19" s="29" t="str">
        <x:v>无RSS/API入口</x:v>
      </x:c>
      <x:c r="L19" s="29" t="str">
        <x:v>指南变化、推荐等级、临床路径</x:v>
      </x:c>
      <x:c r="M19" s="29" t="str">
        <x:v>基于系统证据和成本效益的指南平台，适合核对标准实践与推荐强度。</x:v>
      </x:c>
      <x:c r="N19" s="29" t="str">
        <x:v>2026-08-17 实测主页 200；官方有 Syndication/API 文档，但本库不填入可能变动的统一端点。适用情境以英国体系为主；不替代个体医疗建议。</x:v>
      </x:c>
    </x:row>
    <x:row r="20" ht="50" customHeight="1">
      <x:c r="A20" s="29" t="str">
        <x:v>S</x:v>
      </x:c>
      <x:c r="B20" s="29" t="n">
        <x:v>93</x:v>
      </x:c>
      <x:c r="C20" s="29" t="str">
        <x:v>健康与福祉</x:v>
      </x:c>
      <x:c r="D20" s="29" t="str">
        <x:v>开放医学研究</x:v>
      </x:c>
      <x:c r="E20" s="29" t="str">
        <x:v>PLOS Medicine</x:v>
      </x:c>
      <x:c r="F20" s="29" t="str"/>
      <x:c r="G20" s="29" t="str">
        <x:v>证据源</x:v>
      </x:c>
      <x:c r="H20" s="29" t="str">
        <x:v>临床与公共卫生研究、系统综述、方法和政策</x:v>
      </x:c>
      <x:c r="I20" s="29" t="str">
        <x:v>https://journals.plos.org/plosmedicine/</x:v>
      </x:c>
      <x:c r="J20" s="29" t="str">
        <x:v>https://journals.plos.org/plosmedicine/feed/atom</x:v>
      </x:c>
      <x:c r="K20" s="29" t="str">
        <x:v>有效</x:v>
      </x:c>
      <x:c r="L20" s="29" t="str">
        <x:v>开放论文、方法透明、全球健康、可复核证据</x:v>
      </x:c>
      <x:c r="M20" s="29" t="str">
        <x:v>开放获取且覆盖临床和全球健康，便于读者直接核查全文。</x:v>
      </x:c>
      <x:c r="N20" s="29" t="str">
        <x:v>2026-08-17 实测主页 200，官方 Atom Feed 可解析。开放获取不等于无偏倚，仍需评估设计、效应量与局限；不替代个体医疗建议。</x:v>
      </x:c>
    </x:row>
    <x:row r="21" ht="50" customHeight="1">
      <x:c r="A21" s="29" t="str">
        <x:v>S</x:v>
      </x:c>
      <x:c r="B21" s="29" t="n">
        <x:v>93</x:v>
      </x:c>
      <x:c r="C21" s="29" t="str">
        <x:v>健康与福祉</x:v>
      </x:c>
      <x:c r="D21" s="29" t="str">
        <x:v>预防医学指南</x:v>
      </x:c>
      <x:c r="E21" s="29" t="str">
        <x:v>U.S. Preventive Services Task Force</x:v>
      </x:c>
      <x:c r="F21" s="29" t="str"/>
      <x:c r="G21" s="29" t="str">
        <x:v>证据源</x:v>
      </x:c>
      <x:c r="H21" s="29" t="str">
        <x:v>筛查、预防用药与行为干预推荐及证据综述</x:v>
      </x:c>
      <x:c r="I21" s="29" t="str">
        <x:v>https://www.uspreventiveservicestaskforce.org/uspstf/recommendation-topics</x:v>
      </x:c>
      <x:c r="J21" s="29" t="str"/>
      <x:c r="K21" s="29" t="str">
        <x:v>无RSS/API入口</x:v>
      </x:c>
      <x:c r="L21" s="29" t="str">
        <x:v>筛查利弊、预防误区、推荐等级解释</x:v>
      </x:c>
      <x:c r="M21" s="29" t="str">
        <x:v>针对无症状人群的预防服务建议，方法公开且推荐等级清晰。</x:v>
      </x:c>
      <x:c r="N21" s="29" t="str">
        <x:v>2026-08-17 实测主页 200；未发现稳定官方 RSS，建议网页或邮件监测。推荐适用对象非常具体，发帖须写清年龄、风险组和等级；不替代个体医疗建议。</x:v>
      </x:c>
    </x:row>
    <x:row r="22" ht="50" customHeight="1">
      <x:c r="A22" s="29" t="str">
        <x:v>S</x:v>
      </x:c>
      <x:c r="B22" s="29" t="n">
        <x:v>93</x:v>
      </x:c>
      <x:c r="C22" s="29" t="str">
        <x:v>健康与福祉</x:v>
      </x:c>
      <x:c r="D22" s="29" t="str">
        <x:v>全球健康统计</x:v>
      </x:c>
      <x:c r="E22" s="29" t="str">
        <x:v>WHO Global Health Observatory</x:v>
      </x:c>
      <x:c r="F22" s="29" t="str"/>
      <x:c r="G22" s="29" t="str">
        <x:v>证据源</x:v>
      </x:c>
      <x:c r="H22" s="29" t="str">
        <x:v>国家级健康指标、死亡、疾病、风险因素与卫生系统数据</x:v>
      </x:c>
      <x:c r="I22" s="29" t="str">
        <x:v>https://www.who.int/data/gho</x:v>
      </x:c>
      <x:c r="J22" s="29" t="str">
        <x:v>https://ghoapi.azureedge.net/api/</x:v>
      </x:c>
      <x:c r="K22" s="29" t="str">
        <x:v>API入口</x:v>
      </x:c>
      <x:c r="L22" s="29" t="str">
        <x:v>公共健康趋势、国家比较；全球地图、国家比较、长期趋势、公共卫生数据图</x:v>
      </x:c>
      <x:c r="M22" s="29" t="str">
        <x:v>适合制作全球和跨国健康比较，提供官方指标定义与可查询数据。</x:v>
      </x:c>
      <x:c r="N22" s="29" t="str">
        <x:v>指标定义、估算模型和报告延迟需随图说明。；2026-08-17 实测主页 200，OData API 返回 JSON。发帖应标注指标定义、年份、估计方法与缺失值；群体统计不用于个体诊断。；未按 RSS/Atom 校验。</x:v>
      </x:c>
    </x:row>
    <x:row r="23" ht="50" customHeight="1">
      <x:c r="A23" s="29" t="str">
        <x:v>S</x:v>
      </x:c>
      <x:c r="B23" s="29" t="n">
        <x:v>93</x:v>
      </x:c>
      <x:c r="C23" s="29" t="str">
        <x:v>健康与福祉</x:v>
      </x:c>
      <x:c r="D23" s="29" t="str">
        <x:v>全球公共卫生</x:v>
      </x:c>
      <x:c r="E23" s="29" t="str">
        <x:v>World Health Organization Newsroom</x:v>
      </x:c>
      <x:c r="F23" s="29" t="str"/>
      <x:c r="G23" s="29" t="str">
        <x:v>证据源</x:v>
      </x:c>
      <x:c r="H23" s="29" t="str">
        <x:v>全球卫生新闻、指南更新、疫情与政策声明</x:v>
      </x:c>
      <x:c r="I23" s="29" t="str">
        <x:v>https://www.who.int/news-room</x:v>
      </x:c>
      <x:c r="J23" s="29" t="str">
        <x:v>https://www.who.int/rss-feeds/news-english.xml</x:v>
      </x:c>
      <x:c r="K23" s="29" t="str">
        <x:v>有效</x:v>
      </x:c>
      <x:c r="L23" s="29" t="str">
        <x:v>全球趋势、指南变化、跨国数据、公共卫生事件</x:v>
      </x:c>
      <x:c r="M23" s="29" t="str">
        <x:v>WHO 是全球公共卫生规范、疾病防控与跨国卫生议题的一手权威来源。</x:v>
      </x:c>
      <x:c r="N23" s="29" t="str">
        <x:v>2026-08-17 实测主页 200，官方 RSS 返回可解析 XML。引用指南或数据时应链接具体文件；仅作一般信息，不替代个体医疗建议。</x:v>
      </x:c>
    </x:row>
    <x:row r="24" ht="50" customHeight="1">
      <x:c r="A24" s="29" t="str">
        <x:v>S</x:v>
      </x:c>
      <x:c r="B24" s="29" t="n">
        <x:v>93</x:v>
      </x:c>
      <x:c r="C24" s="29" t="str">
        <x:v>健康与福祉</x:v>
      </x:c>
      <x:c r="D24" s="29" t="str">
        <x:v>卫生健康政策、指南与新闻发布</x:v>
      </x:c>
      <x:c r="E24" s="29" t="str">
        <x:v>中华人民共和国国家卫生健康委员会</x:v>
      </x:c>
      <x:c r="F24" s="29" t="str"/>
      <x:c r="G24" s="29" t="str">
        <x:v>证据源</x:v>
      </x:c>
      <x:c r="H24" s="29" t="str">
        <x:v>官方政策与文件平台</x:v>
      </x:c>
      <x:c r="I24" s="29" t="str">
        <x:v>https://www.nhc.gov.cn/</x:v>
      </x:c>
      <x:c r="J24" s="29" t="str"/>
      <x:c r="K24" s="29" t="str">
        <x:v>无RSS/API入口</x:v>
      </x:c>
      <x:c r="L24" s="29" t="str">
        <x:v>政策原文、发布日期、官方统计口径与制度变化</x:v>
      </x:c>
      <x:c r="M24" s="29" t="str">
        <x:v>中国卫生健康政策、规范、新闻发布会和政策解读的一手入口。</x:v>
      </x:c>
      <x:c r="N24" s="29" t="str">
        <x:v>精确引用文件名称、文号、发布日期和适用范围；新闻稿不能替代完整技术指南。</x:v>
      </x:c>
    </x:row>
    <x:row r="25" ht="50" customHeight="1">
      <x:c r="A25" s="29" t="str">
        <x:v>S</x:v>
      </x:c>
      <x:c r="B25" s="29" t="n">
        <x:v>93</x:v>
      </x:c>
      <x:c r="C25" s="29" t="str">
        <x:v>商业、管理与创新</x:v>
      </x:c>
      <x:c r="D25" s="29" t="str">
        <x:v>经济、金融与决策</x:v>
      </x:c>
      <x:c r="E25" s="29" t="str">
        <x:v>Chicago Booth Review</x:v>
      </x:c>
      <x:c r="F25" s="29" t="str"/>
      <x:c r="G25" s="29" t="str">
        <x:v>证据源</x:v>
      </x:c>
      <x:c r="H25" s="29" t="str">
        <x:v>经济学、金融、商业、公共政策与行为研究解读</x:v>
      </x:c>
      <x:c r="I25" s="29" t="str">
        <x:v>https://www.chicagobooth.edu/review</x:v>
      </x:c>
      <x:c r="J25" s="29" t="str"/>
      <x:c r="K25" s="29" t="str">
        <x:v>无RSS/API入口</x:v>
      </x:c>
      <x:c r="L25" s="29" t="str">
        <x:v>用数据检验一个流行商业叙事，并展示替代解释。</x:v>
      </x:c>
      <x:c r="M25" s="29" t="str">
        <x:v>依托芝加哥布斯学派研究传统，适合寻找数据、因果推断和相互竞争的经济解释。</x:v>
      </x:c>
      <x:c r="N25" s="29" t="str">
        <x:v>2026-08-17：官网返回200；常见RSS猜测地址均为404，按平台收录。</x:v>
      </x:c>
    </x:row>
    <x:row r="26" ht="50" customHeight="1">
      <x:c r="A26" s="29" t="str">
        <x:v>S</x:v>
      </x:c>
      <x:c r="B26" s="29" t="n">
        <x:v>93</x:v>
      </x:c>
      <x:c r="C26" s="29" t="str">
        <x:v>商业、管理与创新</x:v>
      </x:c>
      <x:c r="D26" s="29" t="str">
        <x:v>商业研究与市场</x:v>
      </x:c>
      <x:c r="E26" s="29" t="str">
        <x:v>Columbia Business School Insights</x:v>
      </x:c>
      <x:c r="F26" s="29" t="str"/>
      <x:c r="G26" s="29" t="str">
        <x:v>证据源</x:v>
      </x:c>
      <x:c r="H26" s="29" t="str">
        <x:v>商学院研究、金融、领导力、创业、气候与市场分析</x:v>
      </x:c>
      <x:c r="I26" s="29" t="str">
        <x:v>https://business.columbia.edu/insights</x:v>
      </x:c>
      <x:c r="J26" s="29" t="str"/>
      <x:c r="K26" s="29" t="str">
        <x:v>无RSS/API入口</x:v>
      </x:c>
      <x:c r="L26" s="29" t="str">
        <x:v>引用研究或教授观点，补充企业和市场层面的现实例子。</x:v>
      </x:c>
      <x:c r="M26" s="29" t="str">
        <x:v>连接哥伦比亚商学院教师研究与纽约商业生态，金融和组织议题具有一手性。</x:v>
      </x:c>
      <x:c r="N26" s="29" t="str">
        <x:v>2026-08-17：自动化访问受403挑战；未发现可稳定验证的官方RSS，按平台收录。</x:v>
      </x:c>
    </x:row>
    <x:row r="27" ht="50" customHeight="1">
      <x:c r="A27" s="29" t="str">
        <x:v>S</x:v>
      </x:c>
      <x:c r="B27" s="29" t="n">
        <x:v>93</x:v>
      </x:c>
      <x:c r="C27" s="29" t="str">
        <x:v>商业、管理与创新</x:v>
      </x:c>
      <x:c r="D27" s="29" t="str">
        <x:v>管理研究与案例</x:v>
      </x:c>
      <x:c r="E27" s="29" t="str">
        <x:v>HBS Working Knowledge</x:v>
      </x:c>
      <x:c r="F27" s="29" t="str"/>
      <x:c r="G27" s="29" t="str">
        <x:v>证据源</x:v>
      </x:c>
      <x:c r="H27" s="29" t="str">
        <x:v>哈佛商学院教师研究、工作论文、案例讨论与管理问答</x:v>
      </x:c>
      <x:c r="I27" s="29" t="str">
        <x:v>https://www.library.hbs.edu/working-knowledge</x:v>
      </x:c>
      <x:c r="J27" s="29" t="str"/>
      <x:c r="K27" s="29" t="str">
        <x:v>无RSS/API入口</x:v>
      </x:c>
      <x:c r="L27" s="29" t="str">
        <x:v>从研究摘要进入论文，再提炼问题、方法、发现和管理含义。</x:v>
      </x:c>
      <x:c r="M27" s="29" t="str">
        <x:v>常直接链接论文或案例背景，是寻找管理研究原始出处的高价值入口。</x:v>
      </x:c>
      <x:c r="N27" s="29" t="str">
        <x:v>2026-08-17：官网返回200；测试的常见RSS路径均为404，按平台收录。</x:v>
      </x:c>
    </x:row>
    <x:row r="28" ht="50" customHeight="1">
      <x:c r="A28" s="29" t="str">
        <x:v>S</x:v>
      </x:c>
      <x:c r="B28" s="29" t="n">
        <x:v>93</x:v>
      </x:c>
      <x:c r="C28" s="29" t="str">
        <x:v>商业、管理与创新</x:v>
      </x:c>
      <x:c r="D28" s="29" t="str">
        <x:v>全球管理与组织</x:v>
      </x:c>
      <x:c r="E28" s="29" t="str">
        <x:v>INSEAD Knowledge</x:v>
      </x:c>
      <x:c r="F28" s="29" t="str"/>
      <x:c r="G28" s="29" t="str">
        <x:v>证据源</x:v>
      </x:c>
      <x:c r="H28" s="29" t="str">
        <x:v>战略、领导力、组织行为、创业、可持续与全球商业</x:v>
      </x:c>
      <x:c r="I28" s="29" t="str">
        <x:v>https://knowledge.insead.edu/</x:v>
      </x:c>
      <x:c r="J28" s="29" t="str"/>
      <x:c r="K28" s="29" t="str">
        <x:v>无RSS/API入口</x:v>
      </x:c>
      <x:c r="L28" s="29" t="str">
        <x:v>比较不同市场或文化中的管理机制，避免只用美国样本。</x:v>
      </x:c>
      <x:c r="M28" s="29" t="str">
        <x:v>具有强全球视角，常把商学院研究转化为跨文化和跨市场管理启示。</x:v>
      </x:c>
      <x:c r="N28" s="29" t="str">
        <x:v>2026-08-17：官网自动化访问受403挑战；未录入同样受限的RSS端点，按平台收录。</x:v>
      </x:c>
    </x:row>
    <x:row r="29" ht="50" customHeight="1">
      <x:c r="A29" s="29" t="str">
        <x:v>S</x:v>
      </x:c>
      <x:c r="B29" s="29" t="n">
        <x:v>93</x:v>
      </x:c>
      <x:c r="C29" s="29" t="str">
        <x:v>商业、管理与创新</x:v>
      </x:c>
      <x:c r="D29" s="29" t="str">
        <x:v>市场、决策与组织研究</x:v>
      </x:c>
      <x:c r="E29" s="29" t="str">
        <x:v>Kellogg Insight</x:v>
      </x:c>
      <x:c r="F29" s="29" t="str"/>
      <x:c r="G29" s="29" t="str">
        <x:v>证据源</x:v>
      </x:c>
      <x:c r="H29" s="29" t="str">
        <x:v>商学院论文解读、市场营销、管理、领导力与行为研究</x:v>
      </x:c>
      <x:c r="I29" s="29" t="str">
        <x:v>https://insight.kellogg.northwestern.edu/</x:v>
      </x:c>
      <x:c r="J29" s="29" t="str">
        <x:v>https://insight.kellogg.northwestern.edu/feed/rss</x:v>
      </x:c>
      <x:c r="K29" s="29" t="str">
        <x:v>有效</x:v>
      </x:c>
      <x:c r="L29" s="29" t="str">
        <x:v>把实验设计和结果压缩成一张因果链，并提醒适用边界。</x:v>
      </x:c>
      <x:c r="M29" s="29" t="str">
        <x:v>文章通常清晰说明研究问题、方法和管理含义，适合做证据型帖文。</x:v>
      </x:c>
      <x:c r="N29" s="29" t="str">
        <x:v>2026-08-17：主页显式发现官方RSS，端点返回200和有效XML。</x:v>
      </x:c>
    </x:row>
    <x:row r="30" ht="50" customHeight="1">
      <x:c r="A30" s="29" t="str">
        <x:v>S</x:v>
      </x:c>
      <x:c r="B30" s="29" t="n">
        <x:v>93</x:v>
      </x:c>
      <x:c r="C30" s="29" t="str">
        <x:v>商业、管理与创新</x:v>
      </x:c>
      <x:c r="D30" s="29" t="str">
        <x:v>商学院研究与商业分析</x:v>
      </x:c>
      <x:c r="E30" s="29" t="str">
        <x:v>Knowledge at Wharton</x:v>
      </x:c>
      <x:c r="F30" s="29" t="str"/>
      <x:c r="G30" s="29" t="str">
        <x:v>证据源</x:v>
      </x:c>
      <x:c r="H30" s="29" t="str">
        <x:v>研究解读、教授访谈、商业趋势、政策与管理实践</x:v>
      </x:c>
      <x:c r="I30" s="29" t="str">
        <x:v>https://knowledge.wharton.upenn.edu/</x:v>
      </x:c>
      <x:c r="J30" s="29" t="str">
        <x:v>https://knowledge.wharton.upenn.edu/feed/</x:v>
      </x:c>
      <x:c r="K30" s="29" t="str">
        <x:v>有效</x:v>
      </x:c>
      <x:c r="L30" s="29" t="str">
        <x:v>教授观点加数据加对管理者或消费者的影响。</x:v>
      </x:c>
      <x:c r="M30" s="29" t="str">
        <x:v>沃顿商学院的公共知识平台，能快速找到研究者、论文和现实商业问题之间的连接。</x:v>
      </x:c>
      <x:c r="N30" s="29" t="str">
        <x:v>2026-08-17：主页显式发现官方Feed，RSS返回200和有效XML。</x:v>
      </x:c>
    </x:row>
    <x:row r="31" ht="50" customHeight="1">
      <x:c r="A31" s="29" t="str">
        <x:v>S</x:v>
      </x:c>
      <x:c r="B31" s="29" t="n">
        <x:v>93</x:v>
      </x:c>
      <x:c r="C31" s="29" t="str">
        <x:v>商业、管理与创新</x:v>
      </x:c>
      <x:c r="D31" s="29" t="str">
        <x:v>商学院研究与领导力</x:v>
      </x:c>
      <x:c r="E31" s="29" t="str">
        <x:v>Stanford GSB Insights</x:v>
      </x:c>
      <x:c r="F31" s="29" t="str"/>
      <x:c r="G31" s="29" t="str">
        <x:v>证据源</x:v>
      </x:c>
      <x:c r="H31" s="29" t="str">
        <x:v>斯坦福商学院研究解读、案例、访谈、播客与课堂要点</x:v>
      </x:c>
      <x:c r="I31" s="29" t="str">
        <x:v>https://www.gsb.stanford.edu/insights</x:v>
      </x:c>
      <x:c r="J31" s="29" t="str"/>
      <x:c r="K31" s="29" t="str">
        <x:v>无RSS/API入口</x:v>
      </x:c>
      <x:c r="L31" s="29" t="str">
        <x:v>引用教授研究，用一个现实决策场景解释其意义。</x:v>
      </x:c>
      <x:c r="M31" s="29" t="str">
        <x:v>直接连接商学院教师研究与企业实践，创业、领导力、谈判和组织议题丰富。</x:v>
      </x:c>
      <x:c r="N31" s="29" t="str">
        <x:v>2026-08-17：官网返回200；未发现稳定官方统一RSS，按平台收录。</x:v>
      </x:c>
    </x:row>
    <x:row r="32" ht="50" customHeight="1">
      <x:c r="A32" s="29" t="str">
        <x:v>S</x:v>
      </x:c>
      <x:c r="B32" s="29" t="n">
        <x:v>93</x:v>
      </x:c>
      <x:c r="C32" s="29" t="str">
        <x:v>商业、管理与创新</x:v>
      </x:c>
      <x:c r="D32" s="29" t="str">
        <x:v>商业与社会</x:v>
      </x:c>
      <x:c r="E32" s="29" t="str">
        <x:v>Yale Insights</x:v>
      </x:c>
      <x:c r="F32" s="29" t="str"/>
      <x:c r="G32" s="29" t="str">
        <x:v>证据源</x:v>
      </x:c>
      <x:c r="H32" s="29" t="str">
        <x:v>耶鲁管理学院研究、政策、领导力、市场与社会影响</x:v>
      </x:c>
      <x:c r="I32" s="29" t="str">
        <x:v>https://insights.som.yale.edu/</x:v>
      </x:c>
      <x:c r="J32" s="29" t="str"/>
      <x:c r="K32" s="29" t="str">
        <x:v>无RSS/API入口</x:v>
      </x:c>
      <x:c r="L32" s="29" t="str">
        <x:v>用利益相关者视角拆解一个商业决策的外部影响。</x:v>
      </x:c>
      <x:c r="M32" s="29" t="str">
        <x:v>擅长把企业议题放进制度、政策和社会背景，适合避免狭窄的商业成功叙事。</x:v>
      </x:c>
      <x:c r="N32" s="29" t="str">
        <x:v>2026-08-17：官网返回200；测试的常见RSS端点均为404，按平台收录。</x:v>
      </x:c>
    </x:row>
    <x:row r="33" ht="50" customHeight="1">
      <x:c r="A33" s="29" t="str">
        <x:v>A</x:v>
      </x:c>
      <x:c r="B33" s="29" t="n">
        <x:v>92</x:v>
      </x:c>
      <x:c r="C33" s="29" t="str">
        <x:v>健康与福祉</x:v>
      </x:c>
      <x:c r="D33" s="29" t="str">
        <x:v>营养综述</x:v>
      </x:c>
      <x:c r="E33" s="29" t="str">
        <x:v>Advances in Nutrition</x:v>
      </x:c>
      <x:c r="F33" s="29" t="str"/>
      <x:c r="G33" s="29" t="str">
        <x:v>证据源</x:v>
      </x:c>
      <x:c r="H33" s="29" t="str">
        <x:v>营养学综述、系统综述、方法与政策</x:v>
      </x:c>
      <x:c r="I33" s="29" t="str">
        <x:v>https://advances.nutrition.org/</x:v>
      </x:c>
      <x:c r="J33" s="29" t="str">
        <x:v>https://advances.nutrition.org/action/showFeed?jc=advnut&amp;type=etoc&amp;feed=rss</x:v>
      </x:c>
      <x:c r="K33" s="29" t="str">
        <x:v>有效</x:v>
      </x:c>
      <x:c r="L33" s="29" t="str">
        <x:v>营养证据综述、争议梳理、研究缺口</x:v>
      </x:c>
      <x:c r="M33" s="29" t="str">
        <x:v>以综述为主，有助于避免被单篇营养研究或营销性结论带偏。</x:v>
      </x:c>
      <x:c r="N33" s="29" t="str">
        <x:v>2026-08-17 官方 RSS 返回 XML；主页自动请求触发 403。检查综述类型、纳入研究质量和利益冲突；不替代个体营养建议。</x:v>
      </x:c>
    </x:row>
    <x:row r="34" ht="50" customHeight="1">
      <x:c r="A34" s="29" t="str">
        <x:v>A</x:v>
      </x:c>
      <x:c r="B34" s="29" t="n">
        <x:v>92</x:v>
      </x:c>
      <x:c r="C34" s="29" t="str">
        <x:v>健康与福祉</x:v>
      </x:c>
      <x:c r="D34" s="29" t="str">
        <x:v>公共卫生期刊</x:v>
      </x:c>
      <x:c r="E34" s="29" t="str">
        <x:v>American Journal of Public Health</x:v>
      </x:c>
      <x:c r="F34" s="29" t="str"/>
      <x:c r="G34" s="29" t="str">
        <x:v>证据源</x:v>
      </x:c>
      <x:c r="H34" s="29" t="str">
        <x:v>公共卫生研究、政策、健康公平与社区干预</x:v>
      </x:c>
      <x:c r="I34" s="29" t="str">
        <x:v>https://ajph.aphapublications.org/</x:v>
      </x:c>
      <x:c r="J34" s="29" t="str">
        <x:v>https://ajph.aphapublications.org/action/showFeed?jc=ajph&amp;type=etoc&amp;feed=rss</x:v>
      </x:c>
      <x:c r="K34" s="29" t="str">
        <x:v>有效</x:v>
      </x:c>
      <x:c r="L34" s="29" t="str">
        <x:v>健康公平、政策评估、社会决定因素</x:v>
      </x:c>
      <x:c r="M34" s="29" t="str">
        <x:v>适合追踪健康的社会决定因素、政策效果与人群干预。</x:v>
      </x:c>
      <x:c r="N34" s="29" t="str">
        <x:v>2026-08-17 官方 RSS 返回 XML；主页自动请求触发 403。观察性与政策研究需避免把相关性写成个体因果；不替代个体医疗建议。</x:v>
      </x:c>
    </x:row>
    <x:row r="35" ht="50" customHeight="1">
      <x:c r="A35" s="29" t="str">
        <x:v>A</x:v>
      </x:c>
      <x:c r="B35" s="29" t="n">
        <x:v>92</x:v>
      </x:c>
      <x:c r="C35" s="29" t="str">
        <x:v>健康与福祉</x:v>
      </x:c>
      <x:c r="D35" s="29" t="str">
        <x:v>内科与临床指南</x:v>
      </x:c>
      <x:c r="E35" s="29" t="str">
        <x:v>Annals of Internal Medicine</x:v>
      </x:c>
      <x:c r="F35" s="29" t="str"/>
      <x:c r="G35" s="29" t="str">
        <x:v>证据源</x:v>
      </x:c>
      <x:c r="H35" s="29" t="str">
        <x:v>临床研究、系统综述、ACP 指南与医学实践</x:v>
      </x:c>
      <x:c r="I35" s="29" t="str">
        <x:v>https://www.acpjournals.org/journal/aim</x:v>
      </x:c>
      <x:c r="J35" s="29" t="str">
        <x:v>https://www.acpjournals.org/action/showFeed?jc=aim&amp;type=etoc&amp;feed=rss</x:v>
      </x:c>
      <x:c r="K35" s="29" t="str">
        <x:v>有效</x:v>
      </x:c>
      <x:c r="L35" s="29" t="str">
        <x:v>临床指南、诊疗证据、方法与实践差距</x:v>
      </x:c>
      <x:c r="M35" s="29" t="str">
        <x:v>内科临床决策和指南的重要来源，兼顾研究与实践。</x:v>
      </x:c>
      <x:c r="N35" s="29" t="str">
        <x:v>2026-08-17 官方 RSS 返回可解析 XML；主页自动请求触发 403。引用指南时核对发布日期和更新状态；不替代个体医疗建议。</x:v>
      </x:c>
    </x:row>
    <x:row r="36" ht="50" customHeight="1">
      <x:c r="A36" s="29" t="str">
        <x:v>A</x:v>
      </x:c>
      <x:c r="B36" s="29" t="n">
        <x:v>92</x:v>
      </x:c>
      <x:c r="C36" s="29" t="str">
        <x:v>健康与福祉</x:v>
      </x:c>
      <x:c r="D36" s="29" t="str">
        <x:v>运动医学研究</x:v>
      </x:c>
      <x:c r="E36" s="29" t="str">
        <x:v>British Journal of Sports Medicine</x:v>
      </x:c>
      <x:c r="F36" s="29" t="str"/>
      <x:c r="G36" s="29" t="str">
        <x:v>证据源</x:v>
      </x:c>
      <x:c r="H36" s="29" t="str">
        <x:v>运动医学、伤病预防、运动表现、系统综述与共识</x:v>
      </x:c>
      <x:c r="I36" s="29" t="str">
        <x:v>https://bjsm.bmj.com/</x:v>
      </x:c>
      <x:c r="J36" s="29" t="str">
        <x:v>https://bjsm.bmj.com/rss/recent.xml</x:v>
      </x:c>
      <x:c r="K36" s="29" t="str">
        <x:v>超时/网络错误</x:v>
      </x:c>
      <x:c r="L36" s="29" t="str">
        <x:v>运动证据、伤病预防、共识声明、训练迷思</x:v>
      </x:c>
      <x:c r="M36" s="29" t="str">
        <x:v>运动健康、体力活动与伤病研究的高影响同行评审来源。</x:v>
      </x:c>
      <x:c r="N36" s="29" t="str">
        <x:v>官方 RSS 路径已确认；2026-08-17 自动请求返回 429/403 反爬。发帖应区分精英运动员与一般人群，并避免把研究转成个体训练处方。；HTTP 429</x:v>
      </x:c>
    </x:row>
    <x:row r="37" ht="50" customHeight="1">
      <x:c r="A37" s="29" t="str">
        <x:v>A</x:v>
      </x:c>
      <x:c r="B37" s="29" t="n">
        <x:v>92</x:v>
      </x:c>
      <x:c r="C37" s="29" t="str">
        <x:v>健康与福祉</x:v>
      </x:c>
      <x:c r="D37" s="29" t="str">
        <x:v>临床心理科学</x:v>
      </x:c>
      <x:c r="E37" s="29" t="str">
        <x:v>Clinical Psychological Science</x:v>
      </x:c>
      <x:c r="F37" s="29" t="str"/>
      <x:c r="G37" s="29" t="str">
        <x:v>证据源</x:v>
      </x:c>
      <x:c r="H37" s="29" t="str">
        <x:v>临床心理、测量、风险、干预与可重复性研究</x:v>
      </x:c>
      <x:c r="I37" s="29" t="str">
        <x:v>https://journals.sagepub.com/home/cpx</x:v>
      </x:c>
      <x:c r="J37" s="29" t="str">
        <x:v>https://journals.sagepub.com/action/showFeed?jc=cpx&amp;type=etoc&amp;feed=rss</x:v>
      </x:c>
      <x:c r="K37" s="29" t="str">
        <x:v>有效</x:v>
      </x:c>
      <x:c r="L37" s="29" t="str">
        <x:v>心理测量、干预证据、方法与可重复性</x:v>
      </x:c>
      <x:c r="M37" s="29" t="str">
        <x:v>适合追踪心理健康领域的机制、测量和方法学更新。</x:v>
      </x:c>
      <x:c r="N37" s="29" t="str">
        <x:v>2026-08-17 官方 RSS 返回可解析 XML；主页自动请求触发 403。量表或研究结果不能直接用作个人诊断；不替代合格专业人士评估。</x:v>
      </x:c>
    </x:row>
    <x:row r="38" ht="50" customHeight="1">
      <x:c r="A38" s="29" t="str">
        <x:v>A</x:v>
      </x:c>
      <x:c r="B38" s="29" t="n">
        <x:v>92</x:v>
      </x:c>
      <x:c r="C38" s="29" t="str">
        <x:v>健康与福祉</x:v>
      </x:c>
      <x:c r="D38" s="29" t="str">
        <x:v>系统综述与通俗摘要</x:v>
      </x:c>
      <x:c r="E38" s="29" t="str">
        <x:v>Cochrane Evidence</x:v>
      </x:c>
      <x:c r="F38" s="29" t="str"/>
      <x:c r="G38" s="29" t="str">
        <x:v>证据源</x:v>
      </x:c>
      <x:c r="H38" s="29" t="str">
        <x:v>系统综述、Plain Language Summary、证据不确定性</x:v>
      </x:c>
      <x:c r="I38" s="29" t="str">
        <x:v>https://www.cochrane.org/evidence</x:v>
      </x:c>
      <x:c r="J38" s="29" t="str"/>
      <x:c r="K38" s="29" t="str">
        <x:v>无RSS/API入口</x:v>
      </x:c>
      <x:c r="L38" s="29" t="str">
        <x:v>疗效证据、利弊权衡、证据是否确定</x:v>
      </x:c>
      <x:c r="M38" s="29" t="str">
        <x:v>治疗、预防和护理问题的高等级证据入口，强调系统检索与综合。</x:v>
      </x:c>
      <x:c r="N38" s="29" t="str">
        <x:v>2026-08-17 实测主页 200；未收录统一证据 RSS，建议网页检索并引用具体综述和最新版本。系统综述也需检查日期、人群与异质性；不替代个体医疗建议。</x:v>
      </x:c>
    </x:row>
    <x:row r="39" ht="50" customHeight="1">
      <x:c r="A39" s="29" t="str">
        <x:v>A</x:v>
      </x:c>
      <x:c r="B39" s="29" t="n">
        <x:v>92</x:v>
      </x:c>
      <x:c r="C39" s="29" t="str">
        <x:v>健康与福祉</x:v>
      </x:c>
      <x:c r="D39" s="29" t="str">
        <x:v>公共卫生期刊</x:v>
      </x:c>
      <x:c r="E39" s="29" t="str">
        <x:v>European Journal of Public Health</x:v>
      </x:c>
      <x:c r="F39" s="29" t="str"/>
      <x:c r="G39" s="29" t="str">
        <x:v>证据源</x:v>
      </x:c>
      <x:c r="H39" s="29" t="str">
        <x:v>欧洲公共卫生、政策、流行病学与健康公平研究</x:v>
      </x:c>
      <x:c r="I39" s="29" t="str">
        <x:v>https://academic.oup.com/eurpub</x:v>
      </x:c>
      <x:c r="J39" s="29" t="str">
        <x:v>https://academic.oup.com/rss/site_5381/advanceAccess_3242.xml</x:v>
      </x:c>
      <x:c r="K39" s="29" t="str">
        <x:v>有效</x:v>
      </x:c>
      <x:c r="L39" s="29" t="str">
        <x:v>跨国比较、政策效果、健康不平等</x:v>
      </x:c>
      <x:c r="M39" s="29" t="str">
        <x:v>提供欧洲多国比较和公共卫生政策实施的同行评审证据。</x:v>
      </x:c>
      <x:c r="N39" s="29" t="str">
        <x:v>2026-08-17 官方 Advance Articles RSS 返回可解析 XML；主页自动请求触发 403。留意研究地区与制度背景；不替代个体医疗建议。</x:v>
      </x:c>
    </x:row>
    <x:row r="40" ht="50" customHeight="1">
      <x:c r="A40" s="29" t="str">
        <x:v>A</x:v>
      </x:c>
      <x:c r="B40" s="29" t="n">
        <x:v>92</x:v>
      </x:c>
      <x:c r="C40" s="29" t="str">
        <x:v>健康与福祉</x:v>
      </x:c>
      <x:c r="D40" s="29" t="str">
        <x:v>疾病负担与风险因素</x:v>
      </x:c>
      <x:c r="E40" s="29" t="str">
        <x:v>IHME Global Burden of Disease</x:v>
      </x:c>
      <x:c r="F40" s="29" t="str"/>
      <x:c r="G40" s="29" t="str">
        <x:v>证据源</x:v>
      </x:c>
      <x:c r="H40" s="29" t="str">
        <x:v>死亡、伤残、风险因素、DALY 与健康预测数据工具</x:v>
      </x:c>
      <x:c r="I40" s="29" t="str">
        <x:v>https://www.healthdata.org/research-analysis/gbd</x:v>
      </x:c>
      <x:c r="J40" s="29" t="str"/>
      <x:c r="K40" s="29" t="str">
        <x:v>无RSS/API入口</x:v>
      </x:c>
      <x:c r="L40" s="29" t="str">
        <x:v>疾病负担排行、风险因素、地图与长期趋势</x:v>
      </x:c>
      <x:c r="M40" s="29" t="str">
        <x:v>全球疾病负担的综合估计和可视化平台，适合跨疾病、跨地区比较。</x:v>
      </x:c>
      <x:c r="N40" s="29" t="str">
        <x:v>2026-08-17 实测主页 200；未收录稳定 RSS，作为网页与数据工具源。GBD 含模型估计，应说明年份、区间和不确定性；群体估计不替代个体医疗建议。</x:v>
      </x:c>
    </x:row>
    <x:row r="41" ht="50" customHeight="1">
      <x:c r="A41" s="29" t="str">
        <x:v>A</x:v>
      </x:c>
      <x:c r="B41" s="29" t="n">
        <x:v>92</x:v>
      </x:c>
      <x:c r="C41" s="29" t="str">
        <x:v>健康与福祉</x:v>
      </x:c>
      <x:c r="D41" s="29" t="str">
        <x:v>综合医学期刊</x:v>
      </x:c>
      <x:c r="E41" s="29" t="str">
        <x:v>JAMA</x:v>
      </x:c>
      <x:c r="F41" s="29" t="str"/>
      <x:c r="G41" s="29" t="str">
        <x:v>证据源</x:v>
      </x:c>
      <x:c r="H41" s="29" t="str">
        <x:v>临床研究、系统综述、指南、观点与医学新闻</x:v>
      </x:c>
      <x:c r="I41" s="29" t="str">
        <x:v>https://jamanetwork.com/journals/jama</x:v>
      </x:c>
      <x:c r="J41" s="29" t="str">
        <x:v>https://jamanetwork.com/rss/site_3/67.xml</x:v>
      </x:c>
      <x:c r="K41" s="29" t="str">
        <x:v>有效</x:v>
      </x:c>
      <x:c r="L41" s="29" t="str">
        <x:v>研究速读、方法拆解、指南与政策</x:v>
      </x:c>
      <x:c r="M41" s="29" t="str">
        <x:v>兼具临床证据、方法讨论和公共卫生政策，适合追踪高影响研究。</x:v>
      </x:c>
      <x:c r="N41" s="29" t="str">
        <x:v>2026-08-17 官方 RSS 返回可解析 XML；主页自动请求触发 403 反爬。发帖应区分研究、观点和新闻栏目；不替代个体医疗建议。</x:v>
      </x:c>
    </x:row>
    <x:row r="42" ht="50" customHeight="1">
      <x:c r="A42" s="29" t="str">
        <x:v>A</x:v>
      </x:c>
      <x:c r="B42" s="29" t="n">
        <x:v>92</x:v>
      </x:c>
      <x:c r="C42" s="29" t="str">
        <x:v>健康与福祉</x:v>
      </x:c>
      <x:c r="D42" s="29" t="str">
        <x:v>临床睡眠医学</x:v>
      </x:c>
      <x:c r="E42" s="29" t="str">
        <x:v>Journal of Clinical Sleep Medicine</x:v>
      </x:c>
      <x:c r="F42" s="29" t="str"/>
      <x:c r="G42" s="29" t="str">
        <x:v>证据源</x:v>
      </x:c>
      <x:c r="H42" s="29" t="str">
        <x:v>睡眠障碍诊断、治疗、临床试验与实践指南</x:v>
      </x:c>
      <x:c r="I42" s="29" t="str">
        <x:v>https://jcsm.aasm.org/</x:v>
      </x:c>
      <x:c r="J42" s="29" t="str">
        <x:v>https://jcsm.aasm.org/action/showFeed?jc=jcsm&amp;type=etoc&amp;feed=rss</x:v>
      </x:c>
      <x:c r="K42" s="29" t="str">
        <x:v>超时/网络错误</x:v>
      </x:c>
      <x:c r="L42" s="29" t="str">
        <x:v>失眠、睡眠呼吸障碍、临床管理与指南</x:v>
      </x:c>
      <x:c r="M42" s="29" t="str">
        <x:v>AASM 官方临床期刊，适合从学会解释追到临床研究与指南原文。</x:v>
      </x:c>
      <x:c r="N42" s="29" t="str">
        <x:v>官方期刊与 Feed 结构已确认；2026-08-17 本环境主页和 Feed 均出现连接错误，导入后请重试。临床内容不替代睡眠专科评估。；fetch failed</x:v>
      </x:c>
    </x:row>
    <x:row r="43" ht="50" customHeight="1">
      <x:c r="A43" s="29" t="str">
        <x:v>A</x:v>
      </x:c>
      <x:c r="B43" s="29" t="n">
        <x:v>92</x:v>
      </x:c>
      <x:c r="C43" s="29" t="str">
        <x:v>健康与福祉</x:v>
      </x:c>
      <x:c r="D43" s="29" t="str">
        <x:v>转化医学</x:v>
      </x:c>
      <x:c r="E43" s="29" t="str">
        <x:v>Nature Medicine</x:v>
      </x:c>
      <x:c r="F43" s="29" t="str"/>
      <x:c r="G43" s="29" t="str">
        <x:v>证据源</x:v>
      </x:c>
      <x:c r="H43" s="29" t="str">
        <x:v>生物医学机制、转化研究、临床研究与方法</x:v>
      </x:c>
      <x:c r="I43" s="29" t="str">
        <x:v>https://www.nature.com/nm/</x:v>
      </x:c>
      <x:c r="J43" s="29" t="str">
        <x:v>https://www.nature.com/nm.rss</x:v>
      </x:c>
      <x:c r="K43" s="29" t="str">
        <x:v>有效</x:v>
      </x:c>
      <x:c r="L43" s="29" t="str">
        <x:v>前沿机制、诊断技术、转化研究、研究趋势</x:v>
      </x:c>
      <x:c r="M43" s="29" t="str">
        <x:v>适合追踪从机制到临床应用的前沿医学研究。</x:v>
      </x:c>
      <x:c r="N43" s="29" t="str">
        <x:v>2026-08-17 实测主页 200，官方 RSS 返回 XML。早期或小样本转化结果不等于临床可用；不替代个体医疗建议。</x:v>
      </x:c>
    </x:row>
    <x:row r="44" ht="50" customHeight="1">
      <x:c r="A44" s="29" t="str">
        <x:v>A</x:v>
      </x:c>
      <x:c r="B44" s="29" t="n">
        <x:v>92</x:v>
      </x:c>
      <x:c r="C44" s="29" t="str">
        <x:v>健康与福祉</x:v>
      </x:c>
      <x:c r="D44" s="29" t="str">
        <x:v>精神健康与行为科学</x:v>
      </x:c>
      <x:c r="E44" s="29" t="str">
        <x:v>Psychological Medicine</x:v>
      </x:c>
      <x:c r="F44" s="29" t="str"/>
      <x:c r="G44" s="29" t="str">
        <x:v>证据源</x:v>
      </x:c>
      <x:c r="H44" s="29" t="str">
        <x:v>精神医学、临床心理、流行病学与神经行为研究</x:v>
      </x:c>
      <x:c r="I44" s="29" t="str">
        <x:v>https://www.cambridge.org/core/journals/psychological-medicine</x:v>
      </x:c>
      <x:c r="J44" s="29" t="str">
        <x:v>https://www.cambridge.org/core/rss/product/id/S0033291719001902/type/journal</x:v>
      </x:c>
      <x:c r="K44" s="29" t="str">
        <x:v>受限/反爬</x:v>
      </x:c>
      <x:c r="L44" s="29" t="str">
        <x:v>心理健康研究、风险因素、干预与纵向证据</x:v>
      </x:c>
      <x:c r="M44" s="29" t="str">
        <x:v>连接心理、精神医学与人群健康，适合跨学科追踪风险因素和干预。</x:v>
      </x:c>
      <x:c r="N44" s="29" t="str">
        <x:v>2026-08-17 实测主页 200；官方 RSS 自动请求返回 403 反爬。避免把群体相关性简化成个人因果或标签；不替代个体心理或医疗服务。；端点未返回可识别的 RSS/Atom XML；可能是反爬、登录页或旧地址。</x:v>
      </x:c>
    </x:row>
    <x:row r="45" ht="50" customHeight="1">
      <x:c r="A45" s="29" t="str">
        <x:v>A</x:v>
      </x:c>
      <x:c r="B45" s="29" t="n">
        <x:v>92</x:v>
      </x:c>
      <x:c r="C45" s="29" t="str">
        <x:v>健康与福祉</x:v>
      </x:c>
      <x:c r="D45" s="29" t="str">
        <x:v>睡眠与昼夜节律研究</x:v>
      </x:c>
      <x:c r="E45" s="29" t="str">
        <x:v>SLEEP</x:v>
      </x:c>
      <x:c r="F45" s="29" t="str"/>
      <x:c r="G45" s="29" t="str">
        <x:v>证据源</x:v>
      </x:c>
      <x:c r="H45" s="29" t="str">
        <x:v>睡眠、昼夜节律、神经与临床睡眠研究</x:v>
      </x:c>
      <x:c r="I45" s="29" t="str">
        <x:v>https://academic.oup.com/sleep</x:v>
      </x:c>
      <x:c r="J45" s="29" t="str">
        <x:v>https://academic.oup.com/rss/site_5573/advanceAccess_3429.xml</x:v>
      </x:c>
      <x:c r="K45" s="29" t="str">
        <x:v>有效</x:v>
      </x:c>
      <x:c r="L45" s="29" t="str">
        <x:v>睡眠机制、昼夜节律、睡眠与健康结局</x:v>
      </x:c>
      <x:c r="M45" s="29" t="str">
        <x:v>Sleep Research Society 官方期刊，覆盖基础、转化与临床睡眠科学。</x:v>
      </x:c>
      <x:c r="N45" s="29" t="str">
        <x:v>2026-08-17 官方 Advance Articles RSS 返回可解析 XML；主页自动请求触发 403。相关性研究不能证明睡眠变量导致结局；不替代个体诊疗。</x:v>
      </x:c>
    </x:row>
    <x:row r="46" ht="50" customHeight="1">
      <x:c r="A46" s="29" t="str">
        <x:v>A</x:v>
      </x:c>
      <x:c r="B46" s="29" t="n">
        <x:v>92</x:v>
      </x:c>
      <x:c r="C46" s="29" t="str">
        <x:v>健康与福祉</x:v>
      </x:c>
      <x:c r="D46" s="29" t="str">
        <x:v>临床营养研究</x:v>
      </x:c>
      <x:c r="E46" s="29" t="str">
        <x:v>The American Journal of Clinical Nutrition</x:v>
      </x:c>
      <x:c r="F46" s="29" t="str"/>
      <x:c r="G46" s="29" t="str">
        <x:v>证据源</x:v>
      </x:c>
      <x:c r="H46" s="29" t="str">
        <x:v>营养临床试验、队列研究、代谢与膳食模式</x:v>
      </x:c>
      <x:c r="I46" s="29" t="str">
        <x:v>https://ajcn.nutrition.org/</x:v>
      </x:c>
      <x:c r="J46" s="29" t="str"/>
      <x:c r="K46" s="29" t="str">
        <x:v>无RSS/API入口</x:v>
      </x:c>
      <x:c r="L46" s="29" t="str">
        <x:v>饮食模式、营养试验、代谢健康</x:v>
      </x:c>
      <x:c r="M46" s="29" t="str">
        <x:v>临床营养的重要同行评审期刊，适合追踪饮食与健康结局的原始研究。</x:v>
      </x:c>
      <x:c r="N46" s="29" t="str">
        <x:v>2026-08-17 主页自动请求触发 403；旧 Feed URL 返回 404，因此本库按网页平台收录。营养观察性结果不应直接写成因果或个体处方。</x:v>
      </x:c>
    </x:row>
    <x:row r="47" ht="50" customHeight="1">
      <x:c r="A47" s="29" t="str">
        <x:v>A</x:v>
      </x:c>
      <x:c r="B47" s="29" t="n">
        <x:v>92</x:v>
      </x:c>
      <x:c r="C47" s="29" t="str">
        <x:v>健康与福祉</x:v>
      </x:c>
      <x:c r="D47" s="29" t="str">
        <x:v>综合医学与证据方法</x:v>
      </x:c>
      <x:c r="E47" s="29" t="str">
        <x:v>The BMJ</x:v>
      </x:c>
      <x:c r="F47" s="29" t="str"/>
      <x:c r="G47" s="29" t="str">
        <x:v>证据源</x:v>
      </x:c>
      <x:c r="H47" s="29" t="str">
        <x:v>临床研究、教育、调查报道、方法与政策评论</x:v>
      </x:c>
      <x:c r="I47" s="29" t="str">
        <x:v>https://www.bmj.com/</x:v>
      </x:c>
      <x:c r="J47" s="29" t="str">
        <x:v>http://feeds.bmj.com/bmj/recent</x:v>
      </x:c>
      <x:c r="K47" s="29" t="str">
        <x:v>重定向后有效</x:v>
      </x:c>
      <x:c r="L47" s="29" t="str">
        <x:v>研究方法、医疗政策、循证争议、开放科学</x:v>
      </x:c>
      <x:c r="M47" s="29" t="str">
        <x:v>重视开放科学、研究方法和医疗政策，适合做证据质量与利益冲突分析。</x:v>
      </x:c>
      <x:c r="N47" s="29" t="str">
        <x:v>2026-08-17 RSS 可访问并重定向至 feeds.bmj.com；主页自动请求触发 403。区分同行评审研究、新闻与观点；不替代个体医疗建议。</x:v>
      </x:c>
    </x:row>
    <x:row r="48" ht="50" customHeight="1">
      <x:c r="A48" s="29" t="str">
        <x:v>A</x:v>
      </x:c>
      <x:c r="B48" s="29" t="n">
        <x:v>92</x:v>
      </x:c>
      <x:c r="C48" s="29" t="str">
        <x:v>健康与福祉</x:v>
      </x:c>
      <x:c r="D48" s="29" t="str">
        <x:v>全球与临床医学</x:v>
      </x:c>
      <x:c r="E48" s="29" t="str">
        <x:v>The Lancet</x:v>
      </x:c>
      <x:c r="F48" s="29" t="str"/>
      <x:c r="G48" s="29" t="str">
        <x:v>证据源</x:v>
      </x:c>
      <x:c r="H48" s="29" t="str">
        <x:v>临床研究、全球健康、委员会报告、社论与评论</x:v>
      </x:c>
      <x:c r="I48" s="29" t="str">
        <x:v>https://www.thelancet.com/journals/lancet/home</x:v>
      </x:c>
      <x:c r="J48" s="29" t="str">
        <x:v>https://www.thelancet.com/rssfeed/lancet_current.xml</x:v>
      </x:c>
      <x:c r="K48" s="29" t="str">
        <x:v>有效</x:v>
      </x:c>
      <x:c r="L48" s="29" t="str">
        <x:v>全球健康议题、大型研究、委员会结论</x:v>
      </x:c>
      <x:c r="M48" s="29" t="str">
        <x:v>覆盖临床、公共卫生和全球健康，常提供大型合作研究与专题委员会报告。</x:v>
      </x:c>
      <x:c r="N48" s="29" t="str">
        <x:v>2026-08-17 官方 RSS 返回 XML；主页自动请求触发 403 反爬。关注更正、撤稿及评论与原始研究的区别；不替代个体医疗建议。</x:v>
      </x:c>
    </x:row>
    <x:row r="49" ht="50" customHeight="1">
      <x:c r="A49" s="29" t="str">
        <x:v>A</x:v>
      </x:c>
      <x:c r="B49" s="29" t="n">
        <x:v>92</x:v>
      </x:c>
      <x:c r="C49" s="29" t="str">
        <x:v>健康与福祉</x:v>
      </x:c>
      <x:c r="D49" s="29" t="str">
        <x:v>精神医学研究</x:v>
      </x:c>
      <x:c r="E49" s="29" t="str">
        <x:v>The Lancet Psychiatry</x:v>
      </x:c>
      <x:c r="F49" s="29" t="str"/>
      <x:c r="G49" s="29" t="str">
        <x:v>证据源</x:v>
      </x:c>
      <x:c r="H49" s="29" t="str">
        <x:v>精神医学临床研究、流行病学、政策与全球精神健康</x:v>
      </x:c>
      <x:c r="I49" s="29" t="str">
        <x:v>https://www.thelancet.com/journals/lanpsy/home</x:v>
      </x:c>
      <x:c r="J49" s="29" t="str">
        <x:v>https://www.thelancet.com/rssfeed/lanpsy_current.xml</x:v>
      </x:c>
      <x:c r="K49" s="29" t="str">
        <x:v>有效</x:v>
      </x:c>
      <x:c r="L49" s="29" t="str">
        <x:v>精神健康趋势、治疗研究、政策与健康公平</x:v>
      </x:c>
      <x:c r="M49" s="29" t="str">
        <x:v>精神健康领域高影响期刊，覆盖治疗证据、人群研究与政策。</x:v>
      </x:c>
      <x:c r="N49" s="29" t="str">
        <x:v>2026-08-17 官方 RSS 返回 XML；主页自动请求触发 403。使用敏感结局时应说明研究设计、基线风险和不确定性；不用于自我诊断或替代个体治疗。</x:v>
      </x:c>
    </x:row>
    <x:row r="50" ht="50" customHeight="1">
      <x:c r="A50" s="29" t="str">
        <x:v>A</x:v>
      </x:c>
      <x:c r="B50" s="29" t="n">
        <x:v>92</x:v>
      </x:c>
      <x:c r="C50" s="29" t="str">
        <x:v>健康与福祉</x:v>
      </x:c>
      <x:c r="D50" s="29" t="str">
        <x:v>综合医学期刊</x:v>
      </x:c>
      <x:c r="E50" s="29" t="str">
        <x:v>The New England Journal of Medicine</x:v>
      </x:c>
      <x:c r="F50" s="29" t="str"/>
      <x:c r="G50" s="29" t="str">
        <x:v>证据源</x:v>
      </x:c>
      <x:c r="H50" s="29" t="str">
        <x:v>临床试验、综述、病例、指南评论与医学政策</x:v>
      </x:c>
      <x:c r="I50" s="29" t="str">
        <x:v>https://www.nejm.org/</x:v>
      </x:c>
      <x:c r="J50" s="29" t="str">
        <x:v>https://www.nejm.org/action/showFeed?jc=nejm&amp;type=etoc&amp;feed=rss</x:v>
      </x:c>
      <x:c r="K50" s="29" t="str">
        <x:v>有效</x:v>
      </x:c>
      <x:c r="L50" s="29" t="str">
        <x:v>重要试验、疗效与风险、临床实践变化</x:v>
      </x:c>
      <x:c r="M50" s="29" t="str">
        <x:v>高影响力临床医学期刊，适合追踪重要试验和实践改变。</x:v>
      </x:c>
      <x:c r="N50" s="29" t="str">
        <x:v>2026-08-17 官方 RSS 返回可解析 XML；主页自动请求触发 403 反爬。单篇研究不能自动转化为个人建议，应核对方案、绝对风险与外部验证。</x:v>
      </x:c>
    </x:row>
    <x:row r="51" ht="50" customHeight="1">
      <x:c r="A51" s="29" t="str">
        <x:v>A</x:v>
      </x:c>
      <x:c r="B51" s="29" t="n">
        <x:v>92</x:v>
      </x:c>
      <x:c r="C51" s="29" t="str">
        <x:v>心理、认知与情商</x:v>
      </x:c>
      <x:c r="D51" s="29" t="str">
        <x:v>情感科学期刊</x:v>
      </x:c>
      <x:c r="E51" s="29" t="str">
        <x:v>Affective Science</x:v>
      </x:c>
      <x:c r="F51" s="29" t="str"/>
      <x:c r="G51" s="29" t="str">
        <x:v>证据源</x:v>
      </x:c>
      <x:c r="H51" s="29" t="str">
        <x:v>同行评审期刊</x:v>
      </x:c>
      <x:c r="I51" s="29" t="str">
        <x:v>https://link.springer.com/journal/42761</x:v>
      </x:c>
      <x:c r="J51" s="29" t="str">
        <x:v>https://api.crossref.org/journals/2662-205X/works?sort=published&amp;order=desc&amp;rows=20</x:v>
      </x:c>
      <x:c r="K51" s="29" t="str">
        <x:v>API入口</x:v>
      </x:c>
      <x:c r="L51" s="29" t="str">
        <x:v>用于纠正“情绪只有几种”“情绪能被简单读懂”等过度简化论断。</x:v>
      </x:c>
      <x:c r="M51" s="29" t="str">
        <x:v>Society for Affective Science 官方期刊，覆盖情绪、压力、动机及其健康和社会影响。</x:v>
      </x:c>
      <x:c r="N51" s="29" t="str">
        <x:v>2026-08-17：Springer 主页 200；Crossref ISSN API 200，JSON 已确认。；未按 RSS/Atom 校验。</x:v>
      </x:c>
    </x:row>
    <x:row r="52" ht="50" customHeight="1">
      <x:c r="A52" s="29" t="str">
        <x:v>A</x:v>
      </x:c>
      <x:c r="B52" s="29" t="n">
        <x:v>92</x:v>
      </x:c>
      <x:c r="C52" s="29" t="str">
        <x:v>心理、认知与情商</x:v>
      </x:c>
      <x:c r="D52" s="29" t="str">
        <x:v>心理学年度综述</x:v>
      </x:c>
      <x:c r="E52" s="29" t="str">
        <x:v>Annual Review of Psychology</x:v>
      </x:c>
      <x:c r="F52" s="29" t="str"/>
      <x:c r="G52" s="29" t="str">
        <x:v>证据源</x:v>
      </x:c>
      <x:c r="H52" s="29" t="str">
        <x:v>权威综述期刊</x:v>
      </x:c>
      <x:c r="I52" s="29" t="str">
        <x:v>https://www.annualreviews.org/content/journals/psych</x:v>
      </x:c>
      <x:c r="J52" s="29" t="str">
        <x:v>https://api.crossref.org/journals/1545-2085/works?sort=published&amp;order=desc&amp;rows=20</x:v>
      </x:c>
      <x:c r="K52" s="29" t="str">
        <x:v>API入口</x:v>
      </x:c>
      <x:c r="L52" s="29" t="str">
        <x:v>先用综述建立领域共识，再从参考文献挑关键原始研究；适合长帖和知识地图。</x:v>
      </x:c>
      <x:c r="M52" s="29" t="str">
        <x:v>以领域级综述梳理理论、证据和争议，是做深度背景和避免单篇研究偏差的核心来源。</x:v>
      </x:c>
      <x:c r="N52" s="29" t="str">
        <x:v>2026-08-17：出版商页面受 CDN 403；Crossref ISSN API 200，已确认 JSON，可稳定追踪最新条目。；未按 RSS/Atom 校验。</x:v>
      </x:c>
    </x:row>
    <x:row r="53" ht="50" customHeight="1">
      <x:c r="A53" s="29" t="str">
        <x:v>A</x:v>
      </x:c>
      <x:c r="B53" s="29" t="n">
        <x:v>92</x:v>
      </x:c>
      <x:c r="C53" s="29" t="str">
        <x:v>心理、认知与情商</x:v>
      </x:c>
      <x:c r="D53" s="29" t="str">
        <x:v>开放获取综合心理学</x:v>
      </x:c>
      <x:c r="E53" s="29" t="str">
        <x:v>BMC Psychology</x:v>
      </x:c>
      <x:c r="F53" s="29" t="str"/>
      <x:c r="G53" s="29" t="str">
        <x:v>证据源</x:v>
      </x:c>
      <x:c r="H53" s="29" t="str">
        <x:v>同行评审开放期刊</x:v>
      </x:c>
      <x:c r="I53" s="29" t="str">
        <x:v>https://link.springer.com/journal/40359</x:v>
      </x:c>
      <x:c r="J53" s="29" t="str">
        <x:v>https://api.crossref.org/journals/2050-7283/works?sort=published&amp;order=desc&amp;rows=20</x:v>
      </x:c>
      <x:c r="K53" s="29" t="str">
        <x:v>API入口</x:v>
      </x:c>
      <x:c r="L53" s="29" t="str">
        <x:v>适合寻找可完整阅读的新研究；发布前检查设计质量，不以期刊名替代研究评估。</x:v>
      </x:c>
      <x:c r="M53" s="29" t="str">
        <x:v>覆盖临床、健康、社会、发展和组织心理学，全文开放，便于核验研究方法与限制。</x:v>
      </x:c>
      <x:c r="N53" s="29" t="str">
        <x:v>2026-08-17：Springer 主页 200；原站 RSS 已迁移为 HTML，改用 Crossref ISSN API，返回 200 JSON。；未按 RSS/Atom 校验。</x:v>
      </x:c>
    </x:row>
    <x:row r="54" ht="50" customHeight="1">
      <x:c r="A54" s="29" t="str">
        <x:v>A</x:v>
      </x:c>
      <x:c r="B54" s="29" t="n">
        <x:v>92</x:v>
      </x:c>
      <x:c r="C54" s="29" t="str">
        <x:v>心理、认知与情商</x:v>
      </x:c>
      <x:c r="D54" s="29" t="str">
        <x:v>循证心理健康</x:v>
      </x:c>
      <x:c r="E54" s="29" t="str">
        <x:v>BMJ Mental Health</x:v>
      </x:c>
      <x:c r="F54" s="29" t="str"/>
      <x:c r="G54" s="29" t="str">
        <x:v>证据源</x:v>
      </x:c>
      <x:c r="H54" s="29" t="str">
        <x:v>同行评审期刊</x:v>
      </x:c>
      <x:c r="I54" s="29" t="str">
        <x:v>https://mentalhealth.bmj.com/</x:v>
      </x:c>
      <x:c r="J54" s="29" t="str">
        <x:v>https://mentalhealth.bmj.com/rss/current.xml</x:v>
      </x:c>
      <x:c r="K54" s="29" t="str">
        <x:v>超时/网络错误</x:v>
      </x:c>
      <x:c r="L54" s="29" t="str">
        <x:v>用于心理健康干预、诊断与服务体系话题；区分观察研究、试验和系统综述。</x:v>
      </x:c>
      <x:c r="M54" s="29" t="str">
        <x:v>覆盖临床心理、精神卫生、实施研究与证据综合，重视可转化的临床价值。</x:v>
      </x:c>
      <x:c r="N54" s="29" t="str">
        <x:v>2026-08-17：官方 RSS 页面可被搜索索引；自动检查主页为 403、Feed 为 429，属 CDN/限流，建议在阅读器内实测。；HTTP 429</x:v>
      </x:c>
    </x:row>
    <x:row r="55" ht="50" customHeight="1">
      <x:c r="A55" s="29" t="str">
        <x:v>A</x:v>
      </x:c>
      <x:c r="B55" s="29" t="n">
        <x:v>92</x:v>
      </x:c>
      <x:c r="C55" s="29" t="str">
        <x:v>心理、认知与情商</x:v>
      </x:c>
      <x:c r="D55" s="29" t="str">
        <x:v>社会与行为干预系统综述</x:v>
      </x:c>
      <x:c r="E55" s="29" t="str">
        <x:v>Campbell Collaboration</x:v>
      </x:c>
      <x:c r="F55" s="29" t="str"/>
      <x:c r="G55" s="29" t="str">
        <x:v>证据源</x:v>
      </x:c>
      <x:c r="H55" s="29" t="str">
        <x:v>系统综述组织</x:v>
      </x:c>
      <x:c r="I55" s="29" t="str">
        <x:v>https://www.campbellcollaboration.org/</x:v>
      </x:c>
      <x:c r="J55" s="29" t="str">
        <x:v>https://www.campbellcollaboration.org/feed/</x:v>
      </x:c>
      <x:c r="K55" s="29" t="str">
        <x:v>受限/反爬</x:v>
      </x:c>
      <x:c r="L55" s="29" t="str">
        <x:v>把行为改变、教育和社会干预写成“证据支持/证据不足/边界条件”型高价值帖。</x:v>
      </x:c>
      <x:c r="M55" s="29" t="str">
        <x:v>聚合教育、社会福利、行为与公共政策干预的系统综述，适合回答“什么方法真正有效”。</x:v>
      </x:c>
      <x:c r="N55" s="29" t="str">
        <x:v>2026-08-17：主页 200；RSS 200，XML 已确认。；端点未返回可识别的 RSS/Atom XML；可能是反爬、登录页或旧地址。</x:v>
      </x:c>
    </x:row>
    <x:row r="56" ht="50" customHeight="1">
      <x:c r="A56" s="29" t="str">
        <x:v>A</x:v>
      </x:c>
      <x:c r="B56" s="29" t="n">
        <x:v>92</x:v>
      </x:c>
      <x:c r="C56" s="29" t="str">
        <x:v>心理、认知与情商</x:v>
      </x:c>
      <x:c r="D56" s="29" t="str">
        <x:v>幸福感与沉思科学</x:v>
      </x:c>
      <x:c r="E56" s="29" t="str">
        <x:v>Center for Healthy Minds</x:v>
      </x:c>
      <x:c r="F56" s="29" t="str"/>
      <x:c r="G56" s="29" t="str">
        <x:v>证据源</x:v>
      </x:c>
      <x:c r="H56" s="29" t="str">
        <x:v>大学跨学科研究中心</x:v>
      </x:c>
      <x:c r="I56" s="29" t="str">
        <x:v>https://centerhealthyminds.org/</x:v>
      </x:c>
      <x:c r="J56" s="29" t="str"/>
      <x:c r="K56" s="29" t="str">
        <x:v>无RSS/API入口</x:v>
      </x:c>
      <x:c r="L56" s="29" t="str">
        <x:v>用于冥想、注意、韧性与幸福感话题；区分机制证据、干预效果和产品宣传。</x:v>
      </x:c>
      <x:c r="M56" s="29" t="str">
        <x:v>UW–Madison 研究中心，连接心理学、神经科学、教育与幸福感干预，并强调研究严谨性。</x:v>
      </x:c>
      <x:c r="N56" s="29" t="str">
        <x:v>2026-08-17：官方主页 200；未发现固定 RSS。</x:v>
      </x:c>
    </x:row>
    <x:row r="57" ht="50" customHeight="1">
      <x:c r="A57" s="29" t="str">
        <x:v>A</x:v>
      </x:c>
      <x:c r="B57" s="29" t="n">
        <x:v>92</x:v>
      </x:c>
      <x:c r="C57" s="29" t="str">
        <x:v>心理、认知与情商</x:v>
      </x:c>
      <x:c r="D57" s="29" t="str">
        <x:v>心理健康系统综述</x:v>
      </x:c>
      <x:c r="E57" s="29" t="str">
        <x:v>Cochrane Global Mental Health</x:v>
      </x:c>
      <x:c r="F57" s="29" t="str"/>
      <x:c r="G57" s="29" t="str">
        <x:v>证据源</x:v>
      </x:c>
      <x:c r="H57" s="29" t="str">
        <x:v>系统综述 / 证据综合</x:v>
      </x:c>
      <x:c r="I57" s="29" t="str">
        <x:v>https://globalmentalhealth.cochrane.org/evidence</x:v>
      </x:c>
      <x:c r="J57" s="29" t="str">
        <x:v>https://www.cochrane.org/about-us/news/all/rss</x:v>
      </x:c>
      <x:c r="K57" s="29" t="str">
        <x:v>有效</x:v>
      </x:c>
      <x:c r="L57" s="29" t="str">
        <x:v>讨论某种心理干预是否有效时优先检索；用效应、证据确定性与适用人群组织帖文。</x:v>
      </x:c>
      <x:c r="M57" s="29" t="str">
        <x:v>Cochrane 方法体系下的心理健康干预、促进和预防证据，适合校准疗效类主张。</x:v>
      </x:c>
      <x:c r="N57" s="29" t="str">
        <x:v>2026-08-17：Global Mental Health 证据页 200；Cochrane 全站新闻 RSS 200，需按 mental health 关键词过滤，专题页无独立 Feed。</x:v>
      </x:c>
    </x:row>
    <x:row r="58" ht="50" customHeight="1">
      <x:c r="A58" s="29" t="str">
        <x:v>A</x:v>
      </x:c>
      <x:c r="B58" s="29" t="n">
        <x:v>92</x:v>
      </x:c>
      <x:c r="C58" s="29" t="str">
        <x:v>心理、认知与情商</x:v>
      </x:c>
      <x:c r="D58" s="29" t="str">
        <x:v>认知机制与现实应用</x:v>
      </x:c>
      <x:c r="E58" s="29" t="str">
        <x:v>Cognitive Research: Principles and Implications</x:v>
      </x:c>
      <x:c r="F58" s="29" t="str"/>
      <x:c r="G58" s="29" t="str">
        <x:v>证据源</x:v>
      </x:c>
      <x:c r="H58" s="29" t="str">
        <x:v>同行评审开放期刊</x:v>
      </x:c>
      <x:c r="I58" s="29" t="str">
        <x:v>https://link.springer.com/journal/41235</x:v>
      </x:c>
      <x:c r="J58" s="29" t="str">
        <x:v>https://api.crossref.org/journals/2365-7464/works?sort=published&amp;order=desc&amp;rows=20</x:v>
      </x:c>
      <x:c r="K58" s="29" t="str">
        <x:v>API入口</x:v>
      </x:c>
      <x:c r="L58" s="29" t="str">
        <x:v>把实验室机制转译为学习与工作建议，同时写清效应边界和生态效度。</x:v>
      </x:c>
      <x:c r="M58" s="29" t="str">
        <x:v>强调认知研究对学习、决策和现实任务的意义，全文开放且实践关联强。</x:v>
      </x:c>
      <x:c r="N58" s="29" t="str">
        <x:v>2026-08-17：Springer 主页 200；原站 RSS 已迁移为 HTML，改用 Crossref ISSN API，返回 200 JSON。；未按 RSS/Atom 校验。</x:v>
      </x:c>
    </x:row>
    <x:row r="59" ht="50" customHeight="1">
      <x:c r="A59" s="29" t="str">
        <x:v>A</x:v>
      </x:c>
      <x:c r="B59" s="29" t="n">
        <x:v>92</x:v>
      </x:c>
      <x:c r="C59" s="29" t="str">
        <x:v>心理、认知与情商</x:v>
      </x:c>
      <x:c r="D59" s="29" t="str">
        <x:v>情绪理论与跨学科综述</x:v>
      </x:c>
      <x:c r="E59" s="29" t="str">
        <x:v>Emotion Review</x:v>
      </x:c>
      <x:c r="F59" s="29" t="str"/>
      <x:c r="G59" s="29" t="str">
        <x:v>证据源</x:v>
      </x:c>
      <x:c r="H59" s="29" t="str">
        <x:v>同行评审综述期刊</x:v>
      </x:c>
      <x:c r="I59" s="29" t="str">
        <x:v>https://journals.sagepub.com/home/emr</x:v>
      </x:c>
      <x:c r="J59" s="29" t="str">
        <x:v>https://journals.sagepub.com/action/showFeed?type=etoc&amp;feed=rss&amp;jc=emra</x:v>
      </x:c>
      <x:c r="K59" s="29" t="str">
        <x:v>有效</x:v>
      </x:c>
      <x:c r="L59" s="29" t="str">
        <x:v>适合写“不同情绪理论如何解释同一现象”的比较帖，而非单一技巧型内容。</x:v>
      </x:c>
      <x:c r="M59" s="29" t="str">
        <x:v>International Society for Research on Emotion 关联期刊，侧重情绪理论、综述和跨学科争论。</x:v>
      </x:c>
      <x:c r="N59" s="29" t="str">
        <x:v>2026-08-17：期刊主页自动检查 403；SAGE 官方 RSS 200，RDF/XML 已确认。</x:v>
      </x:c>
    </x:row>
    <x:row r="60" ht="50" customHeight="1">
      <x:c r="A60" s="29" t="str">
        <x:v>A</x:v>
      </x:c>
      <x:c r="B60" s="29" t="n">
        <x:v>92</x:v>
      </x:c>
      <x:c r="C60" s="29" t="str">
        <x:v>心理、认知与情商</x:v>
      </x:c>
      <x:c r="D60" s="29" t="str">
        <x:v>跨学科人类行为研究</x:v>
      </x:c>
      <x:c r="E60" s="29" t="str">
        <x:v>Nature Human Behaviour</x:v>
      </x:c>
      <x:c r="F60" s="29" t="str"/>
      <x:c r="G60" s="29" t="str">
        <x:v>证据源</x:v>
      </x:c>
      <x:c r="H60" s="29" t="str">
        <x:v>同行评审期刊</x:v>
      </x:c>
      <x:c r="I60" s="29" t="str">
        <x:v>https://www.nature.com/nathumbehav/</x:v>
      </x:c>
      <x:c r="J60" s="29" t="str">
        <x:v>https://www.nature.com/nathumbehav.rss</x:v>
      </x:c>
      <x:c r="K60" s="29" t="str">
        <x:v>有效</x:v>
      </x:c>
      <x:c r="L60" s="29" t="str">
        <x:v>寻找能连接个人行为与社会系统的新研究；发布前检查研究设计与评论争议。</x:v>
      </x:c>
      <x:c r="M60" s="29" t="str">
        <x:v>连接心理学、认知科学、经济学、社会科学与健康研究，特别适合跨学科行为主题。</x:v>
      </x:c>
      <x:c r="N60" s="29" t="str">
        <x:v>2026-08-17：主页 200；官方 RSS 200，RDF/RSS 已确认。</x:v>
      </x:c>
    </x:row>
    <x:row r="61" ht="50" customHeight="1">
      <x:c r="A61" s="29" t="str">
        <x:v>A</x:v>
      </x:c>
      <x:c r="B61" s="29" t="n">
        <x:v>92</x:v>
      </x:c>
      <x:c r="C61" s="29" t="str">
        <x:v>心理、认知与情商</x:v>
      </x:c>
      <x:c r="D61" s="29" t="str">
        <x:v>心理学综述</x:v>
      </x:c>
      <x:c r="E61" s="29" t="str">
        <x:v>Nature Reviews Psychology</x:v>
      </x:c>
      <x:c r="F61" s="29" t="str"/>
      <x:c r="G61" s="29" t="str">
        <x:v>证据源</x:v>
      </x:c>
      <x:c r="H61" s="29" t="str">
        <x:v>同行评审综述期刊</x:v>
      </x:c>
      <x:c r="I61" s="29" t="str">
        <x:v>https://www.nature.com/nrpsychol/</x:v>
      </x:c>
      <x:c r="J61" s="29" t="str">
        <x:v>https://www.nature.com/nrpsychol.rss</x:v>
      </x:c>
      <x:c r="K61" s="29" t="str">
        <x:v>有效</x:v>
      </x:c>
      <x:c r="L61" s="29" t="str">
        <x:v>把综述中的框架、关键图表和未解问题转成高密度线程；注意正文访问权限。</x:v>
      </x:c>
      <x:c r="M61" s="29" t="str">
        <x:v>跨心理学分支的高质量综述、观点和研究亮点，便于迅速掌握新领域共识。</x:v>
      </x:c>
      <x:c r="N61" s="29" t="str">
        <x:v>2026-08-17：主页 200；官方 RSS 200，RDF/RSS 已确认。</x:v>
      </x:c>
    </x:row>
    <x:row r="62" ht="50" customHeight="1">
      <x:c r="A62" s="29" t="str">
        <x:v>A</x:v>
      </x:c>
      <x:c r="B62" s="29" t="n">
        <x:v>92</x:v>
      </x:c>
      <x:c r="C62" s="29" t="str">
        <x:v>心理、认知与情商</x:v>
      </x:c>
      <x:c r="D62" s="29" t="str">
        <x:v>理论、方法与综合评论</x:v>
      </x:c>
      <x:c r="E62" s="29" t="str">
        <x:v>Perspectives on Psychological Science</x:v>
      </x:c>
      <x:c r="F62" s="29" t="str"/>
      <x:c r="G62" s="29" t="str">
        <x:v>证据源</x:v>
      </x:c>
      <x:c r="H62" s="29" t="str">
        <x:v>同行评审综述与观点期刊</x:v>
      </x:c>
      <x:c r="I62" s="29" t="str">
        <x:v>https://www.psychologicalscience.org/publications/perspectives</x:v>
      </x:c>
      <x:c r="J62" s="29" t="str">
        <x:v>https://journals.sagepub.com/action/showFeed?type=etoc&amp;feed=rss&amp;jc=ppsa</x:v>
      </x:c>
      <x:c r="K62" s="29" t="str">
        <x:v>有效</x:v>
      </x:c>
      <x:c r="L62" s="29" t="str">
        <x:v>适合写“研究看似证明了什么、其实还缺什么”的纠偏型帖文。</x:v>
      </x:c>
      <x:c r="M62" s="29" t="str">
        <x:v>关注理论整合、方法争议、元科学和大型综述，能为热点结论补上反方证据与边界。</x:v>
      </x:c>
      <x:c r="N62" s="29" t="str">
        <x:v>2026-08-17：APS 期刊页 200；SAGE 官方 RSS 200，RDF/XML 已确认。</x:v>
      </x:c>
    </x:row>
    <x:row r="63" ht="50" customHeight="1">
      <x:c r="A63" s="29" t="str">
        <x:v>A</x:v>
      </x:c>
      <x:c r="B63" s="29" t="n">
        <x:v>92</x:v>
      </x:c>
      <x:c r="C63" s="29" t="str">
        <x:v>心理、认知与情商</x:v>
      </x:c>
      <x:c r="D63" s="29" t="str">
        <x:v>综合心理科学</x:v>
      </x:c>
      <x:c r="E63" s="29" t="str">
        <x:v>Psychological Science</x:v>
      </x:c>
      <x:c r="F63" s="29" t="str"/>
      <x:c r="G63" s="29" t="str">
        <x:v>证据源</x:v>
      </x:c>
      <x:c r="H63" s="29" t="str">
        <x:v>同行评审期刊</x:v>
      </x:c>
      <x:c r="I63" s="29" t="str">
        <x:v>https://www.psychologicalscience.org/publications/psychological_science</x:v>
      </x:c>
      <x:c r="J63" s="29" t="str">
        <x:v>https://journals.sagepub.com/action/showFeed?type=etoc&amp;feed=rss&amp;jc=pssa</x:v>
      </x:c>
      <x:c r="K63" s="29" t="str">
        <x:v>有效</x:v>
      </x:c>
      <x:c r="L63" s="29" t="str">
        <x:v>用作新论文雷达；发帖时报告样本、设计、效应量和复制状态，避免只摘结论。</x:v>
      </x:c>
      <x:c r="M63" s="29" t="str">
        <x:v>APS 旗舰期刊，覆盖认知、社会、发展与行为研究，适合发现有公共传播潜力的新结果。</x:v>
      </x:c>
      <x:c r="N63" s="29" t="str">
        <x:v>2026-08-17：APS 期刊页 200；SAGE 官方 RSS 200，RDF/XML 已确认。</x:v>
      </x:c>
    </x:row>
    <x:row r="64" ht="50" customHeight="1">
      <x:c r="A64" s="29" t="str">
        <x:v>A</x:v>
      </x:c>
      <x:c r="B64" s="29" t="n">
        <x:v>92</x:v>
      </x:c>
      <x:c r="C64" s="29" t="str">
        <x:v>心理、认知与情商</x:v>
      </x:c>
      <x:c r="D64" s="29" t="str">
        <x:v>公共利益心理科学综述</x:v>
      </x:c>
      <x:c r="E64" s="29" t="str">
        <x:v>Psychological Science in the Public Interest（PSPI）</x:v>
      </x:c>
      <x:c r="F64" s="29" t="str"/>
      <x:c r="G64" s="29" t="str">
        <x:v>证据源</x:v>
      </x:c>
      <x:c r="H64" s="29" t="str">
        <x:v>同行评审综合报告</x:v>
      </x:c>
      <x:c r="I64" s="29" t="str">
        <x:v>https://www.psychologicalscience.org/publications/pspi</x:v>
      </x:c>
      <x:c r="J64" s="29" t="str">
        <x:v>https://journals.sagepub.com/action/showFeed?type=etoc&amp;feed=rss&amp;jc=psia</x:v>
      </x:c>
      <x:c r="K64" s="29" t="str">
        <x:v>有效</x:v>
      </x:c>
      <x:c r="L64" s="29" t="str">
        <x:v>将一篇报告拆成“问题—证据—误区—建议”系列帖，适合高利他型内容。</x:v>
      </x:c>
      <x:c r="M64" s="29" t="str">
        <x:v>针对教育、健康和社会议题发布长篇证据评估，数量少但信息密度很高。</x:v>
      </x:c>
      <x:c r="N64" s="29" t="str">
        <x:v>2026-08-17：APS 期刊页 200；SAGE 官方 RSS 200，RDF/XML 已确认。</x:v>
      </x:c>
    </x:row>
    <x:row r="65" ht="50" customHeight="1">
      <x:c r="A65" s="29" t="str">
        <x:v>A</x:v>
      </x:c>
      <x:c r="B65" s="29" t="n">
        <x:v>92</x:v>
      </x:c>
      <x:c r="C65" s="29" t="str">
        <x:v>心理、认知与情商</x:v>
      </x:c>
      <x:c r="D65" s="29" t="str">
        <x:v>社会与人格心理学</x:v>
      </x:c>
      <x:c r="E65" s="29" t="str">
        <x:v>Social Psychological and Personality Science</x:v>
      </x:c>
      <x:c r="F65" s="29" t="str"/>
      <x:c r="G65" s="29" t="str">
        <x:v>证据源</x:v>
      </x:c>
      <x:c r="H65" s="29" t="str">
        <x:v>同行评审期刊</x:v>
      </x:c>
      <x:c r="I65" s="29" t="str">
        <x:v>https://journals.sagepub.com/home/spp</x:v>
      </x:c>
      <x:c r="J65" s="29" t="str">
        <x:v>https://journals.sagepub.com/action/showFeed?type=etoc&amp;feed=rss&amp;jc=sppa</x:v>
      </x:c>
      <x:c r="K65" s="29" t="str">
        <x:v>有效</x:v>
      </x:c>
      <x:c r="L65" s="29" t="str">
        <x:v>寻找关系、人际和社会行为的新研究；优先大样本、预注册与多研究论文。</x:v>
      </x:c>
      <x:c r="M65" s="29" t="str">
        <x:v>以简洁实证报告覆盖关系、人格、社会认知与群体行为，更新速度较快。</x:v>
      </x:c>
      <x:c r="N65" s="29" t="str">
        <x:v>2026-08-17：期刊主页自动检查 403；SAGE 官方 RSS 200，RDF/XML 已确认。</x:v>
      </x:c>
    </x:row>
    <x:row r="66" ht="50" customHeight="1">
      <x:c r="A66" s="29" t="str">
        <x:v>A</x:v>
      </x:c>
      <x:c r="B66" s="29" t="n">
        <x:v>92</x:v>
      </x:c>
      <x:c r="C66" s="29" t="str">
        <x:v>心理、认知与情商</x:v>
      </x:c>
      <x:c r="D66" s="29" t="str">
        <x:v>同理心、慈悲与利他研究</x:v>
      </x:c>
      <x:c r="E66" s="29" t="str">
        <x:v>Stanford Center for Compassion and Altruism Research and Education（CCARE）</x:v>
      </x:c>
      <x:c r="F66" s="29" t="str"/>
      <x:c r="G66" s="29" t="str">
        <x:v>证据源</x:v>
      </x:c>
      <x:c r="H66" s="29" t="str">
        <x:v>大学研究中心</x:v>
      </x:c>
      <x:c r="I66" s="29" t="str">
        <x:v>https://ccare.stanford.edu/</x:v>
      </x:c>
      <x:c r="J66" s="29" t="str">
        <x:v>https://ccare.stanford.edu/feed/</x:v>
      </x:c>
      <x:c r="K66" s="29" t="str">
        <x:v>有效</x:v>
      </x:c>
      <x:c r="L66" s="29" t="str">
        <x:v>为同理心、助人行为与慈悲训练提供研究背景和专家资源；干预效果回链论文。</x:v>
      </x:c>
      <x:c r="M66" s="29" t="str">
        <x:v>聚焦慈悲、利他、同理心及其训练，与“高利他性内容”目标高度匹配。</x:v>
      </x:c>
      <x:c r="N66" s="29" t="str">
        <x:v>2026-08-17：主页 200；官方 RSS 200，XML 已确认。</x:v>
      </x:c>
    </x:row>
    <x:row r="67" ht="50" customHeight="1">
      <x:c r="A67" s="29" t="str">
        <x:v>A</x:v>
      </x:c>
      <x:c r="B67" s="29" t="n">
        <x:v>92</x:v>
      </x:c>
      <x:c r="C67" s="29" t="str">
        <x:v>心理、认知与情商</x:v>
      </x:c>
      <x:c r="D67" s="29" t="str">
        <x:v>认知科学趋势综述</x:v>
      </x:c>
      <x:c r="E67" s="29" t="str">
        <x:v>Trends in Cognitive Sciences（TICS）</x:v>
      </x:c>
      <x:c r="F67" s="29" t="str"/>
      <x:c r="G67" s="29" t="str">
        <x:v>证据源</x:v>
      </x:c>
      <x:c r="H67" s="29" t="str">
        <x:v>同行评审综述期刊</x:v>
      </x:c>
      <x:c r="I67" s="29" t="str">
        <x:v>https://www.cell.com/trends/cognitive-sciences/home</x:v>
      </x:c>
      <x:c r="J67" s="29" t="str">
        <x:v>https://www.cell.com/trends/cognitive-sciences/rss</x:v>
      </x:c>
      <x:c r="K67" s="29" t="str">
        <x:v>受限/反爬</x:v>
      </x:c>
      <x:c r="L67" s="29" t="str">
        <x:v>用于建立机制框架和跨论文共识；特别适合概念解释型长帖。</x:v>
      </x:c>
      <x:c r="M67" s="29" t="str">
        <x:v>认知科学领域的高密度综述和观点，覆盖记忆、注意、语言、决策与认知神经科学。</x:v>
      </x:c>
      <x:c r="N67" s="29" t="str">
        <x:v>2026-08-17：主页与官方 RSS 自动请求均为 403/Cloudflare；URL 为 Cell Press 官方 Feed，建议在阅读器内实测。；端点未返回可识别的 RSS/Atom XML；可能是反爬、登录页或旧地址。</x:v>
      </x:c>
    </x:row>
    <x:row r="68" ht="50" customHeight="1">
      <x:c r="A68" s="29" t="str">
        <x:v>A</x:v>
      </x:c>
      <x:c r="B68" s="29" t="n">
        <x:v>92</x:v>
      </x:c>
      <x:c r="C68" s="29" t="str">
        <x:v>心理、认知与情商</x:v>
      </x:c>
      <x:c r="D68" s="29" t="str">
        <x:v>情商、情绪技能与学校 SEL</x:v>
      </x:c>
      <x:c r="E68" s="29" t="str">
        <x:v>Yale Center for Emotional Intelligence（YCEI）</x:v>
      </x:c>
      <x:c r="F68" s="29" t="str"/>
      <x:c r="G68" s="29" t="str">
        <x:v>证据源</x:v>
      </x:c>
      <x:c r="H68" s="29" t="str">
        <x:v>大学研究与转化中心</x:v>
      </x:c>
      <x:c r="I68" s="29" t="str">
        <x:v>https://medicine.yale.edu/childstudy/services/community-and-schools-programs/center-for-emotional-intelligence/</x:v>
      </x:c>
      <x:c r="J68" s="29" t="str"/>
      <x:c r="K68" s="29" t="str">
        <x:v>无RSS/API入口</x:v>
      </x:c>
      <x:c r="L68" s="29" t="str">
        <x:v>用于情绪识别、调节、关系与学校环境话题；优先引用其研究与评估结果。</x:v>
      </x:c>
      <x:c r="M68" s="29" t="str">
        <x:v>研究情绪科学、情商测量与学校社会情绪学习，能替代泛化的“高情商技巧”内容。</x:v>
      </x:c>
      <x:c r="N68" s="29" t="str">
        <x:v>2026-08-17：Yale School of Medicine 官方中心页 200；未发现公开 RSS。</x:v>
      </x:c>
    </x:row>
    <x:row r="69" ht="50" customHeight="1">
      <x:c r="A69" s="29" t="str">
        <x:v>A</x:v>
      </x:c>
      <x:c r="B69" s="29" t="n">
        <x:v>92</x:v>
      </x:c>
      <x:c r="C69" s="29" t="str">
        <x:v>心理、认知与情商</x:v>
      </x:c>
      <x:c r="D69" s="29" t="str">
        <x:v>中国心理科学与心理健康研究</x:v>
      </x:c>
      <x:c r="E69" s="29" t="str">
        <x:v>中国科学院心理研究所</x:v>
      </x:c>
      <x:c r="F69" s="29" t="str"/>
      <x:c r="G69" s="29" t="str">
        <x:v>证据源</x:v>
      </x:c>
      <x:c r="H69" s="29" t="str">
        <x:v>国家级科研机构</x:v>
      </x:c>
      <x:c r="I69" s="29" t="str">
        <x:v>https://www.psych.ac.cn/</x:v>
      </x:c>
      <x:c r="J69" s="29" t="str"/>
      <x:c r="K69" s="29" t="str">
        <x:v>无RSS/API入口</x:v>
      </x:c>
      <x:c r="L69" s="29" t="str">
        <x:v>补充中国样本、中文研究与国内学术活动；优先链接科研进展对应论文或机构知识库。；中国心理学研究动态、专家解释、概念科普</x:v>
      </x:c>
      <x:c r="M69" s="29" t="str">
        <x:v>覆盖认知与发展、健康与遗传、社会与工程心理等方向，是中文一手科研动态的重要入口。</x:v>
      </x:c>
      <x:c r="N69" s="29" t="str">
        <x:v>2026-08-17：官方站最新内容可被搜索索引；本地直连发生 DNS/网络失败，保留为网页巡检源。；机构新闻和科普需继续追到具体论文、量表或项目；不能用于个体诊断。</x:v>
      </x:c>
    </x:row>
    <x:row r="70" ht="50" customHeight="1">
      <x:c r="A70" s="29" t="str">
        <x:v>A</x:v>
      </x:c>
      <x:c r="B70" s="29" t="n">
        <x:v>92</x:v>
      </x:c>
      <x:c r="C70" s="29" t="str">
        <x:v>心理、认知与情商</x:v>
      </x:c>
      <x:c r="D70" s="29" t="str">
        <x:v>脑智发育、学习与认知神经科学</x:v>
      </x:c>
      <x:c r="E70" s="29" t="str">
        <x:v>北京师范大学认知神经科学与学习国家重点实验室</x:v>
      </x:c>
      <x:c r="F70" s="29" t="str"/>
      <x:c r="G70" s="29" t="str">
        <x:v>证据源</x:v>
      </x:c>
      <x:c r="H70" s="29" t="str">
        <x:v>国家重点实验室</x:v>
      </x:c>
      <x:c r="I70" s="29" t="str">
        <x:v>https://brain.bnu.edu.cn/</x:v>
      </x:c>
      <x:c r="J70" s="29" t="str"/>
      <x:c r="K70" s="29" t="str">
        <x:v>无RSS/API入口</x:v>
      </x:c>
      <x:c r="L70" s="29" t="str">
        <x:v>补充中国样本和中文认知神经科学成果；直接引用对应论文，不只引用新闻稿。</x:v>
      </x:c>
      <x:c r="M70" s="29" t="str">
        <x:v>聚焦脑发育、认知发展、学习机制与心理健康，提供中文科研进展、学术活动和科普。</x:v>
      </x:c>
      <x:c r="N70" s="29" t="str">
        <x:v>2026-08-17：官方主页 200；未发现公开 RSS。</x:v>
      </x:c>
    </x:row>
    <x:row r="71" ht="50" customHeight="1">
      <x:c r="A71" s="29" t="str">
        <x:v>A</x:v>
      </x:c>
      <x:c r="B71" s="29" t="n">
        <x:v>91</x:v>
      </x:c>
      <x:c r="C71" s="29" t="str">
        <x:v>成长与学习</x:v>
      </x:c>
      <x:c r="D71" s="29" t="str">
        <x:v>领导力研究与发展</x:v>
      </x:c>
      <x:c r="E71" s="29" t="str">
        <x:v>Center for Creative Leadership Insights</x:v>
      </x:c>
      <x:c r="F71" s="29" t="str"/>
      <x:c r="G71" s="29" t="str">
        <x:v>证据源</x:v>
      </x:c>
      <x:c r="H71" s="29" t="str">
        <x:v>领导力研究、团队发展、教练、包容性与组织实践</x:v>
      </x:c>
      <x:c r="I71" s="29" t="str">
        <x:v>https://www.ccl.org/articles/</x:v>
      </x:c>
      <x:c r="J71" s="29" t="str"/>
      <x:c r="K71" s="29" t="str">
        <x:v>无RSS/API入口</x:v>
      </x:c>
      <x:c r="L71" s="29" t="str">
        <x:v>用研究结论校准常见领导力口号，并转成团队练习。</x:v>
      </x:c>
      <x:c r="M71" s="29" t="str">
        <x:v>非营利领导力研究与教育机构，长期发布研究型白皮书和实践指南。</x:v>
      </x:c>
      <x:c r="N71" s="29" t="str">
        <x:v>2026-08-17：官网在自动化请求中返回403但浏览器可访问；未核验到稳定公开RSS，按平台收录。</x:v>
      </x:c>
    </x:row>
    <x:row r="72" ht="50" customHeight="1">
      <x:c r="A72" s="29" t="str">
        <x:v>A</x:v>
      </x:c>
      <x:c r="B72" s="29" t="n">
        <x:v>91</x:v>
      </x:c>
      <x:c r="C72" s="29" t="str">
        <x:v>商业、管理与创新</x:v>
      </x:c>
      <x:c r="D72" s="29" t="str">
        <x:v>组织行为与管理研究</x:v>
      </x:c>
      <x:c r="E72" s="29" t="str">
        <x:v>AOM Insights</x:v>
      </x:c>
      <x:c r="F72" s="29" t="str"/>
      <x:c r="G72" s="29" t="str">
        <x:v>证据源</x:v>
      </x:c>
      <x:c r="H72" s="29" t="str">
        <x:v>同行评审管理研究摘要、信息图、视频和工作场所启示</x:v>
      </x:c>
      <x:c r="I72" s="29" t="str">
        <x:v>https://journals.aom.org/insights</x:v>
      </x:c>
      <x:c r="J72" s="29" t="str"/>
      <x:c r="K72" s="29" t="str">
        <x:v>无RSS/API入口</x:v>
      </x:c>
      <x:c r="L72" s="29" t="str">
        <x:v>一句管理迷思加研究发现加适用边界。</x:v>
      </x:c>
      <x:c r="M72" s="29" t="str">
        <x:v>由 Academy of Management 把旗下同行评审研究转为面向管理者的短解释，证据链清晰。</x:v>
      </x:c>
      <x:c r="N72" s="29" t="str">
        <x:v>2026-08-17：官方存在Insights与RSS入口，但自动化请求受403限制；未把HTML入口误标成XML Feed。</x:v>
      </x:c>
    </x:row>
    <x:row r="73" ht="50" customHeight="1">
      <x:c r="A73" s="29" t="str">
        <x:v>A</x:v>
      </x:c>
      <x:c r="B73" s="29" t="n">
        <x:v>91</x:v>
      </x:c>
      <x:c r="C73" s="29" t="str">
        <x:v>商业、管理与创新</x:v>
      </x:c>
      <x:c r="D73" s="29" t="str">
        <x:v>战略、创新与组织</x:v>
      </x:c>
      <x:c r="E73" s="29" t="str">
        <x:v>California Management Review</x:v>
      </x:c>
      <x:c r="F73" s="29" t="str"/>
      <x:c r="G73" s="29" t="str">
        <x:v>证据源</x:v>
      </x:c>
      <x:c r="H73" s="29" t="str">
        <x:v>同行评审管理研究、专题、研究简报与实践文章</x:v>
      </x:c>
      <x:c r="I73" s="29" t="str">
        <x:v>https://cmr.berkeley.edu/</x:v>
      </x:c>
      <x:c r="J73" s="29" t="str"/>
      <x:c r="K73" s="29" t="str">
        <x:v>无RSS/API入口</x:v>
      </x:c>
      <x:c r="L73" s="29" t="str">
        <x:v>把一篇管理研究转成问题、机制、证据和边界四格结构。</x:v>
      </x:c>
      <x:c r="M73" s="29" t="str">
        <x:v>伯克利管理期刊，重视证据型战略、创新和组织研究，适合系统性选题。</x:v>
      </x:c>
      <x:c r="N73" s="29" t="str">
        <x:v>2026-08-17：官网返回200；/feed/为404，按平台收录，部分论文可能需要订阅。</x:v>
      </x:c>
    </x:row>
    <x:row r="74" ht="50" customHeight="1">
      <x:c r="A74" s="29" t="str">
        <x:v>A</x:v>
      </x:c>
      <x:c r="B74" s="29" t="n">
        <x:v>91</x:v>
      </x:c>
      <x:c r="C74" s="29" t="str">
        <x:v>商业、管理与创新</x:v>
      </x:c>
      <x:c r="D74" s="29" t="str">
        <x:v>战略、数字化与组织</x:v>
      </x:c>
      <x:c r="E74" s="29" t="str">
        <x:v>MIT Sloan Management Review</x:v>
      </x:c>
      <x:c r="F74" s="29" t="str"/>
      <x:c r="G74" s="29" t="str">
        <x:v>证据源</x:v>
      </x:c>
      <x:c r="H74" s="29" t="str">
        <x:v>管理研究、数字化转型、AI、战略、运营与组织设计</x:v>
      </x:c>
      <x:c r="I74" s="29" t="str">
        <x:v>https://sloanreview.mit.edu/</x:v>
      </x:c>
      <x:c r="J74" s="29" t="str"/>
      <x:c r="K74" s="29" t="str">
        <x:v>无RSS/API入口</x:v>
      </x:c>
      <x:c r="L74" s="29" t="str">
        <x:v>研究发现加企业案例，解释一项技术如何改变组织。</x:v>
      </x:c>
      <x:c r="M74" s="29" t="str">
        <x:v>强调管理研究与实践之间的连接，数字化和组织议题尤其强。</x:v>
      </x:c>
      <x:c r="N74" s="29" t="str">
        <x:v>2026-08-17：官网和旧Feed在自动化请求中均受403限制；未录入不可稳定验证的RSS。</x:v>
      </x:c>
    </x:row>
    <x:row r="75" ht="50" customHeight="1">
      <x:c r="A75" s="29" t="str">
        <x:v>A</x:v>
      </x:c>
      <x:c r="B75" s="29" t="n">
        <x:v>91</x:v>
      </x:c>
      <x:c r="C75" s="29" t="str">
        <x:v>商业、管理与创新</x:v>
      </x:c>
      <x:c r="D75" s="29" t="str">
        <x:v>经济学与商业研究</x:v>
      </x:c>
      <x:c r="E75" s="29" t="str">
        <x:v>NBER Working Papers</x:v>
      </x:c>
      <x:c r="F75" s="29" t="str"/>
      <x:c r="G75" s="29" t="str">
        <x:v>证据源</x:v>
      </x:c>
      <x:c r="H75" s="29" t="str">
        <x:v>经济学工作论文、摘要、作者与研究项目</x:v>
      </x:c>
      <x:c r="I75" s="29" t="str">
        <x:v>https://www.nber.org/papers</x:v>
      </x:c>
      <x:c r="J75" s="29" t="str">
        <x:v>https://back.nber.org/rss/new.xml</x:v>
      </x:c>
      <x:c r="K75" s="29" t="str">
        <x:v>重定向后有效</x:v>
      </x:c>
      <x:c r="L75" s="29" t="str">
        <x:v>经济研究解读、政策证据；用工作论文提出新证据，但明确标注尚未同行评审。</x:v>
      </x:c>
      <x:c r="M75" s="29" t="str">
        <x:v>获取最新经济学研究的一手入口，覆盖劳动、生产率、创业、金融、组织和公共政策。</x:v>
      </x:c>
      <x:c r="N75" s="29" t="str">
        <x:v>摘要开放但部分全文受限；工作论文结论可能修订。；2026-08-17：官方RSS返回200并重定向至back.nber.org的有效XML；工作论文不是最终同行评审版本。</x:v>
      </x:c>
    </x:row>
    <x:row r="76" ht="50" customHeight="1">
      <x:c r="A76" s="29" t="str">
        <x:v>B</x:v>
      </x:c>
      <x:c r="B76" s="29" t="n">
        <x:v>88</x:v>
      </x:c>
      <x:c r="C76" s="29" t="str">
        <x:v>成长与学习</x:v>
      </x:c>
      <x:c r="D76" s="29" t="str">
        <x:v>组织行为与决策</x:v>
      </x:c>
      <x:c r="E76" s="29" t="str">
        <x:v>Behavioral Scientist</x:v>
      </x:c>
      <x:c r="F76" s="29" t="str"/>
      <x:c r="G76" s="29" t="str">
        <x:v>解释源</x:v>
      </x:c>
      <x:c r="H76" s="29" t="str">
        <x:v>行为科学研究解读、评论、访谈与书评</x:v>
      </x:c>
      <x:c r="I76" s="29" t="str">
        <x:v>https://behavioralscientist.org/</x:v>
      </x:c>
      <x:c r="J76" s="29" t="str">
        <x:v>https://behavioralscientist.org/feed/</x:v>
      </x:c>
      <x:c r="K76" s="29" t="str">
        <x:v>有效</x:v>
      </x:c>
      <x:c r="L76" s="29" t="str">
        <x:v>寻找“研究如何改变现实系统”的选题和案例；事实性结论回链论文或报告。；用一项研究解释职场决策、动机、偏差或群体行为。</x:v>
      </x:c>
      <x:c r="M76" s="29" t="str">
        <x:v>非营利编辑型刊物，连接行为科学研究者与现实问题，主动反对夸张和伪科学。</x:v>
      </x:c>
      <x:c r="N76" s="29" t="str">
        <x:v>2026-08-17：主页 200；官方 RSS 200，XML 已确认。；2026-08-17：官网与RSS均返回200，Feed正文为有效XML；具体结论宜继续追到原论文。</x:v>
      </x:c>
    </x:row>
    <x:row r="77" ht="50" customHeight="1">
      <x:c r="A77" s="29" t="str">
        <x:v>B</x:v>
      </x:c>
      <x:c r="B77" s="29" t="n">
        <x:v>88</x:v>
      </x:c>
      <x:c r="C77" s="29" t="str">
        <x:v>成长与学习</x:v>
      </x:c>
      <x:c r="D77" s="29" t="str">
        <x:v>习惯与行为改变</x:v>
      </x:c>
      <x:c r="E77" s="29" t="str">
        <x:v>James Clear</x:v>
      </x:c>
      <x:c r="F77" s="29" t="str"/>
      <x:c r="G77" s="29" t="str">
        <x:v>解释源</x:v>
      </x:c>
      <x:c r="H77" s="29" t="str">
        <x:v>习惯、行为设计、决策、写作与个人成长</x:v>
      </x:c>
      <x:c r="I77" s="29" t="str">
        <x:v>https://jamesclear.com/articles</x:v>
      </x:c>
      <x:c r="J77" s="29" t="str">
        <x:v>https://jamesclear.com/feed</x:v>
      </x:c>
      <x:c r="K77" s="29" t="str">
        <x:v>有效</x:v>
      </x:c>
      <x:c r="L77" s="29" t="str">
        <x:v>一个行为设计公式加一个低门槛行动例子。</x:v>
      </x:c>
      <x:c r="M77" s="29" t="str">
        <x:v>表达简洁、框架传播性强，适合把抽象成长概念转成易执行的微行动。</x:v>
      </x:c>
      <x:c r="N77" s="29" t="str">
        <x:v>2026-08-17：官方RSS返回200和有效XML；用于传播框架，不应替代心理学原始证据。</x:v>
      </x:c>
    </x:row>
    <x:row r="78" ht="50" customHeight="1">
      <x:c r="A78" s="29" t="str">
        <x:v>B</x:v>
      </x:c>
      <x:c r="B78" s="29" t="n">
        <x:v>88</x:v>
      </x:c>
      <x:c r="C78" s="29" t="str">
        <x:v>成长与学习</x:v>
      </x:c>
      <x:c r="D78" s="29" t="str">
        <x:v>组织心理与认知</x:v>
      </x:c>
      <x:c r="E78" s="29" t="str">
        <x:v>ReThinking with Adam Grant</x:v>
      </x:c>
      <x:c r="F78" s="29" t="str"/>
      <x:c r="G78" s="29" t="str">
        <x:v>解释源</x:v>
      </x:c>
      <x:c r="H78" s="29" t="str">
        <x:v>专家访谈、动机、领导力、创造力、关系与认知反思</x:v>
      </x:c>
      <x:c r="I78" s="29" t="str">
        <x:v>https://www.ted.com/podcasts/rethinking-with-adam-grant</x:v>
      </x:c>
      <x:c r="J78" s="29" t="str">
        <x:v>https://feeds.acast.com/public/shows/675858676d1777b3683ec351</x:v>
      </x:c>
      <x:c r="K78" s="29" t="str">
        <x:v>重定向后有效</x:v>
      </x:c>
      <x:c r="L78" s="29" t="str">
        <x:v>提炼专家分歧、反直觉观点和一项可以测试的工作方式。</x:v>
      </x:c>
      <x:c r="M78" s="29" t="str">
        <x:v>由组织心理学者主持，善于让研究者和实践者围绕可争辩问题展开深度对话。</x:v>
      </x:c>
      <x:c r="N78" s="29" t="str">
        <x:v>2026-08-17：TED页面明确提供RSS；旧FeedBurner地址会重定向至有效Acast XML。</x:v>
      </x:c>
    </x:row>
    <x:row r="79" ht="50" customHeight="1">
      <x:c r="A79" s="29" t="str">
        <x:v>B</x:v>
      </x:c>
      <x:c r="B79" s="29" t="n">
        <x:v>88</x:v>
      </x:c>
      <x:c r="C79" s="29" t="str">
        <x:v>成长与学习</x:v>
      </x:c>
      <x:c r="D79" s="29" t="str">
        <x:v>记忆与教学实践</x:v>
      </x:c>
      <x:c r="E79" s="29" t="str">
        <x:v>Retrieval Practice</x:v>
      </x:c>
      <x:c r="F79" s="29" t="str"/>
      <x:c r="G79" s="29" t="str">
        <x:v>解释源</x:v>
      </x:c>
      <x:c r="H79" s="29" t="str">
        <x:v>提取练习策略、课堂资源、研究转化与工具</x:v>
      </x:c>
      <x:c r="I79" s="29" t="str">
        <x:v>https://www.retrievalpractice.org/</x:v>
      </x:c>
      <x:c r="J79" s="29" t="str">
        <x:v>https://www.retrievalpractice.org/strategies?format=rss</x:v>
      </x:c>
      <x:c r="K79" s="29" t="str">
        <x:v>有效</x:v>
      </x:c>
      <x:c r="L79" s="29" t="str">
        <x:v>用一个教学场景演示如何把重复阅读改成主动提取。</x:v>
      </x:c>
      <x:c r="M79" s="29" t="str">
        <x:v>专注把记忆研究转化为可执行教学策略，适合做学习方法清单和误区纠正。</x:v>
      </x:c>
      <x:c r="N79" s="29" t="str">
        <x:v>2026-08-17：策略页官方RSS返回200和有效XML；属于应用转化源，严谨引用时追溯其研究链接。</x:v>
      </x:c>
    </x:row>
    <x:row r="80" ht="50" customHeight="1">
      <x:c r="A80" s="29" t="str">
        <x:v>B</x:v>
      </x:c>
      <x:c r="B80" s="29" t="n">
        <x:v>88</x:v>
      </x:c>
      <x:c r="C80" s="29" t="str">
        <x:v>健康与福祉</x:v>
      </x:c>
      <x:c r="D80" s="29" t="str">
        <x:v>运动科学与运动医学</x:v>
      </x:c>
      <x:c r="E80" s="29" t="str">
        <x:v>American College of Sports Medicine Blog</x:v>
      </x:c>
      <x:c r="F80" s="29" t="str"/>
      <x:c r="G80" s="29" t="str">
        <x:v>解释源</x:v>
      </x:c>
      <x:c r="H80" s="29" t="str">
        <x:v>运动处方、体适能、运动医学、共识声明与专业解读</x:v>
      </x:c>
      <x:c r="I80" s="29" t="str">
        <x:v>https://acsm.org/category/acsm-blog/</x:v>
      </x:c>
      <x:c r="J80" s="29" t="str">
        <x:v>https://acsm.org/feed/</x:v>
      </x:c>
      <x:c r="K80" s="29" t="str">
        <x:v>有效</x:v>
      </x:c>
      <x:c r="L80" s="29" t="str">
        <x:v>运动收益、训练误区、运动处方原则、共识更新</x:v>
      </x:c>
      <x:c r="M80" s="29" t="str">
        <x:v>运动医学专业学会来源，可连接到立场声明、专家共识和原始论文。</x:v>
      </x:c>
      <x:c r="N80" s="29" t="str">
        <x:v>2026-08-17 实测主页 200，官方 RSS 可解析。博客应继续追到 ACSM 官方声明或论文；运动方案需考虑疾病、年龄与损伤，不替代专业评估。</x:v>
      </x:c>
    </x:row>
    <x:row r="81" ht="50" customHeight="1">
      <x:c r="A81" s="29" t="str">
        <x:v>B</x:v>
      </x:c>
      <x:c r="B81" s="29" t="n">
        <x:v>88</x:v>
      </x:c>
      <x:c r="C81" s="29" t="str">
        <x:v>健康与福祉</x:v>
      </x:c>
      <x:c r="D81" s="29" t="str">
        <x:v>营养与饮食解释</x:v>
      </x:c>
      <x:c r="E81" s="29" t="str">
        <x:v>Harvard T.H. Chan — The Nutrition Source</x:v>
      </x:c>
      <x:c r="F81" s="29" t="str"/>
      <x:c r="G81" s="29" t="str">
        <x:v>解释源</x:v>
      </x:c>
      <x:c r="H81" s="29" t="str">
        <x:v>营养研究解释、饮食模式、食品与健康、证据辨识</x:v>
      </x:c>
      <x:c r="I81" s="29" t="str">
        <x:v>https://nutritionsource.hsph.harvard.edu/</x:v>
      </x:c>
      <x:c r="J81" s="29" t="str">
        <x:v>https://nutritionsource.hsph.harvard.edu/feed/</x:v>
      </x:c>
      <x:c r="K81" s="29" t="str">
        <x:v>有效</x:v>
      </x:c>
      <x:c r="L81" s="29" t="str">
        <x:v>营养误区、饮食证据、研究质量、健康饮食图解</x:v>
      </x:c>
      <x:c r="M81" s="29" t="str">
        <x:v>强调证据总体而非单篇研究，并公开反对用内容销售补充剂的噪声模式。</x:v>
      </x:c>
      <x:c r="N81" s="29" t="str">
        <x:v>2026-08-17 实测主页 200，官方 RSS 可解析。营养结论应避免绝对化，并注明人群、饮食模式和证据类型；不替代营养师或医生的个体建议。</x:v>
      </x:c>
    </x:row>
    <x:row r="82" ht="50" customHeight="1">
      <x:c r="A82" s="29" t="str">
        <x:v>B</x:v>
      </x:c>
      <x:c r="B82" s="29" t="n">
        <x:v>88</x:v>
      </x:c>
      <x:c r="C82" s="29" t="str">
        <x:v>健康与福祉</x:v>
      </x:c>
      <x:c r="D82" s="29" t="str">
        <x:v>健康信息与素养</x:v>
      </x:c>
      <x:c r="E82" s="29" t="str">
        <x:v>MedlinePlus What's New</x:v>
      </x:c>
      <x:c r="F82" s="29" t="str"/>
      <x:c r="G82" s="29" t="str">
        <x:v>解释源</x:v>
      </x:c>
      <x:c r="H82" s="29" t="str">
        <x:v>疾病、药物、检查、健康主题与医学术语解释</x:v>
      </x:c>
      <x:c r="I82" s="29" t="str">
        <x:v>https://medlineplus.gov/</x:v>
      </x:c>
      <x:c r="J82" s="29" t="str">
        <x:v>https://medlineplus.gov/feeds/whatsnew.xml</x:v>
      </x:c>
      <x:c r="K82" s="29" t="str">
        <x:v>有效</x:v>
      </x:c>
      <x:c r="L82" s="29" t="str">
        <x:v>概念解释、健康素养、可靠延伸阅读</x:v>
      </x:c>
      <x:c r="M82" s="29" t="str">
        <x:v>美国国家医学图书馆维护，适合核对基础健康概念和面向公众的表述。</x:v>
      </x:c>
      <x:c r="N82" s="29" t="str">
        <x:v>2026-08-17 实测主页 200，官方 RSS 返回可解析 XML。主题页是信息入口，不替代医生诊断或个体化治疗建议。</x:v>
      </x:c>
    </x:row>
    <x:row r="83" ht="50" customHeight="1">
      <x:c r="A83" s="29" t="str">
        <x:v>B</x:v>
      </x:c>
      <x:c r="B83" s="29" t="n">
        <x:v>88</x:v>
      </x:c>
      <x:c r="C83" s="29" t="str">
        <x:v>健康与福祉</x:v>
      </x:c>
      <x:c r="D83" s="29" t="str">
        <x:v>循证健康解释</x:v>
      </x:c>
      <x:c r="E83" s="29" t="str">
        <x:v>NIH News in Health</x:v>
      </x:c>
      <x:c r="F83" s="29" t="str"/>
      <x:c r="G83" s="29" t="str">
        <x:v>解释源</x:v>
      </x:c>
      <x:c r="H83" s="29" t="str">
        <x:v>面向公众的健康科普、预防与就医沟通</x:v>
      </x:c>
      <x:c r="I83" s="29" t="str">
        <x:v>https://newsinhealth.nih.gov/</x:v>
      </x:c>
      <x:c r="J83" s="29" t="str">
        <x:v>https://newsinhealth.nih.gov/rss.xml</x:v>
      </x:c>
      <x:c r="K83" s="29" t="str">
        <x:v>受限/反爬</x:v>
      </x:c>
      <x:c r="L83" s="29" t="str">
        <x:v>健康误区、预防清单、就医前问题框架</x:v>
      </x:c>
      <x:c r="M83" s="29" t="str">
        <x:v>由 NIH 提供的低噪声健康解释源，适合构建利他型基础科普帖。</x:v>
      </x:c>
      <x:c r="N83" s="29" t="str">
        <x:v>官方页面与 RSS 已确认；2026-08-17 自动请求触发 403 反爬。内容面向一般人群，不应用于个体诊断或替代医生建议。；端点未返回可识别的 RSS/Atom XML；可能是反爬、登录页或旧地址。</x:v>
      </x:c>
    </x:row>
    <x:row r="84" ht="50" customHeight="1">
      <x:c r="A84" s="29" t="str">
        <x:v>B</x:v>
      </x:c>
      <x:c r="B84" s="29" t="n">
        <x:v>88</x:v>
      </x:c>
      <x:c r="C84" s="29" t="str">
        <x:v>健康与福祉</x:v>
      </x:c>
      <x:c r="D84" s="29" t="str">
        <x:v>循证健康解释</x:v>
      </x:c>
      <x:c r="E84" s="29" t="str">
        <x:v>NIH Research Matters</x:v>
      </x:c>
      <x:c r="F84" s="29" t="str"/>
      <x:c r="G84" s="29" t="str">
        <x:v>解释源</x:v>
      </x:c>
      <x:c r="H84" s="29" t="str">
        <x:v>NIH 资助研究的通俗解读、研究设计与意义</x:v>
      </x:c>
      <x:c r="I84" s="29" t="str">
        <x:v>https://www.nih.gov/news-events/nih-research-matters</x:v>
      </x:c>
      <x:c r="J84" s="29" t="str">
        <x:v>https://www.nih.gov/news-events/nih-research-matters/rss.xml</x:v>
      </x:c>
      <x:c r="K84" s="29" t="str">
        <x:v>受限/反爬</x:v>
      </x:c>
      <x:c r="L84" s="29" t="str">
        <x:v>研究白话解释、机制图解、结论边界</x:v>
      </x:c>
      <x:c r="M84" s="29" t="str">
        <x:v>把论文结果放入医学语境，适合作为理解入口而非最终证据。</x:v>
      </x:c>
      <x:c r="N84" s="29" t="str">
        <x:v>官方页面与 RSS 已确认；2026-08-17 自动请求触发 403 反爬。引用数字应回到原论文；仅作一般信息，不替代个体医疗建议。；端点未返回可识别的 RSS/Atom XML；可能是反爬、登录页或旧地址。</x:v>
      </x:c>
    </x:row>
    <x:row r="85" ht="50" customHeight="1">
      <x:c r="A85" s="29" t="str">
        <x:v>B</x:v>
      </x:c>
      <x:c r="B85" s="29" t="n">
        <x:v>88</x:v>
      </x:c>
      <x:c r="C85" s="29" t="str">
        <x:v>健康与福祉</x:v>
      </x:c>
      <x:c r="D85" s="29" t="str">
        <x:v>健康数据解释</x:v>
      </x:c>
      <x:c r="E85" s="29" t="str">
        <x:v>Our World in Data — Global Health</x:v>
      </x:c>
      <x:c r="F85" s="29" t="str"/>
      <x:c r="G85" s="29" t="str">
        <x:v>解释源</x:v>
      </x:c>
      <x:c r="H85" s="29" t="str">
        <x:v>全球健康数据、交互图表、长周期趋势与方法说明</x:v>
      </x:c>
      <x:c r="I85" s="29" t="str">
        <x:v>https://ourworldindata.org/global-health</x:v>
      </x:c>
      <x:c r="J85" s="29" t="str">
        <x:v>https://ourworldindata.org/atom.xml</x:v>
      </x:c>
      <x:c r="K85" s="29" t="str">
        <x:v>有效</x:v>
      </x:c>
      <x:c r="L85" s="29" t="str">
        <x:v>数据图、历史趋势、国家比较、反直觉事实</x:v>
      </x:c>
      <x:c r="M85" s="29" t="str">
        <x:v>把 WHO、IHME、UN 等数据整理成可理解、可复用的图表与叙事。</x:v>
      </x:c>
      <x:c r="N85" s="29" t="str">
        <x:v>2026-08-17 实测主页 200，站点 Atom 可解析；Feed 为全站而非健康专属，需关键词过滤。发帖应同时链接数据页和原始数据提供方；群体数据不用于个体诊断。</x:v>
      </x:c>
    </x:row>
    <x:row r="86" ht="50" customHeight="1">
      <x:c r="A86" s="29" t="str">
        <x:v>B</x:v>
      </x:c>
      <x:c r="B86" s="29" t="n">
        <x:v>88</x:v>
      </x:c>
      <x:c r="C86" s="29" t="str">
        <x:v>健康与福祉</x:v>
      </x:c>
      <x:c r="D86" s="29" t="str">
        <x:v>睡眠科普</x:v>
      </x:c>
      <x:c r="E86" s="29" t="str">
        <x:v>Sleep Foundation</x:v>
      </x:c>
      <x:c r="F86" s="29" t="str"/>
      <x:c r="G86" s="29" t="str">
        <x:v>解释源</x:v>
      </x:c>
      <x:c r="H86" s="29" t="str">
        <x:v>睡眠健康、睡眠环境、常见睡眠问题与研究解释</x:v>
      </x:c>
      <x:c r="I86" s="29" t="str">
        <x:v>https://www.sleepfoundation.org/</x:v>
      </x:c>
      <x:c r="J86" s="29" t="str">
        <x:v>https://www.sleepfoundation.org/feed</x:v>
      </x:c>
      <x:c r="K86" s="29" t="str">
        <x:v>有效</x:v>
      </x:c>
      <x:c r="L86" s="29" t="str">
        <x:v>睡眠习惯、基础科普、受众问题与解释框架</x:v>
      </x:c>
      <x:c r="M86" s="29" t="str">
        <x:v>内容易读且常列出医学审阅与参考来源，适合作为大众解释入口。</x:v>
      </x:c>
      <x:c r="N86" s="29" t="str">
        <x:v>2026-08-17 实测主页 200，RSS 可解析。站点含商业与产品内容，涉及疗效或产品推荐时必须回到学会指南和论文；不替代个体医疗建议。</x:v>
      </x:c>
    </x:row>
    <x:row r="87" ht="50" customHeight="1">
      <x:c r="A87" s="29" t="str">
        <x:v>B</x:v>
      </x:c>
      <x:c r="B87" s="29" t="n">
        <x:v>88</x:v>
      </x:c>
      <x:c r="C87" s="29" t="str">
        <x:v>健康与福祉</x:v>
      </x:c>
      <x:c r="D87" s="29" t="str">
        <x:v>公共卫生解释</x:v>
      </x:c>
      <x:c r="E87" s="29" t="str">
        <x:v>UK Health Security Agency Blog</x:v>
      </x:c>
      <x:c r="F87" s="29" t="str"/>
      <x:c r="G87" s="29" t="str">
        <x:v>解释源</x:v>
      </x:c>
      <x:c r="H87" s="29" t="str">
        <x:v>感染防控、环境健康、疫苗、健康安全与政策解释</x:v>
      </x:c>
      <x:c r="I87" s="29" t="str">
        <x:v>https://ukhsa.blog.gov.uk/</x:v>
      </x:c>
      <x:c r="J87" s="29" t="str">
        <x:v>https://ukhsa.blog.gov.uk/feed/</x:v>
      </x:c>
      <x:c r="K87" s="29" t="str">
        <x:v>有效</x:v>
      </x:c>
      <x:c r="L87" s="29" t="str">
        <x:v>政策解读、风险沟通、公共卫生实践</x:v>
      </x:c>
      <x:c r="M87" s="29" t="str">
        <x:v>英国官方公共卫生团队的实践型解读，适合把政策和数据转化为可理解内容。</x:v>
      </x:c>
      <x:c r="N87" s="29" t="str">
        <x:v>2026-08-17 实测主页 200，官方 Atom Feed 可解析。英国政策不应直接外推到其他地区；不替代个体医疗建议。</x:v>
      </x:c>
    </x:row>
    <x:row r="88" ht="50" customHeight="1">
      <x:c r="A88" s="29" t="str">
        <x:v>B</x:v>
      </x:c>
      <x:c r="B88" s="29" t="n">
        <x:v>88</x:v>
      </x:c>
      <x:c r="C88" s="29" t="str">
        <x:v>健康与福祉</x:v>
      </x:c>
      <x:c r="D88" s="29" t="str">
        <x:v>疾病预防、营养、环境与公共卫生</x:v>
      </x:c>
      <x:c r="E88" s="29" t="str">
        <x:v>中国疾控中心健康科普</x:v>
      </x:c>
      <x:c r="F88" s="29" t="str"/>
      <x:c r="G88" s="29" t="str">
        <x:v>解释源</x:v>
      </x:c>
      <x:c r="H88" s="29" t="str">
        <x:v>国家疾控机构健康科普平台</x:v>
      </x:c>
      <x:c r="I88" s="29" t="str">
        <x:v>https://www.chinacdc.cn/jkkp/</x:v>
      </x:c>
      <x:c r="J88" s="29" t="str"/>
      <x:c r="K88" s="29" t="str">
        <x:v>无RSS/API入口</x:v>
      </x:c>
      <x:c r="L88" s="29" t="str">
        <x:v>健康风险提示、疾病预防、公共卫生误区查证</x:v>
      </x:c>
      <x:c r="M88" s="29" t="str">
        <x:v>提供传染病、慢病、免疫、营养、环境与职业健康等官方科普信息。</x:v>
      </x:c>
      <x:c r="N88" s="29" t="str">
        <x:v>涉及具体数据时回查监测报告或指南；不把一般预防建议写成个体治疗方案。</x:v>
      </x:c>
    </x:row>
    <x:row r="89" ht="50" customHeight="1">
      <x:c r="A89" s="29" t="str">
        <x:v>B</x:v>
      </x:c>
      <x:c r="B89" s="29" t="n">
        <x:v>88</x:v>
      </x:c>
      <x:c r="C89" s="29" t="str">
        <x:v>健康与福祉</x:v>
      </x:c>
      <x:c r="D89" s="29" t="str">
        <x:v>营养科学、膳食指南与专业共识</x:v>
      </x:c>
      <x:c r="E89" s="29" t="str">
        <x:v>中国营养学会</x:v>
      </x:c>
      <x:c r="F89" s="29" t="str"/>
      <x:c r="G89" s="29" t="str">
        <x:v>解释源</x:v>
      </x:c>
      <x:c r="H89" s="29" t="str">
        <x:v>专业学会 / 营养科普与标准入口</x:v>
      </x:c>
      <x:c r="I89" s="29" t="str">
        <x:v>https://cnsoc.org/</x:v>
      </x:c>
      <x:c r="J89" s="29" t="str"/>
      <x:c r="K89" s="29" t="str">
        <x:v>无RSS/API入口</x:v>
      </x:c>
      <x:c r="L89" s="29" t="str">
        <x:v>营养误区、膳食指南、专业共识与研究趋势</x:v>
      </x:c>
      <x:c r="M89" s="29" t="str">
        <x:v>汇集营养科学、膳食指南、团体标准和专业会议信息。</x:v>
      </x:c>
      <x:c r="N89" s="29" t="str">
        <x:v>区分正式指南、专家共识、会议新闻和合作推广内容；具体饮食建议需考虑个体健康状况。</x:v>
      </x:c>
    </x:row>
    <x:row r="90" ht="50" customHeight="1">
      <x:c r="A90" s="29" t="str">
        <x:v>B</x:v>
      </x:c>
      <x:c r="B90" s="29" t="n">
        <x:v>88</x:v>
      </x:c>
      <x:c r="C90" s="29" t="str">
        <x:v>健康与福祉</x:v>
      </x:c>
      <x:c r="D90" s="29" t="str">
        <x:v>健康谣言查证与政策科普</x:v>
      </x:c>
      <x:c r="E90" s="29" t="str">
        <x:v>国家卫生健康委健康科普辟谣平台</x:v>
      </x:c>
      <x:c r="F90" s="29" t="str"/>
      <x:c r="G90" s="29" t="str">
        <x:v>解释源</x:v>
      </x:c>
      <x:c r="H90" s="29" t="str">
        <x:v>官方健康查证平台</x:v>
      </x:c>
      <x:c r="I90" s="29" t="str">
        <x:v>https://www.nhc.gov.cn/kppypt/index.shtml</x:v>
      </x:c>
      <x:c r="J90" s="29" t="str"/>
      <x:c r="K90" s="29" t="str">
        <x:v>无RSS/API入口</x:v>
      </x:c>
      <x:c r="L90" s="29" t="str">
        <x:v>健康误区查证、流行说法核验、政策解释</x:v>
      </x:c>
      <x:c r="M90" s="29" t="str">
        <x:v>按营养、运动、心理健康、用药、慢病等领域组织官方健康谣言查证。</x:v>
      </x:c>
      <x:c r="N90" s="29" t="str">
        <x:v>引用时保留查证日期、适用条件与原始指南链接；不能外推到未覆盖人群。</x:v>
      </x:c>
    </x:row>
    <x:row r="91" ht="50" customHeight="1">
      <x:c r="A91" s="29" t="str">
        <x:v>B</x:v>
      </x:c>
      <x:c r="B91" s="29" t="n">
        <x:v>88</x:v>
      </x:c>
      <x:c r="C91" s="29" t="str">
        <x:v>商业、管理与创新</x:v>
      </x:c>
      <x:c r="D91" s="29" t="str">
        <x:v>云软件、创业与基准</x:v>
      </x:c>
      <x:c r="E91" s="29" t="str">
        <x:v>Bessemer Venture Partners Atlas</x:v>
      </x:c>
      <x:c r="F91" s="29" t="str"/>
      <x:c r="G91" s="29" t="str">
        <x:v>解释源</x:v>
      </x:c>
      <x:c r="H91" s="29" t="str">
        <x:v>行业路线图、云软件基准、创业手册、投资备忘录与案例</x:v>
      </x:c>
      <x:c r="I91" s="29" t="str">
        <x:v>https://www.bvp.com/atlas</x:v>
      </x:c>
      <x:c r="J91" s="29" t="str"/>
      <x:c r="K91" s="29" t="str">
        <x:v>无RSS/API入口</x:v>
      </x:c>
      <x:c r="L91" s="29" t="str">
        <x:v>用一个行业基准对比公司案例，说明阶段差异。</x:v>
      </x:c>
      <x:c r="M91" s="29" t="str">
        <x:v>Atlas沉淀了SaaS和云经济的基准、方法与历史案例，适合数据化讨论公司建设。</x:v>
      </x:c>
      <x:c r="N91" s="29" t="str">
        <x:v>2026-08-17：Atlas页面返回200；常见Feed路径均为404，按平台收录。投资机构观点需与财报或独立数据交叉核验。</x:v>
      </x:c>
    </x:row>
    <x:row r="92" ht="50" customHeight="1">
      <x:c r="A92" s="29" t="str">
        <x:v>B</x:v>
      </x:c>
      <x:c r="B92" s="29" t="n">
        <x:v>88</x:v>
      </x:c>
      <x:c r="C92" s="29" t="str">
        <x:v>商业、管理与创新</x:v>
      </x:c>
      <x:c r="D92" s="29" t="str">
        <x:v>管理者访谈</x:v>
      </x:c>
      <x:c r="E92" s="29" t="str">
        <x:v>HBR IdeaCast</x:v>
      </x:c>
      <x:c r="F92" s="29" t="str"/>
      <x:c r="G92" s="29" t="str">
        <x:v>解释源</x:v>
      </x:c>
      <x:c r="H92" s="29" t="str">
        <x:v>管理研究者、企业领袖和专家的每周访谈与文字稿</x:v>
      </x:c>
      <x:c r="I92" s="29" t="str">
        <x:v>https://hbr.org/podcast/ideacast</x:v>
      </x:c>
      <x:c r="J92" s="29" t="str">
        <x:v>https://hbr.org/resources/xml/rss/ideacast.xml</x:v>
      </x:c>
      <x:c r="K92" s="29" t="str">
        <x:v>有效</x:v>
      </x:c>
      <x:c r="L92" s="29" t="str">
        <x:v>从访谈中提炼一个判断、一个案例和主持人的追问。</x:v>
      </x:c>
      <x:c r="M92" s="29" t="str">
        <x:v>HBR旗舰播客，覆盖领导力、战略、创新和组织，通常有可引用文字稿。</x:v>
      </x:c>
      <x:c r="N92" s="29" t="str">
        <x:v>2026-08-17：HBR节目页明确链接RSS；hbr.org镜像端点返回200并含有效RSS正文，虽Content-Type标为text/html。</x:v>
      </x:c>
    </x:row>
    <x:row r="93" ht="50" customHeight="1">
      <x:c r="A93" s="29" t="str">
        <x:v>B</x:v>
      </x:c>
      <x:c r="B93" s="29" t="n">
        <x:v>88</x:v>
      </x:c>
      <x:c r="C93" s="29" t="str">
        <x:v>商业、管理与创新</x:v>
      </x:c>
      <x:c r="D93" s="29" t="str">
        <x:v>全球战略与领导力</x:v>
      </x:c>
      <x:c r="E93" s="29" t="str">
        <x:v>London Business School Think</x:v>
      </x:c>
      <x:c r="F93" s="29" t="str"/>
      <x:c r="G93" s="29" t="str">
        <x:v>解释源</x:v>
      </x:c>
      <x:c r="H93" s="29" t="str">
        <x:v>全球商业、领导力、金融、创新、战略与教授评论</x:v>
      </x:c>
      <x:c r="I93" s="29" t="str">
        <x:v>https://www.london.edu/think</x:v>
      </x:c>
      <x:c r="J93" s="29" t="str"/>
      <x:c r="K93" s="29" t="str">
        <x:v>无RSS/API入口</x:v>
      </x:c>
      <x:c r="L93" s="29" t="str">
        <x:v>用跨市场比较解释同一管理方法为何不能简单复制。</x:v>
      </x:c>
      <x:c r="M93" s="29" t="str">
        <x:v>欧洲与全球市场视角突出，可平衡以美国公司为中心的商业素材。</x:v>
      </x:c>
      <x:c r="N93" s="29" t="str">
        <x:v>2026-08-17：官网返回200；测试的RSS路径均为404，按平台收录。</x:v>
      </x:c>
    </x:row>
    <x:row r="94" ht="50" customHeight="1">
      <x:c r="A94" s="29" t="str">
        <x:v>B</x:v>
      </x:c>
      <x:c r="B94" s="29" t="n">
        <x:v>88</x:v>
      </x:c>
      <x:c r="C94" s="29" t="str">
        <x:v>商业、管理与创新</x:v>
      </x:c>
      <x:c r="D94" s="29" t="str">
        <x:v>估值、金融与公司分析</x:v>
      </x:c>
      <x:c r="E94" s="29" t="str">
        <x:v>Musings on Markets</x:v>
      </x:c>
      <x:c r="F94" s="29" t="str"/>
      <x:c r="G94" s="29" t="str">
        <x:v>解释源</x:v>
      </x:c>
      <x:c r="H94" s="29" t="str">
        <x:v>公司估值、市场风险、财务模型、课堂材料与案例</x:v>
      </x:c>
      <x:c r="I94" s="29" t="str">
        <x:v>https://aswathdamodaran.blogspot.com/</x:v>
      </x:c>
      <x:c r="J94" s="29" t="str">
        <x:v>https://aswathdamodaran.blogspot.com/feeds/posts/default</x:v>
      </x:c>
      <x:c r="K94" s="29" t="str">
        <x:v>有效</x:v>
      </x:c>
      <x:c r="L94" s="29" t="str">
        <x:v>展示估值结论如何随增长、利润率和风险假设变化。</x:v>
      </x:c>
      <x:c r="M94" s="29" t="str">
        <x:v>纽约大学估值教授 Aswath Damodaran 的长期公开分析，常附数据、模型和完整假设。</x:v>
      </x:c>
      <x:c r="N94" s="29" t="str">
        <x:v>2026-08-17：Blogger官方Atom端点返回200和有效XML；估值是条件性判断，不应写成确定价格预测。</x:v>
      </x:c>
    </x:row>
    <x:row r="95" ht="50" customHeight="1">
      <x:c r="A95" s="29" t="str">
        <x:v>B</x:v>
      </x:c>
      <x:c r="B95" s="29" t="n">
        <x:v>88</x:v>
      </x:c>
      <x:c r="C95" s="29" t="str">
        <x:v>商业、管理与创新</x:v>
      </x:c>
      <x:c r="D95" s="29" t="str">
        <x:v>网络效应与创业增长</x:v>
      </x:c>
      <x:c r="E95" s="29" t="str">
        <x:v>NFX Library</x:v>
      </x:c>
      <x:c r="F95" s="29" t="str"/>
      <x:c r="G95" s="29" t="str">
        <x:v>解释源</x:v>
      </x:c>
      <x:c r="H95" s="29" t="str">
        <x:v>网络效应、增长、融资、领导力、市场与投资备忘录</x:v>
      </x:c>
      <x:c r="I95" s="29" t="str">
        <x:v>https://www.nfx.com/library</x:v>
      </x:c>
      <x:c r="J95" s="29" t="str"/>
      <x:c r="K95" s="29" t="str">
        <x:v>无RSS/API入口</x:v>
      </x:c>
      <x:c r="L95" s="29" t="str">
        <x:v>用网络结构图解释产品增长与防御性，再列出失效条件。</x:v>
      </x:c>
      <x:c r="M95" s="29" t="str">
        <x:v>网络效应和平台业务框架集中，Library可按主题、作者与内容类型筛选。</x:v>
      </x:c>
      <x:c r="N95" s="29" t="str">
        <x:v>2026-08-17：Library页面返回200；常见Feed路径为404，按平台收录。研究数据由投资机构发布，需查方法和利益关系。</x:v>
      </x:c>
    </x:row>
    <x:row r="96" ht="50" customHeight="1">
      <x:c r="A96" s="29" t="str">
        <x:v>B</x:v>
      </x:c>
      <x:c r="B96" s="29" t="n">
        <x:v>88</x:v>
      </x:c>
      <x:c r="C96" s="29" t="str">
        <x:v>商业、管理与创新</x:v>
      </x:c>
      <x:c r="D96" s="29" t="str">
        <x:v>科技公司与新兴市场</x:v>
      </x:c>
      <x:c r="E96" s="29" t="str">
        <x:v>The Generalist</x:v>
      </x:c>
      <x:c r="F96" s="29" t="str"/>
      <x:c r="G96" s="29" t="str">
        <x:v>解释源</x:v>
      </x:c>
      <x:c r="H96" s="29" t="str">
        <x:v>公司深度分析、市场地图、创业者访谈与投资研究</x:v>
      </x:c>
      <x:c r="I96" s="29" t="str">
        <x:v>https://www.generalist.com/</x:v>
      </x:c>
      <x:c r="J96" s="29" t="str">
        <x:v>https://www.generalist.com/feed</x:v>
      </x:c>
      <x:c r="K96" s="29" t="str">
        <x:v>有效</x:v>
      </x:c>
      <x:c r="L96" s="29" t="str">
        <x:v>用公司时间线、商业模式和关键风险构建高密度线程。</x:v>
      </x:c>
      <x:c r="M96" s="29" t="str">
        <x:v>长篇公司与市场研究结构清晰，适合从产品、组织、商业模式和竞争多角度拆解。</x:v>
      </x:c>
      <x:c r="N96" s="29" t="str">
        <x:v>2026-08-17：官方RSS返回200和有效XML；作者具有投资活动时应检查文中披露。</x:v>
      </x:c>
    </x:row>
    <x:row r="97" ht="50" customHeight="1">
      <x:c r="A97" s="29" t="str">
        <x:v>B</x:v>
      </x:c>
      <x:c r="B97" s="29" t="n">
        <x:v>88</x:v>
      </x:c>
      <x:c r="C97" s="29" t="str">
        <x:v>商业、管理与创新</x:v>
      </x:c>
      <x:c r="D97" s="29" t="str">
        <x:v>工作、领导力与组织实践</x:v>
      </x:c>
      <x:c r="E97" s="29" t="str">
        <x:v>WorkLife with Molly Graham</x:v>
      </x:c>
      <x:c r="F97" s="29" t="str"/>
      <x:c r="G97" s="29" t="str">
        <x:v>解释源</x:v>
      </x:c>
      <x:c r="H97" s="29" t="str">
        <x:v>领导力、团队、职业、公司文化与工作设计访谈</x:v>
      </x:c>
      <x:c r="I97" s="29" t="str">
        <x:v>https://www.ted.com/podcasts/worklife</x:v>
      </x:c>
      <x:c r="J97" s="29" t="str">
        <x:v>https://feeds.acast.com/public/shows/worklife-with-adam-grant</x:v>
      </x:c>
      <x:c r="K97" s="29" t="str">
        <x:v>有效</x:v>
      </x:c>
      <x:c r="L97" s="29" t="str">
        <x:v>将领导者经验拆成情境、原则、具体行为与潜在反例。</x:v>
      </x:c>
      <x:c r="M97" s="29" t="str">
        <x:v>TED工作主题播客，2026年由资深科技运营者 Molly Graham 主持，兼顾实践细节与人性议题。</x:v>
      </x:c>
      <x:c r="N97" s="29" t="str">
        <x:v>2026-08-17：官方Acast RSS返回200和有效XML；Feed地址沿用旧节目slug，内容已更新为现行节目。</x:v>
      </x:c>
    </x:row>
    <x:row r="98" ht="50" customHeight="1">
      <x:c r="A98" s="29" t="str">
        <x:v>B</x:v>
      </x:c>
      <x:c r="B98" s="29" t="n">
        <x:v>88</x:v>
      </x:c>
      <x:c r="C98" s="29" t="str">
        <x:v>商业、管理与创新</x:v>
      </x:c>
      <x:c r="D98" s="29" t="str">
        <x:v>进步研究、制度与创新</x:v>
      </x:c>
      <x:c r="E98" s="29" t="str">
        <x:v>Works in Progress</x:v>
      </x:c>
      <x:c r="F98" s="29" t="str"/>
      <x:c r="G98" s="29" t="str">
        <x:v>解释源</x:v>
      </x:c>
      <x:c r="H98" s="29" t="str">
        <x:v>经济史、科学、住房、能源、制度、生产率与创新长文</x:v>
      </x:c>
      <x:c r="I98" s="29" t="str">
        <x:v>https://worksinprogress.co/</x:v>
      </x:c>
      <x:c r="J98" s="29" t="str">
        <x:v>https://worksinprogress.co/rss.xml</x:v>
      </x:c>
      <x:c r="K98" s="29" t="str">
        <x:v>有效</x:v>
      </x:c>
      <x:c r="L98" s="29" t="str">
        <x:v>因果链、政策复盘和某项技术为何迟迟没有发生。；把历史制度案例连接到今天的商业或公共政策困境。</x:v>
      </x:c>
      <x:c r="M98" s="29" t="str">
        <x:v>跨经济学、历史和技术的编辑型长文，常用具体制度和数据解释增长与停滞。</x:v>
      </x:c>
      <x:c r="N98" s="29" t="str">
        <x:v>2026-08-17：rss.xml 端点返回 application/xml。；2026-08-17：官网返回200；/feed/为404且页面未声明统一Feed，按平台收录。</x:v>
      </x:c>
    </x:row>
    <x:row r="99" ht="50" customHeight="1">
      <x:c r="A99" s="29" t="str">
        <x:v>B</x:v>
      </x:c>
      <x:c r="B99" s="29" t="n">
        <x:v>88</x:v>
      </x:c>
      <x:c r="C99" s="29" t="str">
        <x:v>商业、管理与创新</x:v>
      </x:c>
      <x:c r="D99" s="29" t="str">
        <x:v>早期创业与产品</x:v>
      </x:c>
      <x:c r="E99" s="29" t="str">
        <x:v>Y Combinator Blog</x:v>
      </x:c>
      <x:c r="F99" s="29" t="str"/>
      <x:c r="G99" s="29" t="str">
        <x:v>解释源</x:v>
      </x:c>
      <x:c r="H99" s="29" t="str">
        <x:v>创业建议、批次公司、产品、融资、创始人故事与机构公告</x:v>
      </x:c>
      <x:c r="I99" s="29" t="str">
        <x:v>https://www.ycombinator.com/blog</x:v>
      </x:c>
      <x:c r="J99" s="29" t="str">
        <x:v>https://www.ycombinator.com/blog/rss</x:v>
      </x:c>
      <x:c r="K99" s="29" t="str">
        <x:v>有效</x:v>
      </x:c>
      <x:c r="L99" s="29" t="str">
        <x:v>一个创始人常见错误加YC建议加适用阶段。</x:v>
      </x:c>
      <x:c r="M99" s="29" t="str">
        <x:v>来自大规模早期创业样本和合伙人实践，适合寻找创始人常见问题与案例。</x:v>
      </x:c>
      <x:c r="N99" s="29" t="str">
        <x:v>2026-08-17：官方RSS返回200和有效XML；加速器样本存在筛选偏差，不能视为所有创业公司的基准。</x:v>
      </x:c>
    </x:row>
    <x:row r="100" ht="50" customHeight="1">
      <x:c r="A100" s="29" t="str">
        <x:v>B</x:v>
      </x:c>
      <x:c r="B100" s="29" t="n">
        <x:v>88</x:v>
      </x:c>
      <x:c r="C100" s="29" t="str">
        <x:v>商业、管理与创新</x:v>
      </x:c>
      <x:c r="D100" s="29" t="str">
        <x:v>管理、经济与中国商业研究</x:v>
      </x:c>
      <x:c r="E100" s="29" t="str">
        <x:v>北京大学光华管理学院观点与研究</x:v>
      </x:c>
      <x:c r="F100" s="29" t="str"/>
      <x:c r="G100" s="29" t="str">
        <x:v>解释源</x:v>
      </x:c>
      <x:c r="H100" s="29" t="str">
        <x:v>商学院研究与教授观点平台</x:v>
      </x:c>
      <x:c r="I100" s="29" t="str">
        <x:v>https://www.gsm.pku.edu.cn/</x:v>
      </x:c>
      <x:c r="J100" s="29" t="str"/>
      <x:c r="K100" s="29" t="str">
        <x:v>无RSS/API入口</x:v>
      </x:c>
      <x:c r="L100" s="29" t="str">
        <x:v>中国企业案例、管理研究、政策与商业交叉解读</x:v>
      </x:c>
      <x:c r="M100" s="29" t="str">
        <x:v>提供管理、经济、数字化和中国商业问题的教授研究与观点。</x:v>
      </x:c>
      <x:c r="N100" s="29" t="str">
        <x:v>区分学术研究、政策观点、教学案例和招生内容；案例不等于决策有效性的因果证明。</x:v>
      </x:c>
    </x:row>
    <x:row r="101" ht="50" customHeight="1">
      <x:c r="A101" s="29" t="str">
        <x:v>B</x:v>
      </x:c>
      <x:c r="B101" s="29" t="n">
        <x:v>88</x:v>
      </x:c>
      <x:c r="C101" s="29" t="str">
        <x:v>心理、认知与情商</x:v>
      </x:c>
      <x:c r="D101" s="29" t="str">
        <x:v>心理健康素养与公众科普</x:v>
      </x:c>
      <x:c r="E101" s="29" t="str">
        <x:v>国民心理健康评估发展中心科普服务</x:v>
      </x:c>
      <x:c r="F101" s="29" t="str"/>
      <x:c r="G101" s="29" t="str">
        <x:v>解释源</x:v>
      </x:c>
      <x:c r="H101" s="29" t="str">
        <x:v>研究机构心理健康科普入口</x:v>
      </x:c>
      <x:c r="I101" s="29" t="str">
        <x:v>https://cmhr.psych.ac.cn/PopularScienceService.html</x:v>
      </x:c>
      <x:c r="J101" s="29" t="str"/>
      <x:c r="K101" s="29" t="str">
        <x:v>无RSS/API入口</x:v>
      </x:c>
      <x:c r="L101" s="29" t="str">
        <x:v>情绪调节、婚恋家庭、教育与心理健康素养</x:v>
      </x:c>
      <x:c r="M101" s="29" t="str">
        <x:v>由中国科学院心理研究所相关中心提供心理健康直播、文章与知识问答入口。</x:v>
      </x:c>
      <x:c r="N101" s="29" t="str">
        <x:v>公众科普不能替代精神科或心理专业评估；遇到危机应指向当地专业和急救服务。</x:v>
      </x:c>
    </x:row>
    <x:row r="102" ht="50" customHeight="1">
      <x:c r="A102" s="29" t="str">
        <x:v>B</x:v>
      </x:c>
      <x:c r="B102" s="29" t="n">
        <x:v>87</x:v>
      </x:c>
      <x:c r="C102" s="29" t="str">
        <x:v>心理、认知与情商</x:v>
      </x:c>
      <x:c r="D102" s="29" t="str">
        <x:v>心理研究解释与批判</x:v>
      </x:c>
      <x:c r="E102" s="29" t="str">
        <x:v>BPS Research Digest</x:v>
      </x:c>
      <x:c r="F102" s="29" t="str"/>
      <x:c r="G102" s="29" t="str">
        <x:v>解释源</x:v>
      </x:c>
      <x:c r="H102" s="29" t="str">
        <x:v>专业协会研究解读</x:v>
      </x:c>
      <x:c r="I102" s="29" t="str">
        <x:v>https://www.bps.org.uk/research-digest</x:v>
      </x:c>
      <x:c r="J102" s="29" t="str"/>
      <x:c r="K102" s="29" t="str">
        <x:v>无RSS/API入口</x:v>
      </x:c>
      <x:c r="L102" s="29" t="str">
        <x:v>将复杂论文转成清晰叙事，并沿原文链接核实研究；适合纠正常见心理学误读。</x:v>
      </x:c>
      <x:c r="M102" s="29" t="str">
        <x:v>英国心理学会旗下研究解读，常主动讨论方法限制、复制问题和结论边界。</x:v>
      </x:c>
      <x:c r="N102" s="29" t="str">
        <x:v>2026-08-17：官方主页 200；页面未发现 RSS，建议网页巡检或邮件订阅。</x:v>
      </x:c>
    </x:row>
    <x:row r="103" ht="50" customHeight="1">
      <x:c r="A103" s="29" t="str">
        <x:v>B</x:v>
      </x:c>
      <x:c r="B103" s="29" t="n">
        <x:v>87</x:v>
      </x:c>
      <x:c r="C103" s="29" t="str">
        <x:v>心理、认知与情商</x:v>
      </x:c>
      <x:c r="D103" s="29" t="str">
        <x:v>脑科学与认知科普</x:v>
      </x:c>
      <x:c r="E103" s="29" t="str">
        <x:v>BrainFacts.org</x:v>
      </x:c>
      <x:c r="F103" s="29" t="str"/>
      <x:c r="G103" s="29" t="str">
        <x:v>解释源</x:v>
      </x:c>
      <x:c r="H103" s="29" t="str">
        <x:v>专业学会支持的解释平台</x:v>
      </x:c>
      <x:c r="I103" s="29" t="str">
        <x:v>https://www.brainfacts.org/</x:v>
      </x:c>
      <x:c r="J103" s="29" t="str"/>
      <x:c r="K103" s="29" t="str">
        <x:v>无RSS/API入口</x:v>
      </x:c>
      <x:c r="L103" s="29" t="str">
        <x:v>用于解释脑区、神经机制和常见脑科学误区；前沿结论继续引用原论文。</x:v>
      </x:c>
      <x:c r="M103" s="29" t="str">
        <x:v>由 Society for Neuroscience 等支持，将神经科学基础、疾病与研究方法转成公众可读材料。</x:v>
      </x:c>
      <x:c r="N103" s="29" t="str">
        <x:v>2026-08-17：官方主页 200；页面未暴露固定 RSS。</x:v>
      </x:c>
    </x:row>
    <x:row r="104" ht="50" customHeight="1">
      <x:c r="A104" s="29" t="str">
        <x:v>B</x:v>
      </x:c>
      <x:c r="B104" s="29" t="n">
        <x:v>87</x:v>
      </x:c>
      <x:c r="C104" s="29" t="str">
        <x:v>心理、认知与情商</x:v>
      </x:c>
      <x:c r="D104" s="29" t="str">
        <x:v>社会与情绪学习（SEL）</x:v>
      </x:c>
      <x:c r="E104" s="29" t="str">
        <x:v>CASEL Constellations</x:v>
      </x:c>
      <x:c r="F104" s="29" t="str"/>
      <x:c r="G104" s="29" t="str">
        <x:v>解释源</x:v>
      </x:c>
      <x:c r="H104" s="29" t="str">
        <x:v>专业组织研究与实践博客</x:v>
      </x:c>
      <x:c r="I104" s="29" t="str">
        <x:v>https://casel.org/blog/</x:v>
      </x:c>
      <x:c r="J104" s="29" t="str">
        <x:v>https://casel.org/blog/feed/</x:v>
      </x:c>
      <x:c r="K104" s="29" t="str">
        <x:v>有效</x:v>
      </x:c>
      <x:c r="L104" s="29" t="str">
        <x:v>讨论自我觉察、自我管理、社会觉察和关系技能时补充结构化框架与教育证据。</x:v>
      </x:c>
      <x:c r="M104" s="29" t="str">
        <x:v>CASEL 是学校社会情绪学习的重要框架机构，内容覆盖研究、评估和落地案例。</x:v>
      </x:c>
      <x:c r="N104" s="29" t="str">
        <x:v>2026-08-17：博客主页 200；官方 RSS 200，XML 已确认。</x:v>
      </x:c>
    </x:row>
    <x:row r="105" ht="50" customHeight="1">
      <x:c r="A105" s="29" t="str">
        <x:v>B</x:v>
      </x:c>
      <x:c r="B105" s="29" t="n">
        <x:v>87</x:v>
      </x:c>
      <x:c r="C105" s="29" t="str">
        <x:v>心理、认知与情商</x:v>
      </x:c>
      <x:c r="D105" s="29" t="str">
        <x:v>开放科学与可重复性</x:v>
      </x:c>
      <x:c r="E105" s="29" t="str">
        <x:v>Center for Open Science Blog</x:v>
      </x:c>
      <x:c r="F105" s="29" t="str"/>
      <x:c r="G105" s="29" t="str">
        <x:v>解释源</x:v>
      </x:c>
      <x:c r="H105" s="29" t="str">
        <x:v>元科学机构博客</x:v>
      </x:c>
      <x:c r="I105" s="29" t="str">
        <x:v>https://www.cos.io/blog</x:v>
      </x:c>
      <x:c r="J105" s="29" t="str">
        <x:v>https://www.cos.io/blog/rss.xml</x:v>
      </x:c>
      <x:c r="K105" s="29" t="str">
        <x:v>有效</x:v>
      </x:c>
      <x:c r="L105" s="29" t="str">
        <x:v>给热门心理研究增加“能否重复、是否预注册、数据是否开放”的质量检查层。</x:v>
      </x:c>
      <x:c r="M105" s="29" t="str">
        <x:v>跟踪预注册、开放数据、复制研究与科研激励，帮助判断心理学结果的可信度。</x:v>
      </x:c>
      <x:c r="N105" s="29" t="str">
        <x:v>2026-08-17：主页 200；官方 RSS 200，XML 已确认。</x:v>
      </x:c>
    </x:row>
    <x:row r="106" ht="50" customHeight="1">
      <x:c r="A106" s="29" t="str">
        <x:v>B</x:v>
      </x:c>
      <x:c r="B106" s="29" t="n">
        <x:v>87</x:v>
      </x:c>
      <x:c r="C106" s="29" t="str">
        <x:v>心理、认知与情商</x:v>
      </x:c>
      <x:c r="D106" s="29" t="str">
        <x:v>情绪研究者访谈与专题</x:v>
      </x:c>
      <x:c r="E106" s="29" t="str">
        <x:v>Emotion Researcher（ISRE）</x:v>
      </x:c>
      <x:c r="F106" s="29" t="str"/>
      <x:c r="G106" s="29" t="str">
        <x:v>解释源</x:v>
      </x:c>
      <x:c r="H106" s="29" t="str">
        <x:v>专业学会解释媒体</x:v>
      </x:c>
      <x:c r="I106" s="29" t="str">
        <x:v>https://emotionresearcher.com/</x:v>
      </x:c>
      <x:c r="J106" s="29" t="str">
        <x:v>https://emotionresearcher.com/feed/</x:v>
      </x:c>
      <x:c r="K106" s="29" t="str">
        <x:v>有效</x:v>
      </x:c>
      <x:c r="L106" s="29" t="str">
        <x:v>寻找情绪概念的历史、理论分歧和专家原话；实证主张另引论文。</x:v>
      </x:c>
      <x:c r="M106" s="29" t="str">
        <x:v>International Society for Research on Emotion 的公共传播平台，汇集研究者访谈、概念解释与专题。</x:v>
      </x:c>
      <x:c r="N106" s="29" t="str">
        <x:v>2026-08-17：自动请求主页与 Feed 均返回 406；官方站仍被搜索索引，可能限制机器人 User-Agent，建议阅读器实测。</x:v>
      </x:c>
    </x:row>
    <x:row r="107" ht="50" customHeight="1">
      <x:c r="A107" s="29" t="str">
        <x:v>B</x:v>
      </x:c>
      <x:c r="B107" s="29" t="n">
        <x:v>87</x:v>
      </x:c>
      <x:c r="C107" s="29" t="str">
        <x:v>心理、认知与情商</x:v>
      </x:c>
      <x:c r="D107" s="29" t="str">
        <x:v>幸福、同理心与关系科学</x:v>
      </x:c>
      <x:c r="E107" s="29" t="str">
        <x:v>Greater Good Magazine</x:v>
      </x:c>
      <x:c r="F107" s="29" t="str"/>
      <x:c r="G107" s="29" t="str">
        <x:v>解释源</x:v>
      </x:c>
      <x:c r="H107" s="29" t="str">
        <x:v>大学研究中心解释媒体</x:v>
      </x:c>
      <x:c r="I107" s="29" t="str">
        <x:v>https://greatergood.berkeley.edu/</x:v>
      </x:c>
      <x:c r="J107" s="29" t="str">
        <x:v>https://greatergood.berkeley.edu/site/rss</x:v>
      </x:c>
      <x:c r="K107" s="29" t="str">
        <x:v>有效</x:v>
      </x:c>
      <x:c r="L107" s="29" t="str">
        <x:v>寻找利他、关系和情绪调节的研究型选题；对“方法有效”主张回链原研究。；研究发现加日常场景加可执行练习的利他型短帖。</x:v>
      </x:c>
      <x:c r="M107" s="29" t="str">
        <x:v>UC Berkeley Greater Good Science Center 将幸福、同理心、亲社会行为和关系研究转译成公众内容。</x:v>
      </x:c>
      <x:c r="N107" s="29" t="str">
        <x:v>2026-08-17：主页 200；文章 RSS 200，XML 已确认。；2026-08-17：官方总Feed返回200和有效RSS；健康相关内容不替代专业诊疗。</x:v>
      </x:c>
    </x:row>
    <x:row r="108" ht="50" customHeight="1">
      <x:c r="A108" s="29" t="str">
        <x:v>B</x:v>
      </x:c>
      <x:c r="B108" s="29" t="n">
        <x:v>87</x:v>
      </x:c>
      <x:c r="C108" s="29" t="str">
        <x:v>心理、认知与情商</x:v>
      </x:c>
      <x:c r="D108" s="29" t="str">
        <x:v>儿童发展、压力与执行功能</x:v>
      </x:c>
      <x:c r="E108" s="29" t="str">
        <x:v>Harvard Center on the Developing Child</x:v>
      </x:c>
      <x:c r="F108" s="29" t="str"/>
      <x:c r="G108" s="29" t="str">
        <x:v>解释源</x:v>
      </x:c>
      <x:c r="H108" s="29" t="str">
        <x:v>大学研究转化中心</x:v>
      </x:c>
      <x:c r="I108" s="29" t="str">
        <x:v>https://developingchild.harvard.edu/</x:v>
      </x:c>
      <x:c r="J108" s="29" t="str"/>
      <x:c r="K108" s="29" t="str">
        <x:v>无RSS/API入口</x:v>
      </x:c>
      <x:c r="L108" s="29" t="str">
        <x:v>用于育儿、成长与儿童认知话题；优先引用工作论文或所列原始研究。</x:v>
      </x:c>
      <x:c r="M108" s="29" t="str">
        <x:v>将儿童发展、执行功能、早期压力与韧性研究转成图解、工作论文和实践框架。</x:v>
      </x:c>
      <x:c r="N108" s="29" t="str">
        <x:v>2026-08-17：自动检查主页返回 403/CDN；官方内容可被搜索索引，建议网页巡检或邮件订阅。</x:v>
      </x:c>
    </x:row>
    <x:row r="109" ht="50" customHeight="1">
      <x:c r="A109" s="29" t="str">
        <x:v>B</x:v>
      </x:c>
      <x:c r="B109" s="29" t="n">
        <x:v>87</x:v>
      </x:c>
      <x:c r="C109" s="29" t="str">
        <x:v>心理、认知与情商</x:v>
      </x:c>
      <x:c r="D109" s="29" t="str">
        <x:v>社会心理与行为故事</x:v>
      </x:c>
      <x:c r="E109" s="29" t="str">
        <x:v>Hidden Brain</x:v>
      </x:c>
      <x:c r="F109" s="29" t="str"/>
      <x:c r="G109" s="29" t="str">
        <x:v>解释源</x:v>
      </x:c>
      <x:c r="H109" s="29" t="str">
        <x:v>叙事型研究播客</x:v>
      </x:c>
      <x:c r="I109" s="29" t="str">
        <x:v>https://www.hiddenbrain.org/</x:v>
      </x:c>
      <x:c r="J109" s="29" t="str">
        <x:v>https://feeds.simplecast.com/kwWc0lhf</x:v>
      </x:c>
      <x:c r="K109" s="29" t="str">
        <x:v>有效</x:v>
      </x:c>
      <x:c r="L109" s="29" t="str">
        <x:v>借鉴“故事—机制—反转—实践”结构；不要把节目叙事直接当作因果证据。</x:v>
      </x:c>
      <x:c r="M109" s="29" t="str">
        <x:v>用人物故事连接社会心理、认知偏差、关系与行为研究，传播结构非常适合学习。</x:v>
      </x:c>
      <x:c r="N109" s="29" t="str">
        <x:v>2026-08-17：主页 200；Simplecast 官方节目 RSS 200，XML 已确认。</x:v>
      </x:c>
    </x:row>
    <x:row r="110" ht="50" customHeight="1">
      <x:c r="A110" s="29" t="str">
        <x:v>B</x:v>
      </x:c>
      <x:c r="B110" s="29" t="n">
        <x:v>87</x:v>
      </x:c>
      <x:c r="C110" s="29" t="str">
        <x:v>心理、认知与情商</x:v>
      </x:c>
      <x:c r="D110" s="29" t="str">
        <x:v>心理学专家访谈</x:v>
      </x:c>
      <x:c r="E110" s="29" t="str">
        <x:v>Speaking of Psychology（APA）</x:v>
      </x:c>
      <x:c r="F110" s="29" t="str"/>
      <x:c r="G110" s="29" t="str">
        <x:v>解释源</x:v>
      </x:c>
      <x:c r="H110" s="29" t="str">
        <x:v>专业协会播客</x:v>
      </x:c>
      <x:c r="I110" s="29" t="str">
        <x:v>https://www.apa.org/news/podcasts/speaking-of-psychology</x:v>
      </x:c>
      <x:c r="J110" s="29" t="str">
        <x:v>https://feeds.megaphone.fm/AMERICANPSYCHOLOGICALASSOCIATION9933181801</x:v>
      </x:c>
      <x:c r="K110" s="29" t="str">
        <x:v>有效</x:v>
      </x:c>
      <x:c r="L110" s="29" t="str">
        <x:v>提取专家的核心解释、反直觉发现和实践边界；重要数据仍回链论文。</x:v>
      </x:c>
      <x:c r="M110" s="29" t="str">
        <x:v>美国心理学会邀请研究者解释心理学议题，专业性和公众可读性兼具。</x:v>
      </x:c>
      <x:c r="N110" s="29" t="str">
        <x:v>2026-08-17：APA 节目页 200；Megaphone 官方节目 RSS 200，XML 已确认。</x:v>
      </x:c>
    </x:row>
    <x:row r="111" ht="50" customHeight="1">
      <x:c r="A111" s="29" t="str">
        <x:v>B</x:v>
      </x:c>
      <x:c r="B111" s="29" t="n">
        <x:v>87</x:v>
      </x:c>
      <x:c r="C111" s="29" t="str">
        <x:v>心理、认知与情商</x:v>
      </x:c>
      <x:c r="D111" s="29" t="str">
        <x:v>社会心理学现实应用</x:v>
      </x:c>
      <x:c r="E111" s="29" t="str">
        <x:v>Stanford SPARQ</x:v>
      </x:c>
      <x:c r="F111" s="29" t="str"/>
      <x:c r="G111" s="29" t="str">
        <x:v>解释源</x:v>
      </x:c>
      <x:c r="H111" s="29" t="str">
        <x:v>大学行为科学转化中心</x:v>
      </x:c>
      <x:c r="I111" s="29" t="str">
        <x:v>https://sparq.stanford.edu/</x:v>
      </x:c>
      <x:c r="J111" s="29" t="str"/>
      <x:c r="K111" s="29" t="str">
        <x:v>无RSS/API入口</x:v>
      </x:c>
      <x:c r="L111" s="29" t="str">
        <x:v>适合写“一个行为问题有哪些经过测试的干预”类实用帖，并链接 Solutions Catalog。</x:v>
      </x:c>
      <x:c r="M111" s="29" t="str">
        <x:v>将社会心理研究转化为教育、健康、司法、关系和偏见领域的可用工具与解决方案。</x:v>
      </x:c>
      <x:c r="N111" s="29" t="str">
        <x:v>2026-08-17：官方主页 200；未发现公开 RSS。</x:v>
      </x:c>
    </x:row>
    <x:row r="112" ht="50" customHeight="1">
      <x:c r="A112" s="29" t="str">
        <x:v>B</x:v>
      </x:c>
      <x:c r="B112" s="29" t="n">
        <x:v>87</x:v>
      </x:c>
      <x:c r="C112" s="29" t="str">
        <x:v>心理、认知与情商</x:v>
      </x:c>
      <x:c r="D112" s="29" t="str">
        <x:v>幸福科学与行为改变</x:v>
      </x:c>
      <x:c r="E112" s="29" t="str">
        <x:v>The Happiness Lab with Dr. Laurie Santos</x:v>
      </x:c>
      <x:c r="F112" s="29" t="str"/>
      <x:c r="G112" s="29" t="str">
        <x:v>解释源</x:v>
      </x:c>
      <x:c r="H112" s="29" t="str">
        <x:v>研究者播客</x:v>
      </x:c>
      <x:c r="I112" s="29" t="str">
        <x:v>https://www.pushkin.fm/podcasts/the-happiness-lab-with-dr-laurie-santos</x:v>
      </x:c>
      <x:c r="J112" s="29" t="str">
        <x:v>https://www.omnycontent.com/d/playlist/e73c998e-6e60-432f-8610-ae210140c5b1/96c5c41e-0bc8-4661-b184-ae32006cd726/d623ef0b-3fee-4c26-b815-ae32006cd739/podcast.rss</x:v>
      </x:c>
      <x:c r="K112" s="29" t="str">
        <x:v>有效</x:v>
      </x:c>
      <x:c r="L112" s="29" t="str">
        <x:v>提取故事化开头和可实践建议；将节目中的关键研究单独核验后引用。</x:v>
      </x:c>
      <x:c r="M112" s="29" t="str">
        <x:v>由 Yale 心理学者 Laurie Santos 主持，以研究、案例和反直觉机制讨论幸福与习惯。</x:v>
      </x:c>
      <x:c r="N112" s="29" t="str">
        <x:v>2026-08-17：Pushkin 节目页 200；Omny 官方节目 RSS 200，XML 已确认。</x:v>
      </x:c>
    </x:row>
    <x:row r="113" ht="50" customHeight="1">
      <x:c r="A113" s="29" t="str">
        <x:v>B</x:v>
      </x:c>
      <x:c r="B113" s="29" t="n">
        <x:v>87</x:v>
      </x:c>
      <x:c r="C113" s="29" t="str">
        <x:v>心理、认知与情商</x:v>
      </x:c>
      <x:c r="D113" s="29" t="str">
        <x:v>心理健康研究批判性解读</x:v>
      </x:c>
      <x:c r="E113" s="29" t="str">
        <x:v>The Mental Elf</x:v>
      </x:c>
      <x:c r="F113" s="29" t="str"/>
      <x:c r="G113" s="29" t="str">
        <x:v>解释源</x:v>
      </x:c>
      <x:c r="H113" s="29" t="str">
        <x:v>循证研究解释媒体</x:v>
      </x:c>
      <x:c r="I113" s="29" t="str">
        <x:v>https://www.nationalelfservice.net/mental-health/</x:v>
      </x:c>
      <x:c r="J113" s="29" t="str">
        <x:v>https://www.nationalelfservice.net/mental-health/feed/</x:v>
      </x:c>
      <x:c r="K113" s="29" t="str">
        <x:v>有效</x:v>
      </x:c>
      <x:c r="L113" s="29" t="str">
        <x:v>快速抓住论文的优点和缺陷；引用时同时给出原论文与解读链接。</x:v>
      </x:c>
      <x:c r="M113" s="29" t="str">
        <x:v>由专业人士解读心理健康研究，固定关注研究质量、临床意义与局限。</x:v>
      </x:c>
      <x:c r="N113" s="29" t="str">
        <x:v>2026-08-17：专题主页 200；RSS 200，XML 已确认。</x:v>
      </x:c>
    </x:row>
    <x:row r="114" ht="50" customHeight="1">
      <x:c r="A114" s="29" t="str">
        <x:v>B</x:v>
      </x:c>
      <x:c r="B114" s="29" t="n">
        <x:v>87</x:v>
      </x:c>
      <x:c r="C114" s="29" t="str">
        <x:v>心理、认知与情商</x:v>
      </x:c>
      <x:c r="D114" s="29" t="str">
        <x:v>幸福与亲社会行为播客</x:v>
      </x:c>
      <x:c r="E114" s="29" t="str">
        <x:v>The Science of Happiness</x:v>
      </x:c>
      <x:c r="F114" s="29" t="str"/>
      <x:c r="G114" s="29" t="str">
        <x:v>解释源</x:v>
      </x:c>
      <x:c r="H114" s="29" t="str">
        <x:v>研究型播客</x:v>
      </x:c>
      <x:c r="I114" s="29" t="str">
        <x:v>https://greatergood.berkeley.edu/podcasts</x:v>
      </x:c>
      <x:c r="J114" s="29" t="str">
        <x:v>https://feeds.feedburner.com/TheScienceOfHappiness</x:v>
      </x:c>
      <x:c r="K114" s="29" t="str">
        <x:v>有效</x:v>
      </x:c>
      <x:c r="L114" s="29" t="str">
        <x:v>提炼可执行练习和人物故事；把播客当解释入口，证据结论回链研究。</x:v>
      </x:c>
      <x:c r="M114" s="29" t="str">
        <x:v>Greater Good Science Center 制作，用故事、研究者访谈和实践实验连接幸福科学与日常生活。</x:v>
      </x:c>
      <x:c r="N114" s="29" t="str">
        <x:v>2026-08-17：节目主页 200；节目 RSS 重定向后 200，XML 已确认。</x:v>
      </x:c>
    </x:row>
    <x:row r="115" ht="50" customHeight="1">
      <x:c r="A115" s="29" t="str">
        <x:v>B</x:v>
      </x:c>
      <x:c r="B115" s="29" t="n">
        <x:v>86</x:v>
      </x:c>
      <x:c r="C115" s="29" t="str">
        <x:v>成长与学习</x:v>
      </x:c>
      <x:c r="D115" s="29" t="str">
        <x:v>思维模型与决策</x:v>
      </x:c>
      <x:c r="E115" s="29" t="str">
        <x:v>Farnam Street</x:v>
      </x:c>
      <x:c r="F115" s="29" t="str"/>
      <x:c r="G115" s="29" t="str">
        <x:v>解释源</x:v>
      </x:c>
      <x:c r="H115" s="29" t="str">
        <x:v>思维模型、决策、阅读笔记、人物访谈与长期主义</x:v>
      </x:c>
      <x:c r="I115" s="29" t="str">
        <x:v>https://fs.blog/</x:v>
      </x:c>
      <x:c r="J115" s="29" t="str">
        <x:v>https://fs.blog/feed/</x:v>
      </x:c>
      <x:c r="K115" s="29" t="str">
        <x:v>有效</x:v>
      </x:c>
      <x:c r="L115" s="29" t="str">
        <x:v>一个思维模型加一个反例加一个决策检查问题。</x:v>
      </x:c>
      <x:c r="M115" s="29" t="str">
        <x:v>擅长把跨学科思想整理为可复用框架，是高密度观点和类比的良好入口。</x:v>
      </x:c>
      <x:c r="N115" s="29" t="str">
        <x:v>2026-08-17：官方RSS返回200和有效XML；其文章多为综合解释，事实主张需回到原始研究。</x:v>
      </x:c>
    </x:row>
    <x:row r="116" ht="50" customHeight="1">
      <x:c r="A116" s="29" t="str">
        <x:v>B</x:v>
      </x:c>
      <x:c r="B116" s="29" t="n">
        <x:v>86</x:v>
      </x:c>
      <x:c r="C116" s="29" t="str">
        <x:v>成长与学习</x:v>
      </x:c>
      <x:c r="D116" s="29" t="str">
        <x:v>技术领导力与团队管理</x:v>
      </x:c>
      <x:c r="E116" s="29" t="str">
        <x:v>LeadDev</x:v>
      </x:c>
      <x:c r="F116" s="29" t="str"/>
      <x:c r="G116" s="29" t="str">
        <x:v>解释源</x:v>
      </x:c>
      <x:c r="H116" s="29" t="str">
        <x:v>工程领导力、团队流程、组织设计、职业转型与会议内容</x:v>
      </x:c>
      <x:c r="I116" s="29" t="str">
        <x:v>https://leaddev.com/</x:v>
      </x:c>
      <x:c r="J116" s="29" t="str"/>
      <x:c r="K116" s="29" t="str">
        <x:v>无RSS/API入口</x:v>
      </x:c>
      <x:c r="L116" s="29" t="str">
        <x:v>把技术主管的模糊问题转成团队机制、对话模板和复盘问题。</x:v>
      </x:c>
      <x:c r="M116" s="29" t="str">
        <x:v>聚焦技术主管真实工作，兼有从业者文章、演讲和团队管理案例。</x:v>
      </x:c>
      <x:c r="N116" s="29" t="str">
        <x:v>2026-08-17：官网返回200；本轮未发现稳定官方统一RSS，按平台收录。</x:v>
      </x:c>
    </x:row>
    <x:row r="117" ht="50" customHeight="1">
      <x:c r="A117" s="29" t="str">
        <x:v>B</x:v>
      </x:c>
      <x:c r="B117" s="29" t="n">
        <x:v>86</x:v>
      </x:c>
      <x:c r="C117" s="29" t="str">
        <x:v>成长与学习</x:v>
      </x:c>
      <x:c r="D117" s="29" t="str">
        <x:v>元认知与知识工作</x:v>
      </x:c>
      <x:c r="E117" s="29" t="str">
        <x:v>Ness Labs</x:v>
      </x:c>
      <x:c r="F117" s="29" t="str"/>
      <x:c r="G117" s="29" t="str">
        <x:v>解释源</x:v>
      </x:c>
      <x:c r="H117" s="29" t="str">
        <x:v>元认知、创造力、知识管理、实验式成长与访谈</x:v>
      </x:c>
      <x:c r="I117" s="29" t="str">
        <x:v>https://nesslabs.com/</x:v>
      </x:c>
      <x:c r="J117" s="29" t="str">
        <x:v>https://nesslabs.com/feed</x:v>
      </x:c>
      <x:c r="K117" s="29" t="str">
        <x:v>有效</x:v>
      </x:c>
      <x:c r="L117" s="29" t="str">
        <x:v>从研究概念出发设计一个七天小实验。</x:v>
      </x:c>
      <x:c r="M117" s="29" t="str">
        <x:v>把认知科学、创作者实践和个人实验结合，适合产生温和但可执行的成长内容。</x:v>
      </x:c>
      <x:c r="N117" s="29" t="str">
        <x:v>2026-08-17：官方RSS返回200和有效XML；科学性主张建议点击文中原论文核对。</x:v>
      </x:c>
    </x:row>
    <x:row r="118" ht="50" customHeight="1">
      <x:c r="A118" s="29" t="str">
        <x:v>B</x:v>
      </x:c>
      <x:c r="B118" s="29" t="n">
        <x:v>86</x:v>
      </x:c>
      <x:c r="C118" s="29" t="str">
        <x:v>成长与学习</x:v>
      </x:c>
      <x:c r="D118" s="29" t="str">
        <x:v>工程职业与技术管理</x:v>
      </x:c>
      <x:c r="E118" s="29" t="str">
        <x:v>The Pragmatic Engineer</x:v>
      </x:c>
      <x:c r="F118" s="29" t="str"/>
      <x:c r="G118" s="29" t="str">
        <x:v>解释源</x:v>
      </x:c>
      <x:c r="H118" s="29" t="str">
        <x:v>技术行业调查、工程管理、职业发展、薪酬与公司实践</x:v>
      </x:c>
      <x:c r="I118" s="29" t="str">
        <x:v>https://blog.pragmaticengineer.com/</x:v>
      </x:c>
      <x:c r="J118" s="29" t="str">
        <x:v>https://blog.pragmaticengineer.com/rss/</x:v>
      </x:c>
      <x:c r="K118" s="29" t="str">
        <x:v>有效</x:v>
      </x:c>
      <x:c r="L118" s="29" t="str">
        <x:v>行业数据加公司案例加给从业者的具体建议。</x:v>
      </x:c>
      <x:c r="M118" s="29" t="str">
        <x:v>重视一手采访和行业数据，对技术组织与工程师职业的观察密度高。</x:v>
      </x:c>
      <x:c r="N118" s="29" t="str">
        <x:v>2026-08-17：官方RSS返回200和有效XML；付费文章可能仅在Feed提供摘要。</x:v>
      </x:c>
    </x:row>
    <x:row r="119" ht="50" customHeight="1">
      <x:c r="A119" s="29" t="str">
        <x:v>B</x:v>
      </x:c>
      <x:c r="B119" s="29" t="n">
        <x:v>86</x:v>
      </x:c>
      <x:c r="C119" s="29" t="str">
        <x:v>商业、管理与创新</x:v>
      </x:c>
      <x:c r="D119" s="29" t="str">
        <x:v>科技趋势与市场结构</x:v>
      </x:c>
      <x:c r="E119" s="29" t="str">
        <x:v>Benedict Evans</x:v>
      </x:c>
      <x:c r="F119" s="29" t="str"/>
      <x:c r="G119" s="29" t="str">
        <x:v>解释源</x:v>
      </x:c>
      <x:c r="H119" s="29" t="str">
        <x:v>科技趋势、市场数据、平台变化、演示文稿与每周评论</x:v>
      </x:c>
      <x:c r="I119" s="29" t="str">
        <x:v>https://www.ben-evans.com/benedictevans</x:v>
      </x:c>
      <x:c r="J119" s="29" t="str">
        <x:v>https://www.ben-evans.com/benedictevans?format=rss</x:v>
      </x:c>
      <x:c r="K119" s="29" t="str">
        <x:v>有效</x:v>
      </x:c>
      <x:c r="L119" s="29" t="str">
        <x:v>一张图表加一个被忽视的基准率加一个趋势问题。</x:v>
      </x:c>
      <x:c r="M119" s="29" t="str">
        <x:v>善于用历史和市场数据校准技术叙事，能提供高质量图表和二阶问题。</x:v>
      </x:c>
      <x:c r="N119" s="29" t="str">
        <x:v>2026-08-17：Squarespace官方RSS返回200和有效XML；图表引用应保留原始数据出处。</x:v>
      </x:c>
    </x:row>
    <x:row r="120" ht="50" customHeight="1">
      <x:c r="A120" s="29" t="str">
        <x:v>B</x:v>
      </x:c>
      <x:c r="B120" s="29" t="n">
        <x:v>86</x:v>
      </x:c>
      <x:c r="C120" s="29" t="str">
        <x:v>商业、管理与创新</x:v>
      </x:c>
      <x:c r="D120" s="29" t="str">
        <x:v>循证管理与决策</x:v>
      </x:c>
      <x:c r="E120" s="29" t="str">
        <x:v>Center for Evidence-Based Management</x:v>
      </x:c>
      <x:c r="F120" s="29" t="str"/>
      <x:c r="G120" s="29" t="str">
        <x:v>解释源</x:v>
      </x:c>
      <x:c r="H120" s="29" t="str">
        <x:v>循证管理教材、证据综述、工具、课程与推荐阅读</x:v>
      </x:c>
      <x:c r="I120" s="29" t="str">
        <x:v>https://cebma.org/</x:v>
      </x:c>
      <x:c r="J120" s="29" t="str"/>
      <x:c r="K120" s="29" t="str">
        <x:v>无RSS/API入口</x:v>
      </x:c>
      <x:c r="L120" s="29" t="str">
        <x:v>展示如何把一个管理问题改写成可检验问题，并检查四类证据。</x:v>
      </x:c>
      <x:c r="M120" s="29" t="str">
        <x:v>独立非营利机构，专门训练管理者综合科学、组织、实践者与利益相关者证据。</x:v>
      </x:c>
      <x:c r="N120" s="29" t="str">
        <x:v>2026-08-17：官网返回200；未发现稳定官方RSS，按资源平台收录，部分课程和综述需会员。</x:v>
      </x:c>
    </x:row>
    <x:row r="121" ht="50" customHeight="1">
      <x:c r="A121" s="29" t="str">
        <x:v>B</x:v>
      </x:c>
      <x:c r="B121" s="29" t="n">
        <x:v>86</x:v>
      </x:c>
      <x:c r="C121" s="29" t="str">
        <x:v>商业、管理与创新</x:v>
      </x:c>
      <x:c r="D121" s="29" t="str">
        <x:v>数学、科学与认知</x:v>
      </x:c>
      <x:c r="E121" s="29" t="str">
        <x:v>construction-physics.com</x:v>
      </x:c>
      <x:c r="F121" s="29" t="str">
        <x:v>Brian Potter</x:v>
      </x:c>
      <x:c r="G121" s="29" t="str">
        <x:v>解释源</x:v>
      </x:c>
      <x:c r="H121" s="29" t="str">
        <x:v>独立博客 / 长文</x:v>
      </x:c>
      <x:c r="I121" s="29" t="str">
        <x:v>https://www.construction-physics.com/</x:v>
      </x:c>
      <x:c r="J121" s="29" t="str">
        <x:v>https://www.construction-physics.com/feed</x:v>
      </x:c>
      <x:c r="K121" s="29" t="str">
        <x:v>有效</x:v>
      </x:c>
      <x:c r="L121" s="29" t="str">
        <x:v>概念解释、反直觉事实、研究脉络；用成本曲线或历史案例解释一个产业瓶颈。</x:v>
      </x:c>
      <x:c r="M121" s="29" t="str">
        <x:v>2025 年 Hacker News 高热个人博客。作者背景：Engineer and writer。</x:v>
      </x:c>
      <x:c r="N121" s="29" t="str">
        <x:v>独立作者源；事实、数字和因果需回到论文、文档或数据。观点须明确归因。；2026-08-17：官方Substack RSS返回200和有效XML；引用数字时回到文中原始数据。</x:v>
      </x:c>
    </x:row>
    <x:row r="122" ht="50" customHeight="1">
      <x:c r="A122" s="29" t="str">
        <x:v>B</x:v>
      </x:c>
      <x:c r="B122" s="29" t="n">
        <x:v>86</x:v>
      </x:c>
      <x:c r="C122" s="29" t="str">
        <x:v>商业、管理与创新</x:v>
      </x:c>
      <x:c r="D122" s="29" t="str">
        <x:v>创业、产品与组织</x:v>
      </x:c>
      <x:c r="E122" s="29" t="str">
        <x:v>entropicthoughts.com</x:v>
      </x:c>
      <x:c r="F122" s="29" t="str">
        <x:v>Chris</x:v>
      </x:c>
      <x:c r="G122" s="29" t="str">
        <x:v>解释源</x:v>
      </x:c>
      <x:c r="H122" s="29" t="str">
        <x:v>独立博客 / 长文</x:v>
      </x:c>
      <x:c r="I122" s="29" t="str">
        <x:v>https://entropicthoughts.com</x:v>
      </x:c>
      <x:c r="J122" s="29" t="str">
        <x:v>https://entropicthoughts.com/feed.xml</x:v>
      </x:c>
      <x:c r="K122" s="29" t="str">
        <x:v>有效</x:v>
      </x:c>
      <x:c r="L122" s="29" t="str">
        <x:v>创业经验、产品判断、工程管理</x:v>
      </x:c>
      <x:c r="M122" s="29" t="str">
        <x:v>2025 年 Hacker News 高热个人博客。作者背景：Quant and systems thinker。</x:v>
      </x:c>
      <x:c r="N122" s="29" t="str">
        <x:v>独立作者源；事实、数字和因果需回到论文、文档或数据。观点须明确归因。</x:v>
      </x:c>
    </x:row>
    <x:row r="123" ht="50" customHeight="1">
      <x:c r="A123" s="29" t="str">
        <x:v>B</x:v>
      </x:c>
      <x:c r="B123" s="29" t="n">
        <x:v>86</x:v>
      </x:c>
      <x:c r="C123" s="29" t="str">
        <x:v>商业、管理与创新</x:v>
      </x:c>
      <x:c r="D123" s="29" t="str">
        <x:v>创业、产品与组织</x:v>
      </x:c>
      <x:c r="E123" s="29" t="str">
        <x:v>evanhahn.com</x:v>
      </x:c>
      <x:c r="F123" s="29" t="str">
        <x:v>Evan Hahn</x:v>
      </x:c>
      <x:c r="G123" s="29" t="str">
        <x:v>解释源</x:v>
      </x:c>
      <x:c r="H123" s="29" t="str">
        <x:v>独立博客 / 长文</x:v>
      </x:c>
      <x:c r="I123" s="29" t="str">
        <x:v>https://evanhahn.com</x:v>
      </x:c>
      <x:c r="J123" s="29" t="str">
        <x:v>https://evanhahn.com/blog/index.xml</x:v>
      </x:c>
      <x:c r="K123" s="29" t="str">
        <x:v>重定向后有效</x:v>
      </x:c>
      <x:c r="L123" s="29" t="str">
        <x:v>创业经验、产品判断、工程管理</x:v>
      </x:c>
      <x:c r="M123" s="29" t="str">
        <x:v>2025 年 Hacker News 高热个人博客。作者背景：Software developer and author。</x:v>
      </x:c>
      <x:c r="N123" s="29" t="str">
        <x:v>独立作者源；事实、数字和因果需回到论文、文档或数据。观点须明确归因。</x:v>
      </x:c>
    </x:row>
    <x:row r="124" ht="50" customHeight="1">
      <x:c r="A124" s="29" t="str">
        <x:v>B</x:v>
      </x:c>
      <x:c r="B124" s="29" t="n">
        <x:v>86</x:v>
      </x:c>
      <x:c r="C124" s="29" t="str">
        <x:v>商业、管理与创新</x:v>
      </x:c>
      <x:c r="D124" s="29" t="str">
        <x:v>管理研究与实践</x:v>
      </x:c>
      <x:c r="E124" s="29" t="str">
        <x:v>Harvard Business Review</x:v>
      </x:c>
      <x:c r="F124" s="29" t="str"/>
      <x:c r="G124" s="29" t="str">
        <x:v>解释源</x:v>
      </x:c>
      <x:c r="H124" s="29" t="str">
        <x:v>战略、领导力、组织、创新、职业与管理案例</x:v>
      </x:c>
      <x:c r="I124" s="29" t="str">
        <x:v>https://hbr.org/</x:v>
      </x:c>
      <x:c r="J124" s="29" t="str"/>
      <x:c r="K124" s="29" t="str">
        <x:v>无RSS/API入口</x:v>
      </x:c>
      <x:c r="L124" s="29" t="str">
        <x:v>用一个管理难题组织研究观点、案例和行动清单。</x:v>
      </x:c>
      <x:c r="M124" s="29" t="str">
        <x:v>管理学者与企业实践者共同写作，选题覆盖管理者最常见的决策问题。</x:v>
      </x:c>
      <x:c r="N124" s="29" t="str">
        <x:v>2026-08-17：官网返回200；未使用不稳定的第三方文章Feed，重要结论应引用具体文章及其研究出处。</x:v>
      </x:c>
    </x:row>
    <x:row r="125" ht="50" customHeight="1">
      <x:c r="A125" s="29" t="str">
        <x:v>B</x:v>
      </x:c>
      <x:c r="B125" s="29" t="n">
        <x:v>86</x:v>
      </x:c>
      <x:c r="C125" s="29" t="str">
        <x:v>商业、管理与创新</x:v>
      </x:c>
      <x:c r="D125" s="29" t="str">
        <x:v>创业、产品与组织</x:v>
      </x:c>
      <x:c r="E125" s="29" t="str">
        <x:v>nesbitt.io</x:v>
      </x:c>
      <x:c r="F125" s="29" t="str">
        <x:v>Andrew Nesbitt</x:v>
      </x:c>
      <x:c r="G125" s="29" t="str">
        <x:v>解释源</x:v>
      </x:c>
      <x:c r="H125" s="29" t="str">
        <x:v>独立博客 / 长文</x:v>
      </x:c>
      <x:c r="I125" s="29" t="str">
        <x:v>https://nesbitt.io</x:v>
      </x:c>
      <x:c r="J125" s="29" t="str">
        <x:v>https://nesbitt.io/feed.xml</x:v>
      </x:c>
      <x:c r="K125" s="29" t="str">
        <x:v>有效</x:v>
      </x:c>
      <x:c r="L125" s="29" t="str">
        <x:v>创业经验、产品判断、工程管理</x:v>
      </x:c>
      <x:c r="M125" s="29" t="str">
        <x:v>2025 年 Hacker News 高热个人博客。作者背景：Software engineer and researcher。</x:v>
      </x:c>
      <x:c r="N125" s="29" t="str">
        <x:v>独立作者源；事实、数字和因果需回到论文、文档或数据。观点须明确归因。</x:v>
      </x:c>
    </x:row>
    <x:row r="126" ht="50" customHeight="1">
      <x:c r="A126" s="29" t="str">
        <x:v>B</x:v>
      </x:c>
      <x:c r="B126" s="29" t="n">
        <x:v>86</x:v>
      </x:c>
      <x:c r="C126" s="29" t="str">
        <x:v>商业、管理与创新</x:v>
      </x:c>
      <x:c r="D126" s="29" t="str">
        <x:v>科技战略与商业模式</x:v>
      </x:c>
      <x:c r="E126" s="29" t="str">
        <x:v>Stratechery</x:v>
      </x:c>
      <x:c r="F126" s="29" t="str"/>
      <x:c r="G126" s="29" t="str">
        <x:v>解释源</x:v>
      </x:c>
      <x:c r="H126" s="29" t="str">
        <x:v>科技公司战略、聚合理论、平台商业模式、监管与市场分析</x:v>
      </x:c>
      <x:c r="I126" s="29" t="str">
        <x:v>https://stratechery.com/</x:v>
      </x:c>
      <x:c r="J126" s="29" t="str">
        <x:v>https://stratechery.com/feed/</x:v>
      </x:c>
      <x:c r="K126" s="29" t="str">
        <x:v>有效</x:v>
      </x:c>
      <x:c r="L126" s="29" t="str">
        <x:v>事件加商业模式机制加长期竞争格局的三层分析。</x:v>
      </x:c>
      <x:c r="M126" s="29" t="str">
        <x:v>形成了高度一致的科技商业分析框架，适合从单一新闻提升到结构性解释。</x:v>
      </x:c>
      <x:c r="N126" s="29" t="str">
        <x:v>2026-08-17：官方RSS返回200和有效XML；付费内容可能只显示摘要，观点应与公司披露和数据对照。</x:v>
      </x:c>
    </x:row>
    <x:row r="127" ht="50" customHeight="1">
      <x:c r="A127" s="29" t="str">
        <x:v>B</x:v>
      </x:c>
      <x:c r="B127" s="29" t="n">
        <x:v>86</x:v>
      </x:c>
      <x:c r="C127" s="29" t="str">
        <x:v>商业、管理与创新</x:v>
      </x:c>
      <x:c r="D127" s="29" t="str">
        <x:v>工作论文、研究报告与中国管理实践</x:v>
      </x:c>
      <x:c r="E127" s="29" t="str">
        <x:v>中欧国际工商学院研究</x:v>
      </x:c>
      <x:c r="F127" s="29" t="str"/>
      <x:c r="G127" s="29" t="str">
        <x:v>解释源</x:v>
      </x:c>
      <x:c r="H127" s="29" t="str">
        <x:v>商学院研究与案例平台</x:v>
      </x:c>
      <x:c r="I127" s="29" t="str">
        <x:v>https://cn.ceibs.edu/faculty/research</x:v>
      </x:c>
      <x:c r="J127" s="29" t="str"/>
      <x:c r="K127" s="29" t="str">
        <x:v>无RSS/API入口</x:v>
      </x:c>
      <x:c r="L127" s="29" t="str">
        <x:v>管理研究、组织案例、中国与全球商业比较</x:v>
      </x:c>
      <x:c r="M127" s="29" t="str">
        <x:v>集中提供工作论文、研究报告、前沿观点、案例中心与研究机构入口。</x:v>
      </x:c>
      <x:c r="N127" s="29" t="str">
        <x:v>优先引用完整研究报告；商业活动与媒体稿仅作线索，注意案例和报告版权。</x:v>
      </x:c>
    </x:row>
    <x:row r="128" ht="50" customHeight="1">
      <x:c r="A128" s="29" t="str">
        <x:v>C</x:v>
      </x:c>
      <x:c r="B128" s="29" t="n">
        <x:v>77</x:v>
      </x:c>
      <x:c r="C128" s="29" t="str">
        <x:v>成长与学习</x:v>
      </x:c>
      <x:c r="D128" s="29" t="str">
        <x:v>职场沟通与管理</x:v>
      </x:c>
      <x:c r="E128" s="29" t="str">
        <x:v>Ask a Manager</x:v>
      </x:c>
      <x:c r="F128" s="29" t="str"/>
      <x:c r="G128" s="29" t="str">
        <x:v>观点源</x:v>
      </x:c>
      <x:c r="H128" s="29" t="str">
        <x:v>职场问答、管理建议、沟通脚本、招聘与劳动关系</x:v>
      </x:c>
      <x:c r="I128" s="29" t="str">
        <x:v>https://www.askamanager.org/</x:v>
      </x:c>
      <x:c r="J128" s="29" t="str">
        <x:v>https://www.askamanager.org/feed</x:v>
      </x:c>
      <x:c r="K128" s="29" t="str">
        <x:v>有效</x:v>
      </x:c>
      <x:c r="L128" s="29" t="str">
        <x:v>用匿名案例写情境判断、可复用话术和边界提醒。</x:v>
      </x:c>
      <x:c r="M128" s="29" t="str">
        <x:v>长期积累大量真实职场情境，回答具体且重视权力关系与边界。</x:v>
      </x:c>
      <x:c r="N128" s="29" t="str">
        <x:v>2026-08-17：主页自动化访问受403限制，但官方RSS返回200和有效XML；建议内容属于经验判断而非研究证据。</x:v>
      </x:c>
    </x:row>
    <x:row r="129" ht="50" customHeight="1">
      <x:c r="A129" s="29" t="str">
        <x:v>C</x:v>
      </x:c>
      <x:c r="B129" s="29" t="n">
        <x:v>77</x:v>
      </x:c>
      <x:c r="C129" s="29" t="str">
        <x:v>成长与学习</x:v>
      </x:c>
      <x:c r="D129" s="29" t="str">
        <x:v>专注、职业与数字生活</x:v>
      </x:c>
      <x:c r="E129" s="29" t="str">
        <x:v>Cal Newport</x:v>
      </x:c>
      <x:c r="F129" s="29" t="str"/>
      <x:c r="G129" s="29" t="str">
        <x:v>观点源</x:v>
      </x:c>
      <x:c r="H129" s="29" t="str">
        <x:v>深度工作、注意力、职业资本、数字工具与知识工作</x:v>
      </x:c>
      <x:c r="I129" s="29" t="str">
        <x:v>https://calnewport.com/blog/</x:v>
      </x:c>
      <x:c r="J129" s="29" t="str">
        <x:v>https://calnewport.com/feed/</x:v>
      </x:c>
      <x:c r="K129" s="29" t="str">
        <x:v>有效</x:v>
      </x:c>
      <x:c r="L129" s="29" t="str">
        <x:v>用一个注意力成本反驳默认的效率叙事，并给出工作设计建议。</x:v>
      </x:c>
      <x:c r="M129" s="29" t="str">
        <x:v>围绕专注和工作设计形成了长期一致的论证体系，常提供可讨论的反主流观点。</x:v>
      </x:c>
      <x:c r="N129" s="29" t="str">
        <x:v>2026-08-17：官方RSS返回200和有效XML；观点性强，引用研究时核对原始文献。</x:v>
      </x:c>
    </x:row>
    <x:row r="130" ht="50" customHeight="1">
      <x:c r="A130" s="29" t="str">
        <x:v>C</x:v>
      </x:c>
      <x:c r="B130" s="29" t="n">
        <x:v>77</x:v>
      </x:c>
      <x:c r="C130" s="29" t="str">
        <x:v>成长与学习</x:v>
      </x:c>
      <x:c r="D130" s="29" t="str">
        <x:v>自我教育与技能习得</x:v>
      </x:c>
      <x:c r="E130" s="29" t="str">
        <x:v>Scott H Young</x:v>
      </x:c>
      <x:c r="F130" s="29" t="str"/>
      <x:c r="G130" s="29" t="str">
        <x:v>观点源</x:v>
      </x:c>
      <x:c r="H130" s="29" t="str">
        <x:v>学习策略、技能习得、职业思考、读书与个人实验</x:v>
      </x:c>
      <x:c r="I130" s="29" t="str">
        <x:v>https://www.scotthyoung.com/blog/</x:v>
      </x:c>
      <x:c r="J130" s="29" t="str">
        <x:v>https://www.scotthyoung.com/blog/feed/</x:v>
      </x:c>
      <x:c r="K130" s="29" t="str">
        <x:v>有效</x:v>
      </x:c>
      <x:c r="L130" s="29" t="str">
        <x:v>把一个技能拆成练习回路、反馈机制与常见失败点。</x:v>
      </x:c>
      <x:c r="M130" s="29" t="str">
        <x:v>长期记录学习项目与方法论，能提供完整过程、失败经验和可测试建议。</x:v>
      </x:c>
      <x:c r="N130" s="29" t="str">
        <x:v>2026-08-17：官方RSS返回200和有效XML；个人实验不能直接视为普遍因果证据。</x:v>
      </x:c>
    </x:row>
    <x:row r="131" ht="50" customHeight="1">
      <x:c r="A131" s="29" t="str">
        <x:v>C</x:v>
      </x:c>
      <x:c r="B131" s="29" t="n">
        <x:v>77</x:v>
      </x:c>
      <x:c r="C131" s="29" t="str">
        <x:v>商业、管理与创新</x:v>
      </x:c>
      <x:c r="D131" s="29" t="str">
        <x:v>公司史与战略案例</x:v>
      </x:c>
      <x:c r="E131" s="29" t="str">
        <x:v>Acquired</x:v>
      </x:c>
      <x:c r="F131" s="29" t="str"/>
      <x:c r="G131" s="29" t="str">
        <x:v>观点源</x:v>
      </x:c>
      <x:c r="H131" s="29" t="str">
        <x:v>长篇公司历史、战略、并购、创始人访谈与商业模型</x:v>
      </x:c>
      <x:c r="I131" s="29" t="str">
        <x:v>https://www.acquired.fm/</x:v>
      </x:c>
      <x:c r="J131" s="29" t="str">
        <x:v>https://feeds.transistor.fm/acquired</x:v>
      </x:c>
      <x:c r="K131" s="29" t="str">
        <x:v>有效</x:v>
      </x:c>
      <x:c r="L131" s="29" t="str">
        <x:v>把一家公司的关键转折点做成时间线，并区分当时信息与事后解释。</x:v>
      </x:c>
      <x:c r="M131" s="29" t="str">
        <x:v>单集常做数十小时研究，用公司发展全过程解释战略选择和产业结构。</x:v>
      </x:c>
      <x:c r="N131" s="29" t="str">
        <x:v>2026-08-17：官方Transistor RSS返回200和有效XML；属于二手综合叙事，关键事实需核对财报、档案或当事人材料。</x:v>
      </x:c>
    </x:row>
    <x:row r="132" ht="50" customHeight="1">
      <x:c r="A132" s="29" t="str">
        <x:v>C</x:v>
      </x:c>
      <x:c r="B132" s="29" t="n">
        <x:v>77</x:v>
      </x:c>
      <x:c r="C132" s="29" t="str">
        <x:v>商业、管理与创新</x:v>
      </x:c>
      <x:c r="D132" s="29" t="str">
        <x:v>创业与公司建设</x:v>
      </x:c>
      <x:c r="E132" s="29" t="str">
        <x:v>First Round Review</x:v>
      </x:c>
      <x:c r="F132" s="29" t="str"/>
      <x:c r="G132" s="29" t="str">
        <x:v>观点源</x:v>
      </x:c>
      <x:c r="H132" s="29" t="str">
        <x:v>创始人和高管深访、产品市场契合、招聘、管理与增长手册</x:v>
      </x:c>
      <x:c r="I132" s="29" t="str">
        <x:v>https://review.firstround.com/</x:v>
      </x:c>
      <x:c r="J132" s="29" t="str"/>
      <x:c r="K132" s="29" t="str">
        <x:v>无RSS/API入口</x:v>
      </x:c>
      <x:c r="L132" s="29" t="str">
        <x:v>将一个公司实践拆成背景、关键决策、指标和可迁移做法。</x:v>
      </x:c>
      <x:c r="M132" s="29" t="str">
        <x:v>强调由一线建设者讲清具体做法，案例细节和可复用模板密度很高。</x:v>
      </x:c>
      <x:c r="N132" s="29" t="str">
        <x:v>2026-08-17：官网返回200；未发现文章统一RSS，按平台收录。来源由风投机构运营，需注意成功案例选择偏差。</x:v>
      </x:c>
    </x:row>
    <x:row r="133" ht="50" customHeight="1">
      <x:c r="A133" s="29" t="str">
        <x:v>C</x:v>
      </x:c>
      <x:c r="B133" s="29" t="n">
        <x:v>77</x:v>
      </x:c>
      <x:c r="C133" s="29" t="str">
        <x:v>商业、管理与创新</x:v>
      </x:c>
      <x:c r="D133" s="29" t="str">
        <x:v>创始人访谈与创业故事</x:v>
      </x:c>
      <x:c r="E133" s="29" t="str">
        <x:v>How I Built This</x:v>
      </x:c>
      <x:c r="F133" s="29" t="str"/>
      <x:c r="G133" s="29" t="str">
        <x:v>观点源</x:v>
      </x:c>
      <x:c r="H133" s="29" t="str">
        <x:v>创始人长访谈、品牌起源、失败、转折与公司建设</x:v>
      </x:c>
      <x:c r="I133" s="29" t="str">
        <x:v>https://www.npr.org/series/490248027/how-i-built-this</x:v>
      </x:c>
      <x:c r="J133" s="29" t="str">
        <x:v>https://rss.art19.com/how-i-built-this</x:v>
      </x:c>
      <x:c r="K133" s="29" t="str">
        <x:v>重定向后有效</x:v>
      </x:c>
      <x:c r="L133" s="29" t="str">
        <x:v>从创始人口述提炼一次失败、一次转折和一条反成功学教训。</x:v>
      </x:c>
      <x:c r="M133" s="29" t="str">
        <x:v>高质量口述商业史，能提供细节、情绪和关键决策，适合人本化的商业内容。</x:v>
      </x:c>
      <x:c r="N133" s="29" t="str">
        <x:v>2026-08-17：NPR官方Feed返回200并重定向至有效Art19 RSS；创始人回忆存在叙事和幸存者偏差。</x:v>
      </x:c>
    </x:row>
    <x:row r="134" ht="50" customHeight="1">
      <x:c r="A134" s="29" t="str">
        <x:v>C</x:v>
      </x:c>
      <x:c r="B134" s="29" t="n">
        <x:v>77</x:v>
      </x:c>
      <x:c r="C134" s="29" t="str">
        <x:v>商业、管理与创新</x:v>
      </x:c>
      <x:c r="D134" s="29" t="str">
        <x:v>创业、组织与科技趋势</x:v>
      </x:c>
      <x:c r="E134" s="29" t="str">
        <x:v>Sequoia Capital Stories</x:v>
      </x:c>
      <x:c r="F134" s="29" t="str"/>
      <x:c r="G134" s="29" t="str">
        <x:v>观点源</x:v>
      </x:c>
      <x:c r="H134" s="29" t="str">
        <x:v>投资人观点、创始人故事、公司建设、市场与技术趋势</x:v>
      </x:c>
      <x:c r="I134" s="29" t="str">
        <x:v>https://sequoiacap.com/stories/?_story-category=perspective</x:v>
      </x:c>
      <x:c r="J134" s="29" t="str"/>
      <x:c r="K134" s="29" t="str">
        <x:v>无RSS/API入口</x:v>
      </x:c>
      <x:c r="L134" s="29" t="str">
        <x:v>引用具体公司历程或投资判断，并加入反方数据。</x:v>
      </x:c>
      <x:c r="M134" s="29" t="str">
        <x:v>提供长期创业观察、标志性公司案例和投资人的明确判断，适合形成可争辩观点。</x:v>
      </x:c>
      <x:c r="N134" s="29" t="str">
        <x:v>2026-08-17：Stories页面返回200；未发现稳定官方RSS。属于投资机构自有叙事，应标注利益关系和幸存者偏差。</x:v>
      </x:c>
    </x:row>
    <x:row r="135" ht="50" customHeight="1">
      <x:c r="A135" s="29" t="str">
        <x:v>C</x:v>
      </x:c>
      <x:c r="B135" s="29" t="n">
        <x:v>77</x:v>
      </x:c>
      <x:c r="C135" s="29" t="str">
        <x:v>商业、管理与创新</x:v>
      </x:c>
      <x:c r="D135" s="29" t="str">
        <x:v>创业教育与案例</x:v>
      </x:c>
      <x:c r="E135" s="29" t="str">
        <x:v>Stanford eCorner</x:v>
      </x:c>
      <x:c r="F135" s="29" t="str"/>
      <x:c r="G135" s="29" t="str">
        <x:v>观点源</x:v>
      </x:c>
      <x:c r="H135" s="29" t="str">
        <x:v>创业者演讲、课堂内容、视频、播客和主题合集</x:v>
      </x:c>
      <x:c r="I135" s="29" t="str">
        <x:v>https://stvp.stanford.edu/ecorner</x:v>
      </x:c>
      <x:c r="J135" s="29" t="str"/>
      <x:c r="K135" s="29" t="str">
        <x:v>无RSS/API入口</x:v>
      </x:c>
      <x:c r="L135" s="29" t="str">
        <x:v>从一段创业者原话延伸出案例时间线和可迁移经验。</x:v>
      </x:c>
      <x:c r="M135" s="29" t="str">
        <x:v>斯坦福技术创业项目的长期公开档案，可用来对比不同时代的创业方法和失败经验。</x:v>
      </x:c>
      <x:c r="N135" s="29" t="str">
        <x:v>2026-08-17：旧ecorner域名重定向到STVP官网并返回200；旧RSS路径已404，按平台收录。</x:v>
      </x:c>
    </x:row>
    <x:row r="136" ht="50" customHeight="1">
      <x:c r="A136" s="29" t="str">
        <x:v>C</x:v>
      </x:c>
      <x:c r="B136" s="29" t="n">
        <x:v>75</x:v>
      </x:c>
      <x:c r="C136" s="29" t="str">
        <x:v>成长与学习</x:v>
      </x:c>
      <x:c r="D136" s="29" t="str">
        <x:v>产品、增长与职业</x:v>
      </x:c>
      <x:c r="E136" s="29" t="str">
        <x:v>Lenny's Newsletter</x:v>
      </x:c>
      <x:c r="F136" s="29" t="str"/>
      <x:c r="G136" s="29" t="str">
        <x:v>观点源</x:v>
      </x:c>
      <x:c r="H136" s="29" t="str">
        <x:v>产品管理、增长、公司建设、职业问答与从业者访谈</x:v>
      </x:c>
      <x:c r="I136" s="29" t="str">
        <x:v>https://www.lennysnewsletter.com/</x:v>
      </x:c>
      <x:c r="J136" s="29" t="str">
        <x:v>https://www.lennysnewsletter.com/feed</x:v>
      </x:c>
      <x:c r="K136" s="29" t="str">
        <x:v>有效</x:v>
      </x:c>
      <x:c r="L136" s="29" t="str">
        <x:v>围绕一个产品问题总结多位一线操盘者的共识与分歧。</x:v>
      </x:c>
      <x:c r="M136" s="29" t="str">
        <x:v>以大型从业者网络和案例访谈见长，适合提炼产品团队的可执行方法。</x:v>
      </x:c>
      <x:c r="N136" s="29" t="str">
        <x:v>2026-08-17：官方Substack RSS返回200和有效XML；案例成功经验需警惕选择偏差。</x:v>
      </x:c>
    </x:row>
    <x:row r="137" ht="50" customHeight="1">
      <x:c r="A137" s="29" t="str">
        <x:v>C</x:v>
      </x:c>
      <x:c r="B137" s="29" t="n">
        <x:v>75</x:v>
      </x:c>
      <x:c r="C137" s="29" t="str">
        <x:v>商业、管理与创新</x:v>
      </x:c>
      <x:c r="D137" s="29" t="str">
        <x:v>创业、产品与组织</x:v>
      </x:c>
      <x:c r="E137" s="29" t="str">
        <x:v>gilesthomas.com</x:v>
      </x:c>
      <x:c r="F137" s="29" t="str">
        <x:v>Giles Thomas</x:v>
      </x:c>
      <x:c r="G137" s="29" t="str">
        <x:v>观点源</x:v>
      </x:c>
      <x:c r="H137" s="29" t="str">
        <x:v>独立博客 / 长文</x:v>
      </x:c>
      <x:c r="I137" s="29" t="str">
        <x:v>https://gilesthomas.com</x:v>
      </x:c>
      <x:c r="J137" s="29" t="str">
        <x:v>https://www.gilesthomas.com/feed/rss.xml</x:v>
      </x:c>
      <x:c r="K137" s="29" t="str">
        <x:v>重定向后有效</x:v>
      </x:c>
      <x:c r="L137" s="29" t="str">
        <x:v>创业经验、产品判断、工程管理</x:v>
      </x:c>
      <x:c r="M137" s="29" t="str">
        <x:v>2025 年 Hacker News 高热个人博客。作者背景：Developer and entrepreneur。</x:v>
      </x:c>
      <x:c r="N137" s="29" t="str">
        <x:v>独立作者源；事实、数字和因果需回到论文、文档或数据。观点须明确归因。</x:v>
      </x:c>
    </x:row>
    <x:row r="138" ht="50" customHeight="1">
      <x:c r="A138" s="29" t="str">
        <x:v>C</x:v>
      </x:c>
      <x:c r="B138" s="29" t="n">
        <x:v>75</x:v>
      </x:c>
      <x:c r="C138" s="29" t="str">
        <x:v>商业、管理与创新</x:v>
      </x:c>
      <x:c r="D138" s="29" t="str">
        <x:v>创业、产品与组织</x:v>
      </x:c>
      <x:c r="E138" s="29" t="str">
        <x:v>keygen.sh</x:v>
      </x:c>
      <x:c r="F138" s="29" t="str">
        <x:v>Zeke Gabrielse</x:v>
      </x:c>
      <x:c r="G138" s="29" t="str">
        <x:v>观点源</x:v>
      </x:c>
      <x:c r="H138" s="29" t="str">
        <x:v>独立博客 / 长文</x:v>
      </x:c>
      <x:c r="I138" s="29" t="str">
        <x:v>https://keygen.sh</x:v>
      </x:c>
      <x:c r="J138" s="29" t="str">
        <x:v>https://keygen.sh/blog/feed.xml</x:v>
      </x:c>
      <x:c r="K138" s="29" t="str">
        <x:v>有效</x:v>
      </x:c>
      <x:c r="L138" s="29" t="str">
        <x:v>创业经验、产品判断、工程管理</x:v>
      </x:c>
      <x:c r="M138" s="29" t="str">
        <x:v>2025 年 Hacker News 高热个人博客。作者背景：Founder of Keygen。</x:v>
      </x:c>
      <x:c r="N138" s="29" t="str">
        <x:v>独立作者源；事实、数字和因果需回到论文、文档或数据。观点须明确归因。</x:v>
      </x:c>
    </x:row>
    <x:row r="139" ht="50" customHeight="1">
      <x:c r="A139" s="29" t="str">
        <x:v>C</x:v>
      </x:c>
      <x:c r="B139" s="29" t="n">
        <x:v>75</x:v>
      </x:c>
      <x:c r="C139" s="29" t="str">
        <x:v>商业、管理与创新</x:v>
      </x:c>
      <x:c r="D139" s="29" t="str">
        <x:v>设计、HCI 与创意技术</x:v>
      </x:c>
      <x:c r="E139" s="29" t="str">
        <x:v>paulgraham.com</x:v>
      </x:c>
      <x:c r="F139" s="29" t="str">
        <x:v>Paul Graham</x:v>
      </x:c>
      <x:c r="G139" s="29" t="str">
        <x:v>观点源</x:v>
      </x:c>
      <x:c r="H139" s="29" t="str">
        <x:v>独立博客 / 长文</x:v>
      </x:c>
      <x:c r="I139" s="29" t="str">
        <x:v>https://paulgraham.com</x:v>
      </x:c>
      <x:c r="J139" s="29" t="str">
        <x:v>http://www.aaronsw.com/2002/feeds/pgessays.rss</x:v>
      </x:c>
      <x:c r="K139" s="29" t="str">
        <x:v>有效</x:v>
      </x:c>
      <x:c r="L139" s="29" t="str">
        <x:v>界面/设计原则、作品拆解、创意技术</x:v>
      </x:c>
      <x:c r="M139" s="29" t="str">
        <x:v>2025 年 Hacker News 高热个人博客。作者背景：Co-founder of Y Combinator, entrepreneur, and essayist。</x:v>
      </x:c>
      <x:c r="N139" s="29" t="str">
        <x:v>独立作者源；事实、数字和因果需回到论文、文档或数据。观点须明确归因。</x:v>
      </x:c>
    </x:row>
    <x:row r="140" ht="50" customHeight="1">
      <x:c r="A140" s="29" t="str">
        <x:v>C</x:v>
      </x:c>
      <x:c r="B140" s="29" t="n">
        <x:v>75</x:v>
      </x:c>
      <x:c r="C140" s="29" t="str">
        <x:v>商业、管理与创新</x:v>
      </x:c>
      <x:c r="D140" s="29" t="str">
        <x:v>设计、HCI 与创意技术</x:v>
      </x:c>
      <x:c r="E140" s="29" t="str">
        <x:v>steveblank.com</x:v>
      </x:c>
      <x:c r="F140" s="29" t="str">
        <x:v>Steve Blank</x:v>
      </x:c>
      <x:c r="G140" s="29" t="str">
        <x:v>观点源</x:v>
      </x:c>
      <x:c r="H140" s="29" t="str">
        <x:v>独立博客 / 长文</x:v>
      </x:c>
      <x:c r="I140" s="29" t="str">
        <x:v>https://steveblank.com</x:v>
      </x:c>
      <x:c r="J140" s="29" t="str">
        <x:v>https://steveblank.com/feed/</x:v>
      </x:c>
      <x:c r="K140" s="29" t="str">
        <x:v>有效</x:v>
      </x:c>
      <x:c r="L140" s="29" t="str">
        <x:v>界面/设计原则、作品拆解、创意技术</x:v>
      </x:c>
      <x:c r="M140" s="29" t="str">
        <x:v>2025 年 Hacker News 高热个人博客。作者背景：Entrepreneur and educator。</x:v>
      </x:c>
      <x:c r="N140" s="29" t="str">
        <x:v>独立作者源；事实、数字和因果需回到论文、文档或数据。观点须明确归因。</x:v>
      </x:c>
    </x:row>
    <x:row r="141" ht="50" customHeight="1">
      <x:c r="A141" s="29" t="str">
        <x:v>C</x:v>
      </x:c>
      <x:c r="B141" s="29" t="n">
        <x:v>70</x:v>
      </x:c>
      <x:c r="C141" s="29" t="str">
        <x:v>商业、管理与创新</x:v>
      </x:c>
      <x:c r="D141" s="29" t="str">
        <x:v>科技投资与产业分析</x:v>
      </x:c>
      <x:c r="E141" s="29" t="str">
        <x:v>a16z</x:v>
      </x:c>
      <x:c r="F141" s="29" t="str"/>
      <x:c r="G141" s="29" t="str">
        <x:v>线索源</x:v>
      </x:c>
      <x:c r="H141" s="29" t="str">
        <x:v>投资论文、市场地图、创业方法、播客和公司案例</x:v>
      </x:c>
      <x:c r="I141" s="29" t="str">
        <x:v>https://a16z.com/</x:v>
      </x:c>
      <x:c r="J141" s="29" t="str"/>
      <x:c r="K141" s="29" t="str">
        <x:v>无RSS/API入口</x:v>
      </x:c>
      <x:c r="L141" s="29" t="str">
        <x:v>用市场地图发现赛道，再以独立数据校验规模和趋势。</x:v>
      </x:c>
      <x:c r="M141" s="29" t="str">
        <x:v>覆盖AI、软件、金融科技、生物科技和创业生态，常发布原创框架与市场材料。</x:v>
      </x:c>
      <x:c r="N141" s="29" t="str">
        <x:v>2026-08-17：官网返回200；旧/feed/为404，按平台收录。属于投资机构观点，涉及其投资组合时必须披露并交叉核验。</x:v>
      </x:c>
    </x:row>
    <x:row r="142" ht="50" customHeight="1">
      <x:c r="A142" s="29" t="str">
        <x:v>C</x:v>
      </x:c>
      <x:c r="B142" s="29" t="n">
        <x:v>70</x:v>
      </x:c>
      <x:c r="C142" s="29" t="str">
        <x:v>商业、管理与创新</x:v>
      </x:c>
      <x:c r="D142" s="29" t="str">
        <x:v>经济学文献数据库</x:v>
      </x:c>
      <x:c r="E142" s="29" t="str">
        <x:v>IDEAS/RePEc</x:v>
      </x:c>
      <x:c r="F142" s="29" t="str"/>
      <x:c r="G142" s="29" t="str">
        <x:v>线索源</x:v>
      </x:c>
      <x:c r="H142" s="29" t="str">
        <x:v>学术文献数据库</x:v>
      </x:c>
      <x:c r="I142" s="29" t="str">
        <x:v>https://ideas.repec.org/</x:v>
      </x:c>
      <x:c r="J142" s="29" t="str"/>
      <x:c r="K142" s="29" t="str">
        <x:v>无RSS/API入口</x:v>
      </x:c>
      <x:c r="L142" s="29" t="str">
        <x:v>经济学溯源、作者与机构发现</x:v>
      </x:c>
      <x:c r="M142" s="29" t="str">
        <x:v>覆盖工作论文、期刊、作者与机构排名。</x:v>
      </x:c>
      <x:c r="N142" s="29" t="str">
        <x:v>使用前核对数据口径、更新时间、许可与引用格式。</x:v>
      </x:c>
    </x:row>
    <x:row r="143" ht="50" customHeight="1">
      <x:c r="A143" s="29" t="str">
        <x:v>C</x:v>
      </x:c>
      <x:c r="B143" s="29" t="n">
        <x:v>70</x:v>
      </x:c>
      <x:c r="C143" s="29" t="str">
        <x:v>心理、认知与情商</x:v>
      </x:c>
      <x:c r="D143" s="29" t="str">
        <x:v>心理、哲学与生活实践</x:v>
      </x:c>
      <x:c r="E143" s="29" t="str">
        <x:v>Psyche</x:v>
      </x:c>
      <x:c r="F143" s="29" t="str"/>
      <x:c r="G143" s="29" t="str">
        <x:v>灵感源</x:v>
      </x:c>
      <x:c r="H143" s="29" t="str">
        <x:v>编辑策划长文与实践指南</x:v>
      </x:c>
      <x:c r="I143" s="29" t="str">
        <x:v>https://psyche.co/</x:v>
      </x:c>
      <x:c r="J143" s="29" t="str">
        <x:v>https://psyche.co/feed.rss</x:v>
      </x:c>
      <x:c r="K143" s="29" t="str">
        <x:v>有效</x:v>
      </x:c>
      <x:c r="L143" s="29" t="str">
        <x:v>一个心理误区加三条研究支持的行动建议。；获取概念框架、写作角度和实践问题；科学主张不单独依赖该来源。</x:v>
      </x:c>
      <x:c r="M143" s="29" t="str">
        <x:v>以心理学、哲学和人文视角解释心智与生活，适合作为跨学科表达和叙事素材。</x:v>
      </x:c>
      <x:c r="N143" s="29" t="str">
        <x:v>2026-08-17：官网页明确提供 RSS，端点返回 application/rss+xml。；2026-08-17：主页 200；官方 RSS 200，XML 已确认。</x:v>
      </x:c>
    </x:row>
    <x:row r="144" ht="50" customHeight="1">
      <x:c r="A144" s="29" t="str">
        <x:v>C</x:v>
      </x:c>
      <x:c r="B144" s="29" t="n">
        <x:v>69</x:v>
      </x:c>
      <x:c r="C144" s="29" t="str">
        <x:v>商业、管理与创新</x:v>
      </x:c>
      <x:c r="D144" s="29" t="str">
        <x:v>公司深度分析与科技趋势</x:v>
      </x:c>
      <x:c r="E144" s="29" t="str">
        <x:v>Not Boring</x:v>
      </x:c>
      <x:c r="F144" s="29" t="str"/>
      <x:c r="G144" s="29" t="str">
        <x:v>灵感源</x:v>
      </x:c>
      <x:c r="H144" s="29" t="str">
        <x:v>公司分析、市场叙事、科技趋势、投资论点与访谈</x:v>
      </x:c>
      <x:c r="I144" s="29" t="str">
        <x:v>https://www.notboring.co/</x:v>
      </x:c>
      <x:c r="J144" s="29" t="str">
        <x:v>https://www.notboring.co/feed</x:v>
      </x:c>
      <x:c r="K144" s="29" t="str">
        <x:v>有效</x:v>
      </x:c>
      <x:c r="L144" s="29" t="str">
        <x:v>从公司故事提炼为什么现在、商业飞轮与关键风险。</x:v>
      </x:c>
      <x:c r="M144" s="29" t="str">
        <x:v>叙事能力强、常深入具体公司和新市场，适合作为选题雷达与正方论证样本。</x:v>
      </x:c>
      <x:c r="N144" s="29" t="str">
        <x:v>2026-08-17：官方Substack RSS返回200和有效XML；作者可能持有或投资所写公司，引用前查披露并加入反方证据。</x:v>
      </x:c>
    </x:row>
    <x:row r="145" ht="50" customHeight="1">
      <x:c r="A145" s="29" t="str">
        <x:v>C</x:v>
      </x:c>
      <x:c r="B145" s="29" t="n">
        <x:v>65</x:v>
      </x:c>
      <x:c r="C145" s="29" t="str">
        <x:v>健康与福祉</x:v>
      </x:c>
      <x:c r="D145" s="29" t="str">
        <x:v>心血管健康与学会声明</x:v>
      </x:c>
      <x:c r="E145" s="29" t="str">
        <x:v>American Heart Association Newsroom</x:v>
      </x:c>
      <x:c r="F145" s="29" t="str"/>
      <x:c r="G145" s="29" t="str">
        <x:v>线索源</x:v>
      </x:c>
      <x:c r="H145" s="29" t="str">
        <x:v>心血管研究新闻、科学声明、指南和公共健康传播</x:v>
      </x:c>
      <x:c r="I145" s="29" t="str">
        <x:v>https://newsroom.heart.org/</x:v>
      </x:c>
      <x:c r="J145" s="29" t="str">
        <x:v>https://newsroom.heart.org/rss.xml</x:v>
      </x:c>
      <x:c r="K145" s="29" t="str">
        <x:v>有效</x:v>
      </x:c>
      <x:c r="L145" s="29" t="str">
        <x:v>心血管风险、指南变化、研究快讯、生活方式证据</x:v>
      </x:c>
      <x:c r="M145" s="29" t="str">
        <x:v>连接学会指南、科学声明和最新研究，适合高频心血管健康议题。</x:v>
      </x:c>
      <x:c r="N145" s="29" t="str">
        <x:v>2026-08-17 实测主页 200，官方 RSS 可解析。新闻稿应继续追到科学声明、指南或论文；风险信息不替代个体医疗建议。</x:v>
      </x:c>
    </x:row>
    <x:row r="146" ht="50" customHeight="1">
      <x:c r="A146" s="29" t="str">
        <x:v>C</x:v>
      </x:c>
      <x:c r="B146" s="29" t="n">
        <x:v>65</x:v>
      </x:c>
      <x:c r="C146" s="29" t="str">
        <x:v>健康与福祉</x:v>
      </x:c>
      <x:c r="D146" s="29" t="str">
        <x:v>循证医学动态</x:v>
      </x:c>
      <x:c r="E146" s="29" t="str">
        <x:v>Cochrane News</x:v>
      </x:c>
      <x:c r="F146" s="29" t="str"/>
      <x:c r="G146" s="29" t="str">
        <x:v>线索源</x:v>
      </x:c>
      <x:c r="H146" s="29" t="str">
        <x:v>系统综述动态、证据方法、政策与机构新闻</x:v>
      </x:c>
      <x:c r="I146" s="29" t="str">
        <x:v>https://www.cochrane.org/about-us/news</x:v>
      </x:c>
      <x:c r="J146" s="29" t="str">
        <x:v>https://www.cochrane.org/about-us/news/all/rss</x:v>
      </x:c>
      <x:c r="K146" s="29" t="str">
        <x:v>有效</x:v>
      </x:c>
      <x:c r="L146" s="29" t="str">
        <x:v>系统综述速递、证据等级、医疗误区纠偏</x:v>
      </x:c>
      <x:c r="M146" s="29" t="str">
        <x:v>用来追踪高等级证据的新综述和循证医学方法更新。</x:v>
      </x:c>
      <x:c r="N146" s="29" t="str">
        <x:v>2026-08-17 实测主页 200，官方 RSS 可解析。新闻稿仅是入口，关键结论应链接对应 Cochrane Review；不替代个体医疗建议。</x:v>
      </x:c>
    </x:row>
    <x:row r="147" ht="50" customHeight="1">
      <x:c r="A147" s="29" t="str">
        <x:v>C</x:v>
      </x:c>
      <x:c r="B147" s="29" t="n">
        <x:v>65</x:v>
      </x:c>
      <x:c r="C147" s="29" t="str">
        <x:v>健康与福祉</x:v>
      </x:c>
      <x:c r="D147" s="29" t="str">
        <x:v>医学科研</x:v>
      </x:c>
      <x:c r="E147" s="29" t="str">
        <x:v>NIH News Releases</x:v>
      </x:c>
      <x:c r="F147" s="29" t="str"/>
      <x:c r="G147" s="29" t="str">
        <x:v>线索源</x:v>
      </x:c>
      <x:c r="H147" s="29" t="str">
        <x:v>NIH 资助研究、临床试验、科研计划与机构公告</x:v>
      </x:c>
      <x:c r="I147" s="29" t="str">
        <x:v>https://www.nih.gov/news-events/news-releases</x:v>
      </x:c>
      <x:c r="J147" s="29" t="str">
        <x:v>https://www.nih.gov/news-events/news-releases/rss.xml</x:v>
      </x:c>
      <x:c r="K147" s="29" t="str">
        <x:v>受限/反爬</x:v>
      </x:c>
      <x:c r="L147" s="29" t="str">
        <x:v>新研究速读、科研资助、临床进展</x:v>
      </x:c>
      <x:c r="M147" s="29" t="str">
        <x:v>可快速定位美国国家级生物医学研究的一手新闻，并回溯论文或项目。</x:v>
      </x:c>
      <x:c r="N147" s="29" t="str">
        <x:v>官方页面与 RSS 已确认；2026-08-17 自动请求返回 403 反爬页，浏览器检索可达。发帖应继续追到论文或试验记录；不替代个体医疗建议。；端点未返回可识别的 RSS/Atom XML；可能是反爬、登录页或旧地址。</x:v>
      </x:c>
    </x:row>
    <x:row r="148" ht="50" customHeight="1">
      <x:c r="A148" s="29" t="str">
        <x:v>C</x:v>
      </x:c>
      <x:c r="B148" s="29" t="n">
        <x:v>65</x:v>
      </x:c>
      <x:c r="C148" s="29" t="str">
        <x:v>健康与福祉</x:v>
      </x:c>
      <x:c r="D148" s="29" t="str">
        <x:v>精神医学专业新闻</x:v>
      </x:c>
      <x:c r="E148" s="29" t="str">
        <x:v>Psychiatric News</x:v>
      </x:c>
      <x:c r="F148" s="29" t="str"/>
      <x:c r="G148" s="29" t="str">
        <x:v>线索源</x:v>
      </x:c>
      <x:c r="H148" s="29" t="str">
        <x:v>美国精神医学学会新闻、政策、临床研究与专业实践</x:v>
      </x:c>
      <x:c r="I148" s="29" t="str">
        <x:v>https://psychiatryonline.org/journal/pn</x:v>
      </x:c>
      <x:c r="J148" s="29" t="str">
        <x:v>https://psychiatryonline.org/action/showFeed?jc=pn&amp;type=etoc&amp;feed=rss</x:v>
      </x:c>
      <x:c r="K148" s="29" t="str">
        <x:v>有效</x:v>
      </x:c>
      <x:c r="L148" s="29" t="str">
        <x:v>政策变化、临床实践、专业观点与研究线索</x:v>
      </x:c>
      <x:c r="M148" s="29" t="str">
        <x:v>了解精神医学政策和专业讨论的高质量线索源，可回溯到指南与论文。</x:v>
      </x:c>
      <x:c r="N148" s="29" t="str">
        <x:v>2026-08-17 官方 RSS 返回可解析 XML；主页自动请求触发 403。新闻报道应继续链接原论文或 APA 指南；不用于自我诊断或个体治疗建议。</x:v>
      </x:c>
    </x:row>
    <x:row r="149" ht="50" customHeight="1">
      <x:c r="A149" s="29" t="str">
        <x:v>C</x:v>
      </x:c>
      <x:c r="B149" s="29" t="n">
        <x:v>65</x:v>
      </x:c>
      <x:c r="C149" s="29" t="str">
        <x:v>商业、管理与创新</x:v>
      </x:c>
      <x:c r="D149" s="29" t="str">
        <x:v>经济学、决策与社会趋势</x:v>
      </x:c>
      <x:c r="E149" s="29" t="str">
        <x:v>Marginal Revolution</x:v>
      </x:c>
      <x:c r="F149" s="29" t="str"/>
      <x:c r="G149" s="29" t="str">
        <x:v>线索源</x:v>
      </x:c>
      <x:c r="H149" s="29" t="str">
        <x:v>经济学评论、论文推荐、数据、书评、政策与链接策展</x:v>
      </x:c>
      <x:c r="I149" s="29" t="str">
        <x:v>https://marginalrevolution.com/</x:v>
      </x:c>
      <x:c r="J149" s="29" t="str">
        <x:v>https://marginalrevolution.com/feed</x:v>
      </x:c>
      <x:c r="K149" s="29" t="str">
        <x:v>有效</x:v>
      </x:c>
      <x:c r="L149" s="29" t="str">
        <x:v>经济直觉、书摘和趋势假设，并用数据源交叉验证。；从一篇论文或数据点提出一个开放问题，并给出不同解释。</x:v>
      </x:c>
      <x:c r="M149" s="29" t="str">
        <x:v>高频发现经济学研究与反直觉问题，适合作为选题雷达和跨学科连接器。</x:v>
      </x:c>
      <x:c r="N149" s="29" t="str">
        <x:v>2026-08-17：Feed 端点返回 application/rss+xml。；2026-08-17：主页自动化访问受403限制，但官方RSS返回200和有效XML；博客观点与链接推荐需回到原始来源。</x:v>
      </x:c>
    </x:row>
    <x:row r="150" ht="50" customHeight="1">
      <x:c r="A150" s="29" t="str">
        <x:v>C</x:v>
      </x:c>
      <x:c r="B150" s="29" t="n">
        <x:v>65</x:v>
      </x:c>
      <x:c r="C150" s="29" t="str">
        <x:v>商业、管理与创新</x:v>
      </x:c>
      <x:c r="D150" s="29" t="str">
        <x:v>商业/地缘</x:v>
      </x:c>
      <x:c r="E150" s="29" t="str">
        <x:v>PolyMatter</x:v>
      </x:c>
      <x:c r="F150" s="29" t="str"/>
      <x:c r="G150" s="29" t="str">
        <x:v>线索源</x:v>
      </x:c>
      <x:c r="H150" s="29" t="str">
        <x:v>视频 / 频道</x:v>
      </x:c>
      <x:c r="I150" s="29" t="str">
        <x:v>https://www.youtube.com/channel/UCgNg3vwj3xt7QOrcIDaHdFg</x:v>
      </x:c>
      <x:c r="J150" s="29" t="str">
        <x:v>https://www.youtube.com/feeds/videos.xml?channel_id=UCgNg3vwj3xt7QOrcIDaHdFg</x:v>
      </x:c>
      <x:c r="K150" s="29" t="str">
        <x:v>有效</x:v>
      </x:c>
      <x:c r="L150" s="29" t="str">
        <x:v>视频观点拆解、概念科普、选题与案例线索</x:v>
      </x:c>
      <x:c r="M150" s="29" t="str">
        <x:v>高质量商业/地缘视频创作者，适合快速建立背景、观察叙事结构并发现可传播选题。</x:v>
      </x:c>
      <x:c r="N150" s="29" t="str">
        <x:v>强叙事二手源；数字、地图、因果与引语必须回查论文、数据或官方材料。</x:v>
      </x:c>
    </x:row>
    <x:row r="151" ht="50" customHeight="1">
      <x:c r="A151" s="29" t="str">
        <x:v>C</x:v>
      </x:c>
      <x:c r="B151" s="29" t="n">
        <x:v>65</x:v>
      </x:c>
      <x:c r="C151" s="29" t="str">
        <x:v>心理、认知与情商</x:v>
      </x:c>
      <x:c r="D151" s="29" t="str">
        <x:v>心理科学协会与研究新闻</x:v>
      </x:c>
      <x:c r="E151" s="29" t="str">
        <x:v>Association for Psychological Science（APS）</x:v>
      </x:c>
      <x:c r="F151" s="29" t="str"/>
      <x:c r="G151" s="29" t="str">
        <x:v>线索源</x:v>
      </x:c>
      <x:c r="H151" s="29" t="str">
        <x:v>专业协会 / 研究新闻</x:v>
      </x:c>
      <x:c r="I151" s="29" t="str">
        <x:v>https://www.psychologicalscience.org/</x:v>
      </x:c>
      <x:c r="J151" s="29" t="str">
        <x:v>https://www.psychologicalscience.org/feed</x:v>
      </x:c>
      <x:c r="K151" s="29" t="str">
        <x:v>有效</x:v>
      </x:c>
      <x:c r="L151" s="29" t="str">
        <x:v>用作新研究雷达；发帖引用时回链原论文，并用 APS 内容补充研究背景。</x:v>
      </x:c>
      <x:c r="M151" s="29" t="str">
        <x:v>覆盖心理学研究、方法与科学政策，适合发现可进一步追踪论文的高可信选题。</x:v>
      </x:c>
      <x:c r="N151" s="29" t="str">
        <x:v>2026-08-17：主页 200；RSS 200，已确认返回 RSS XML。</x:v>
      </x:c>
    </x:row>
    <x:row r="152" ht="50" customHeight="1">
      <x:c r="A152" s="29" t="str">
        <x:v>C</x:v>
      </x:c>
      <x:c r="B152" s="29" t="n">
        <x:v>65</x:v>
      </x:c>
      <x:c r="C152" s="29" t="str">
        <x:v>心理、认知与情商</x:v>
      </x:c>
      <x:c r="D152" s="29" t="str">
        <x:v>跨学科认知科学共同体</x:v>
      </x:c>
      <x:c r="E152" s="29" t="str">
        <x:v>Cognitive Science Society</x:v>
      </x:c>
      <x:c r="F152" s="29" t="str"/>
      <x:c r="G152" s="29" t="str">
        <x:v>线索源</x:v>
      </x:c>
      <x:c r="H152" s="29" t="str">
        <x:v>专业学会 / 会议与出版</x:v>
      </x:c>
      <x:c r="I152" s="29" t="str">
        <x:v>https://cognitivesciencesociety.org/</x:v>
      </x:c>
      <x:c r="J152" s="29" t="str">
        <x:v>https://cognitivesciencesociety.org/feed/</x:v>
      </x:c>
      <x:c r="K152" s="29" t="str">
        <x:v>有效</x:v>
      </x:c>
      <x:c r="L152" s="29" t="str">
        <x:v>追踪 CogSci 会议论文、学者与新议题；适合“人类认知 × AI”融合选题。</x:v>
      </x:c>
      <x:c r="M152" s="29" t="str">
        <x:v>连接心理学、语言学、哲学、神经科学、教育和 AI，是跨学科认知研究的重要入口。</x:v>
      </x:c>
      <x:c r="N152" s="29" t="str">
        <x:v>2026-08-17：主页 200；官方 RSS 200，XML 已确认。</x:v>
      </x:c>
    </x:row>
    <x:row r="153" ht="50" customHeight="1">
      <x:c r="A153" s="29" t="str">
        <x:v>C</x:v>
      </x:c>
      <x:c r="B153" s="29" t="n">
        <x:v>65</x:v>
      </x:c>
      <x:c r="C153" s="29" t="str">
        <x:v>心理、认知与情商</x:v>
      </x:c>
      <x:c r="D153" s="29" t="str">
        <x:v>开放获取心理学研究</x:v>
      </x:c>
      <x:c r="E153" s="29" t="str">
        <x:v>Frontiers in Psychology</x:v>
      </x:c>
      <x:c r="F153" s="29" t="str"/>
      <x:c r="G153" s="29" t="str">
        <x:v>线索源</x:v>
      </x:c>
      <x:c r="H153" s="29" t="str">
        <x:v>同行评审开放期刊</x:v>
      </x:c>
      <x:c r="I153" s="29" t="str">
        <x:v>https://www.frontiersin.org/journals/psychology</x:v>
      </x:c>
      <x:c r="J153" s="29" t="str">
        <x:v>https://www.frontiersin.org/journals/psychology/rss</x:v>
      </x:c>
      <x:c r="K153" s="29" t="str">
        <x:v>有效</x:v>
      </x:c>
      <x:c r="L153" s="29" t="str">
        <x:v>用关键词和栏目过滤；优先综述、注册报告和大样本研究，避免被高产量淹没。</x:v>
      </x:c>
      <x:c r="M153" s="29" t="str">
        <x:v>主题覆盖广、更新快且全文开放，适合早期发现研究，但需更严格检查设计与证据强度。</x:v>
      </x:c>
      <x:c r="N153" s="29" t="str">
        <x:v>2026-08-17：主页 200；官方 RSS 200，XML 已确认。</x:v>
      </x:c>
    </x:row>
    <x:row r="154" ht="50" customHeight="1">
      <x:c r="A154" s="29" t="str">
        <x:v>C</x:v>
      </x:c>
      <x:c r="B154" s="29" t="n">
        <x:v>65</x:v>
      </x:c>
      <x:c r="C154" s="29" t="str">
        <x:v>心理、认知与情商</x:v>
      </x:c>
      <x:c r="D154" s="29" t="str">
        <x:v>沉思科学与跨学科心智研究</x:v>
      </x:c>
      <x:c r="E154" s="29" t="str">
        <x:v>Mind &amp; Life Institute</x:v>
      </x:c>
      <x:c r="F154" s="29" t="str"/>
      <x:c r="G154" s="29" t="str">
        <x:v>线索源</x:v>
      </x:c>
      <x:c r="H154" s="29" t="str">
        <x:v>研究资助与跨学科平台</x:v>
      </x:c>
      <x:c r="I154" s="29" t="str">
        <x:v>https://www.mindandlife.org/</x:v>
      </x:c>
      <x:c r="J154" s="29" t="str"/>
      <x:c r="K154" s="29" t="str">
        <x:v>无RSS/API入口</x:v>
      </x:c>
      <x:c r="L154" s="29" t="str">
        <x:v>用于跨学科选题和研究者线索；对冥想、正念效果保持证据等级意识。</x:v>
      </x:c>
      <x:c r="M154" s="29" t="str">
        <x:v>连接认知科学、心理学、神经科学与沉思传统，适合寻找跨学科心智与福祉研究。</x:v>
      </x:c>
      <x:c r="N154" s="29" t="str">
        <x:v>2026-08-17：自动检查主页返回 403/CDN；官方页面仍可被搜索索引，建议网页或邮件订阅。</x:v>
      </x:c>
    </x:row>
    <x:row r="155" ht="50" customHeight="1">
      <x:c r="A155" s="29" t="str">
        <x:v>C</x:v>
      </x:c>
      <x:c r="B155" s="29" t="n">
        <x:v>65</x:v>
      </x:c>
      <x:c r="C155" s="29" t="str">
        <x:v>心理、认知与情商</x:v>
      </x:c>
      <x:c r="D155" s="29" t="str">
        <x:v>心理学预印本</x:v>
      </x:c>
      <x:c r="E155" s="29" t="str">
        <x:v>PsyArXiv</x:v>
      </x:c>
      <x:c r="F155" s="29" t="str"/>
      <x:c r="G155" s="29" t="str">
        <x:v>线索源</x:v>
      </x:c>
      <x:c r="H155" s="29" t="str">
        <x:v>预印本平台</x:v>
      </x:c>
      <x:c r="I155" s="29" t="str">
        <x:v>https://osf.io/preprints/psyarxiv/</x:v>
      </x:c>
      <x:c r="J155" s="29" t="str">
        <x:v>https://api.osf.io/v2/preprints/?filter[provider]=psyarxiv&amp;page[size]=10</x:v>
      </x:c>
      <x:c r="K155" s="29" t="str">
        <x:v>API入口</x:v>
      </x:c>
      <x:c r="L155" s="29" t="str">
        <x:v>只用于趋势和选题线索；明确标注“未同行评审”，待正式发表或多源验证后再作强结论。</x:v>
      </x:c>
      <x:c r="M155" s="29" t="str">
        <x:v>心理学开放预印本库，可比期刊更早捕捉新问题、方法与复制研究。</x:v>
      </x:c>
      <x:c r="N155" s="29" t="str">
        <x:v>2026-08-17：主页重定向至 OSF 后 200；OSF API 200，JSON 已确认。；未按 RSS/Atom 校验。</x:v>
      </x:c>
    </x:row>
    <x:row r="156" ht="50" customHeight="1">
      <x:c r="A156" s="29" t="str">
        <x:v>C</x:v>
      </x:c>
      <x:c r="B156" s="29" t="n">
        <x:v>65</x:v>
      </x:c>
      <x:c r="C156" s="29" t="str">
        <x:v>心理、认知与情商</x:v>
      </x:c>
      <x:c r="D156" s="29" t="str">
        <x:v>情绪与情感科学</x:v>
      </x:c>
      <x:c r="E156" s="29" t="str">
        <x:v>Society for Affective Science（SAS）</x:v>
      </x:c>
      <x:c r="F156" s="29" t="str"/>
      <x:c r="G156" s="29" t="str">
        <x:v>线索源</x:v>
      </x:c>
      <x:c r="H156" s="29" t="str">
        <x:v>专业学会</x:v>
      </x:c>
      <x:c r="I156" s="29" t="str">
        <x:v>https://society-for-affective-science.org/</x:v>
      </x:c>
      <x:c r="J156" s="29" t="str">
        <x:v>https://society-for-affective-science.org/feed/</x:v>
      </x:c>
      <x:c r="K156" s="29" t="str">
        <x:v>有效</x:v>
      </x:c>
      <x:c r="L156" s="29" t="str">
        <x:v>作为情绪科学新论文、学者与会议线索源；核心结论继续下钻期刊论文。</x:v>
      </x:c>
      <x:c r="M156" s="29" t="str">
        <x:v>聚焦情绪、压力、动机和评价过程，提供会议、期刊与领域研究网络的一手动态。</x:v>
      </x:c>
      <x:c r="N156" s="29" t="str">
        <x:v>2026-08-17：主页 200；官方 RSS 200，XML 已确认。</x:v>
      </x:c>
    </x:row>
    <x:row r="157" ht="50" customHeight="1">
      <x:c r="A157" s="29" t="str">
        <x:v>C</x:v>
      </x:c>
      <x:c r="B157" s="29" t="n">
        <x:v>65</x:v>
      </x:c>
      <x:c r="C157" s="29" t="str">
        <x:v>心理、认知与情商</x:v>
      </x:c>
      <x:c r="D157" s="29" t="str">
        <x:v>人格与社会心理学共同体</x:v>
      </x:c>
      <x:c r="E157" s="29" t="str">
        <x:v>Society for Personality and Social Psychology（SPSP）</x:v>
      </x:c>
      <x:c r="F157" s="29" t="str"/>
      <x:c r="G157" s="29" t="str">
        <x:v>线索源</x:v>
      </x:c>
      <x:c r="H157" s="29" t="str">
        <x:v>专业学会 / 研究解读</x:v>
      </x:c>
      <x:c r="I157" s="29" t="str">
        <x:v>https://spsp.org/</x:v>
      </x:c>
      <x:c r="J157" s="29" t="str"/>
      <x:c r="K157" s="29" t="str">
        <x:v>无RSS/API入口</x:v>
      </x:c>
      <x:c r="L157" s="29" t="str">
        <x:v>用于发现研究者与社会心理热点；将协会解读作为入口而非最终证据。</x:v>
      </x:c>
      <x:c r="M157" s="29" t="str">
        <x:v>聚合人格、关系、社会认知与群体行为领域的期刊、会议和公众解读。</x:v>
      </x:c>
      <x:c r="N157" s="29" t="str">
        <x:v>2026-08-17：官方主页 200；未发现公开 RSS。</x:v>
      </x:c>
    </x:row>
    <x:row r="158" ht="50" customHeight="1">
      <x:c r="A158" s="29" t="str">
        <x:v>C</x:v>
      </x:c>
      <x:c r="B158" s="29" t="n">
        <x:v>65</x:v>
      </x:c>
      <x:c r="C158" s="29" t="str">
        <x:v>心理、认知与情商</x:v>
      </x:c>
      <x:c r="D158" s="29" t="str">
        <x:v>中国心理学专业共同体</x:v>
      </x:c>
      <x:c r="E158" s="29" t="str">
        <x:v>中国心理学会</x:v>
      </x:c>
      <x:c r="F158" s="29" t="str"/>
      <x:c r="G158" s="29" t="str">
        <x:v>线索源</x:v>
      </x:c>
      <x:c r="H158" s="29" t="str">
        <x:v>全国性专业学会</x:v>
      </x:c>
      <x:c r="I158" s="29" t="str">
        <x:v>https://www.psysoc.org.cn/</x:v>
      </x:c>
      <x:c r="J158" s="29" t="str"/>
      <x:c r="K158" s="29" t="str">
        <x:v>无RSS/API入口</x:v>
      </x:c>
      <x:c r="L158" s="29" t="str">
        <x:v>寻找国内会议、专家与专题线索；实证结论继续追踪期刊或研究机构。</x:v>
      </x:c>
      <x:c r="M158" s="29" t="str">
        <x:v>提供国内心理学会议、专业委员会、学术规范和共同体动态。</x:v>
      </x:c>
      <x:c r="N158" s="29" t="str">
        <x:v>2026-08-17：官方主页 200；未发现公开 RSS。</x:v>
      </x:c>
    </x:row>
    <x:row r="159" ht="50" customHeight="1">
      <x:c r="A159" s="31" t="str">
        <x:v>C</x:v>
      </x:c>
      <x:c r="B159" s="31" t="n">
        <x:v>63</x:v>
      </x:c>
      <x:c r="C159" s="31" t="str">
        <x:v>商业、管理与创新</x:v>
      </x:c>
      <x:c r="D159" s="31" t="str">
        <x:v>中国企业与管理教学案例</x:v>
      </x:c>
      <x:c r="E159" s="31" t="str">
        <x:v>长江商学院案例中心</x:v>
      </x:c>
      <x:c r="F159" s="31" t="str"/>
      <x:c r="G159" s="31" t="str">
        <x:v>线索源</x:v>
      </x:c>
      <x:c r="H159" s="31" t="str">
        <x:v>商学院案例研究平台</x:v>
      </x:c>
      <x:c r="I159" s="31" t="str">
        <x:v>https://www.ckgsb.edu.cn/faculty/case_center</x:v>
      </x:c>
      <x:c r="J159" s="31" t="str"/>
      <x:c r="K159" s="31" t="str">
        <x:v>无RSS/API入口</x:v>
      </x:c>
      <x:c r="L159" s="31" t="str">
        <x:v>商业案例复盘、决策背景与组织机制</x:v>
      </x:c>
      <x:c r="M159" s="31" t="str">
        <x:v>按战略、创新、营销、运营和组织等主题提供中国企业案例入口。</x:v>
      </x:c>
      <x:c r="N159" s="31" t="str">
        <x:v>教学案例用于讨论而非证明决策有效；回查企业数据、访谈来源与结果基准，并遵守案例版权。</x:v>
      </x:c>
    </x:row>
  </x:sheetData>
  <x:mergeCells>
    <x:mergeCell ref="A1:H1"/>
    <x:mergeCell ref="A2:N2"/>
  </x:mergeCells>
  <x:conditionalFormatting sqref="A5:A159">
    <x:cfRule type="containsText" dxfId="32" priority="1" operator="containsText" text="S"/>
    <x:cfRule type="containsText" dxfId="33" priority="2" operator="containsText" text="A"/>
    <x:cfRule type="containsText" dxfId="34" priority="3" operator="containsText" text="B"/>
    <x:cfRule type="containsText" dxfId="35" priority="4" operator="containsText" text="C"/>
  </x:conditionalFormatting>
  <x:conditionalFormatting sqref="B5:B159">
    <x:cfRule type="dataBar" priority="5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{6A2911B7-532F-BCE1-A05C-499340886271}</x14:id>
        </x:ext>
      </x:extLst>
    </x:cfRule>
  </x:conditionalFormatting>
  <x:conditionalFormatting sqref="K5:K159">
    <x:cfRule type="containsText" dxfId="36" priority="6" operator="containsText" text="有效"/>
    <x:cfRule type="containsText" dxfId="37" priority="7" operator="containsText" text="受限"/>
    <x:cfRule type="containsText" dxfId="38" priority="8" operator="containsText" text="失效"/>
    <x:cfRule type="containsText" dxfId="39" priority="9" operator="containsText" text="非Feed"/>
  </x:conditionalFormatting>
  <x:pageMargins left="0.7" right="0.7" top="0.75" bottom="0.75" header="0.3" footer="0.3"/>
  <x:tableParts count="1">
    <x:tablePart xmlns:r="http://schemas.openxmlformats.org/officeDocument/2006/relationships" r:id="R3c591f4eb2bc417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6A2911B7-532F-BCE1-A05C-499340886271}">
            <x14:dataBar gradient="1">
              <x14:cfvo type="min"/>
              <x14:cfvo type="max"/>
              <x14:fillColor rgb="FF14B8A6"/>
            </x14:dataBar>
          </x14:cfRule>
          <xm:sqref>B5:B159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30" hidden="0" customWidth="1"/>
    <x:col min="5" max="5" width="32" hidden="0" customWidth="1"/>
    <x:col min="6" max="6" width="22" hidden="0" customWidth="1"/>
    <x:col min="7" max="7" width="38" hidden="0" customWidth="1"/>
    <x:col min="8" max="8" width="42" hidden="0" customWidth="1"/>
    <x:col min="9" max="9" width="34" hidden="0" customWidth="1"/>
    <x:col min="10" max="10" width="34" hidden="0" customWidth="1"/>
    <x:col min="11" max="11" width="38" hidden="0" customWidth="1"/>
    <x:col min="12" max="12" width="38" hidden="0" customWidth="1"/>
    <x:col min="13" max="13" width="30" hidden="0" customWidth="1"/>
    <x:col min="14" max="14" width="20" hidden="0" customWidth="1"/>
    <x:col min="15" max="15" width="38" hidden="0" customWidth="1"/>
    <x:col min="16" max="16" width="34" hidden="0" customWidth="1"/>
    <x:col min="17" max="17" width="28" hidden="0" customWidth="1"/>
    <x:col min="18" max="18" width="14" hidden="0" customWidth="1"/>
    <x:col min="19" max="19" width="38" hidden="0" customWidth="1"/>
    <x:col min="20" max="20" width="30" hidden="0" customWidth="1"/>
    <x:col min="21" max="21" width="12" hidden="0" customWidth="1"/>
    <x:col min="22" max="22" width="18" hidden="0" customWidth="1"/>
  </x:cols>
  <x:sheetData>
    <x:row r="1" ht="34" customHeight="1">
      <x:c r="A1" s="3" t="str">
        <x:v>素材收集台：从读到发的最短路径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把 RSS/视频/数据库中值得追的条目粘到这里。先写“自己的洞见”，再补原始证据和限制，最后才写 Hook。预留 200 条。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2" customHeight="1">
      <x:c r="A4" s="13" t="str">
        <x:v>捕获日期</x:v>
      </x:c>
      <x:c r="B4" s="13" t="str">
        <x:v>状态</x:v>
      </x:c>
      <x:c r="C4" s="13" t="str">
        <x:v>主分类</x:v>
      </x:c>
      <x:c r="D4" s="13" t="str">
        <x:v>选题/工作标题</x:v>
      </x:c>
      <x:c r="E4" s="13" t="str">
        <x:v>原文标题</x:v>
      </x:c>
      <x:c r="F4" s="13" t="str">
        <x:v>来源</x:v>
      </x:c>
      <x:c r="G4" s="13" t="str">
        <x:v>原文URL</x:v>
      </x:c>
      <x:c r="H4" s="13" t="str">
        <x:v>自己的核心洞见</x:v>
      </x:c>
      <x:c r="I4" s="13" t="str">
        <x:v>关键事实/数字</x:v>
      </x:c>
      <x:c r="J4" s="13" t="str">
        <x:v>短引用/转述</x:v>
      </x:c>
      <x:c r="K4" s="13" t="str">
        <x:v>原始证据URL</x:v>
      </x:c>
      <x:c r="L4" s="13" t="str">
        <x:v>视觉素材URL</x:v>
      </x:c>
      <x:c r="M4" s="13" t="str">
        <x:v>受众收益</x:v>
      </x:c>
      <x:c r="N4" s="13" t="str">
        <x:v>X帖型</x:v>
      </x:c>
      <x:c r="O4" s="13" t="str">
        <x:v>Hook草稿</x:v>
      </x:c>
      <x:c r="P4" s="13" t="str">
        <x:v>反方/限制</x:v>
      </x:c>
      <x:c r="Q4" s="13" t="str">
        <x:v>权利/署名</x:v>
      </x:c>
      <x:c r="R4" s="13" t="str">
        <x:v>计划发布日期</x:v>
      </x:c>
      <x:c r="S4" s="13" t="str">
        <x:v>已发布URL</x:v>
      </x:c>
      <x:c r="T4" s="13" t="str">
        <x:v>备注</x:v>
      </x:c>
      <x:c r="U4" s="13" t="str">
        <x:v>完整度</x:v>
      </x:c>
      <x:c r="V4" s="13" t="str">
        <x:v>可发布? </x:v>
      </x:c>
    </x:row>
    <x:row r="5" ht="40" customHeight="1">
      <x:c r="A5" s="7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77"/>
      <x:c r="S5" s="27"/>
      <x:c r="T5" s="27"/>
      <x:c r="U5" s="80" t="str">
        <x:f>IF(D5="","",ROUND(COUNTIF(G5:P5,"&lt;&gt;")/10*100,0))</x:f>
      </x:c>
      <x:c r="V5" s="27" t="str">
        <x:f>IF(D5="","",IF(AND(B5="已核验",G5&lt;&gt;"",H5&lt;&gt;"",K5&lt;&gt;"",O5&lt;&gt;""),"可进入草稿","补证据/角度"))</x:f>
      </x:c>
    </x:row>
    <x:row r="6" ht="40" customHeight="1">
      <x:c r="A6" s="78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78"/>
      <x:c r="S6" s="29"/>
      <x:c r="T6" s="29"/>
      <x:c r="U6" s="81" t="str">
        <x:f>IF(D6="","",ROUND(COUNTIF(G6:P6,"&lt;&gt;")/10*100,0))</x:f>
      </x:c>
      <x:c r="V6" s="29" t="str">
        <x:f>IF(D6="","",IF(AND(B6="已核验",G6&lt;&gt;"",H6&lt;&gt;"",K6&lt;&gt;"",O6&lt;&gt;""),"可进入草稿","补证据/角度"))</x:f>
      </x:c>
    </x:row>
    <x:row r="7" ht="40" customHeight="1">
      <x:c r="A7" s="78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78"/>
      <x:c r="S7" s="29"/>
      <x:c r="T7" s="29"/>
      <x:c r="U7" s="81" t="str">
        <x:f>IF(D7="","",ROUND(COUNTIF(G7:P7,"&lt;&gt;")/10*100,0))</x:f>
      </x:c>
      <x:c r="V7" s="29" t="str">
        <x:f>IF(D7="","",IF(AND(B7="已核验",G7&lt;&gt;"",H7&lt;&gt;"",K7&lt;&gt;"",O7&lt;&gt;""),"可进入草稿","补证据/角度"))</x:f>
      </x:c>
    </x:row>
    <x:row r="8" ht="40" customHeight="1">
      <x:c r="A8" s="78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78"/>
      <x:c r="S8" s="29"/>
      <x:c r="T8" s="29"/>
      <x:c r="U8" s="81" t="str">
        <x:f>IF(D8="","",ROUND(COUNTIF(G8:P8,"&lt;&gt;")/10*100,0))</x:f>
      </x:c>
      <x:c r="V8" s="29" t="str">
        <x:f>IF(D8="","",IF(AND(B8="已核验",G8&lt;&gt;"",H8&lt;&gt;"",K8&lt;&gt;"",O8&lt;&gt;""),"可进入草稿","补证据/角度"))</x:f>
      </x:c>
    </x:row>
    <x:row r="9" ht="40" customHeight="1">
      <x:c r="A9" s="78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78"/>
      <x:c r="S9" s="29"/>
      <x:c r="T9" s="29"/>
      <x:c r="U9" s="81" t="str">
        <x:f>IF(D9="","",ROUND(COUNTIF(G9:P9,"&lt;&gt;")/10*100,0))</x:f>
      </x:c>
      <x:c r="V9" s="29" t="str">
        <x:f>IF(D9="","",IF(AND(B9="已核验",G9&lt;&gt;"",H9&lt;&gt;"",K9&lt;&gt;"",O9&lt;&gt;""),"可进入草稿","补证据/角度"))</x:f>
      </x:c>
    </x:row>
    <x:row r="10" ht="40" customHeight="1">
      <x:c r="A10" s="78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78"/>
      <x:c r="S10" s="29"/>
      <x:c r="T10" s="29"/>
      <x:c r="U10" s="81" t="str">
        <x:f>IF(D10="","",ROUND(COUNTIF(G10:P10,"&lt;&gt;")/10*100,0))</x:f>
      </x:c>
      <x:c r="V10" s="29" t="str">
        <x:f>IF(D10="","",IF(AND(B10="已核验",G10&lt;&gt;"",H10&lt;&gt;"",K10&lt;&gt;"",O10&lt;&gt;""),"可进入草稿","补证据/角度"))</x:f>
      </x:c>
    </x:row>
    <x:row r="11" ht="40" customHeight="1">
      <x:c r="A11" s="78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78"/>
      <x:c r="S11" s="29"/>
      <x:c r="T11" s="29"/>
      <x:c r="U11" s="81" t="str">
        <x:f>IF(D11="","",ROUND(COUNTIF(G11:P11,"&lt;&gt;")/10*100,0))</x:f>
      </x:c>
      <x:c r="V11" s="29" t="str">
        <x:f>IF(D11="","",IF(AND(B11="已核验",G11&lt;&gt;"",H11&lt;&gt;"",K11&lt;&gt;"",O11&lt;&gt;""),"可进入草稿","补证据/角度"))</x:f>
      </x:c>
    </x:row>
    <x:row r="12" ht="40" customHeight="1">
      <x:c r="A12" s="78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78"/>
      <x:c r="S12" s="29"/>
      <x:c r="T12" s="29"/>
      <x:c r="U12" s="81" t="str">
        <x:f>IF(D12="","",ROUND(COUNTIF(G12:P12,"&lt;&gt;")/10*100,0))</x:f>
      </x:c>
      <x:c r="V12" s="29" t="str">
        <x:f>IF(D12="","",IF(AND(B12="已核验",G12&lt;&gt;"",H12&lt;&gt;"",K12&lt;&gt;"",O12&lt;&gt;""),"可进入草稿","补证据/角度"))</x:f>
      </x:c>
    </x:row>
    <x:row r="13" ht="40" customHeight="1">
      <x:c r="A13" s="78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78"/>
      <x:c r="S13" s="29"/>
      <x:c r="T13" s="29"/>
      <x:c r="U13" s="81" t="str">
        <x:f>IF(D13="","",ROUND(COUNTIF(G13:P13,"&lt;&gt;")/10*100,0))</x:f>
      </x:c>
      <x:c r="V13" s="29" t="str">
        <x:f>IF(D13="","",IF(AND(B13="已核验",G13&lt;&gt;"",H13&lt;&gt;"",K13&lt;&gt;"",O13&lt;&gt;""),"可进入草稿","补证据/角度"))</x:f>
      </x:c>
    </x:row>
    <x:row r="14" ht="40" customHeight="1">
      <x:c r="A14" s="78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78"/>
      <x:c r="S14" s="29"/>
      <x:c r="T14" s="29"/>
      <x:c r="U14" s="81" t="str">
        <x:f>IF(D14="","",ROUND(COUNTIF(G14:P14,"&lt;&gt;")/10*100,0))</x:f>
      </x:c>
      <x:c r="V14" s="29" t="str">
        <x:f>IF(D14="","",IF(AND(B14="已核验",G14&lt;&gt;"",H14&lt;&gt;"",K14&lt;&gt;"",O14&lt;&gt;""),"可进入草稿","补证据/角度"))</x:f>
      </x:c>
    </x:row>
    <x:row r="15" ht="40" customHeight="1">
      <x:c r="A15" s="78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78"/>
      <x:c r="S15" s="29"/>
      <x:c r="T15" s="29"/>
      <x:c r="U15" s="81" t="str">
        <x:f>IF(D15="","",ROUND(COUNTIF(G15:P15,"&lt;&gt;")/10*100,0))</x:f>
      </x:c>
      <x:c r="V15" s="29" t="str">
        <x:f>IF(D15="","",IF(AND(B15="已核验",G15&lt;&gt;"",H15&lt;&gt;"",K15&lt;&gt;"",O15&lt;&gt;""),"可进入草稿","补证据/角度"))</x:f>
      </x:c>
    </x:row>
    <x:row r="16" ht="40" customHeight="1">
      <x:c r="A16" s="78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78"/>
      <x:c r="S16" s="29"/>
      <x:c r="T16" s="29"/>
      <x:c r="U16" s="81" t="str">
        <x:f>IF(D16="","",ROUND(COUNTIF(G16:P16,"&lt;&gt;")/10*100,0))</x:f>
      </x:c>
      <x:c r="V16" s="29" t="str">
        <x:f>IF(D16="","",IF(AND(B16="已核验",G16&lt;&gt;"",H16&lt;&gt;"",K16&lt;&gt;"",O16&lt;&gt;""),"可进入草稿","补证据/角度"))</x:f>
      </x:c>
    </x:row>
    <x:row r="17" ht="40" customHeight="1">
      <x:c r="A17" s="78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78"/>
      <x:c r="S17" s="29"/>
      <x:c r="T17" s="29"/>
      <x:c r="U17" s="81" t="str">
        <x:f>IF(D17="","",ROUND(COUNTIF(G17:P17,"&lt;&gt;")/10*100,0))</x:f>
      </x:c>
      <x:c r="V17" s="29" t="str">
        <x:f>IF(D17="","",IF(AND(B17="已核验",G17&lt;&gt;"",H17&lt;&gt;"",K17&lt;&gt;"",O17&lt;&gt;""),"可进入草稿","补证据/角度"))</x:f>
      </x:c>
    </x:row>
    <x:row r="18" ht="40" customHeight="1">
      <x:c r="A18" s="78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78"/>
      <x:c r="S18" s="29"/>
      <x:c r="T18" s="29"/>
      <x:c r="U18" s="81" t="str">
        <x:f>IF(D18="","",ROUND(COUNTIF(G18:P18,"&lt;&gt;")/10*100,0))</x:f>
      </x:c>
      <x:c r="V18" s="29" t="str">
        <x:f>IF(D18="","",IF(AND(B18="已核验",G18&lt;&gt;"",H18&lt;&gt;"",K18&lt;&gt;"",O18&lt;&gt;""),"可进入草稿","补证据/角度"))</x:f>
      </x:c>
    </x:row>
    <x:row r="19" ht="40" customHeight="1">
      <x:c r="A19" s="78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78"/>
      <x:c r="S19" s="29"/>
      <x:c r="T19" s="29"/>
      <x:c r="U19" s="81" t="str">
        <x:f>IF(D19="","",ROUND(COUNTIF(G19:P19,"&lt;&gt;")/10*100,0))</x:f>
      </x:c>
      <x:c r="V19" s="29" t="str">
        <x:f>IF(D19="","",IF(AND(B19="已核验",G19&lt;&gt;"",H19&lt;&gt;"",K19&lt;&gt;"",O19&lt;&gt;""),"可进入草稿","补证据/角度"))</x:f>
      </x:c>
    </x:row>
    <x:row r="20" ht="40" customHeight="1">
      <x:c r="A20" s="78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78"/>
      <x:c r="S20" s="29"/>
      <x:c r="T20" s="29"/>
      <x:c r="U20" s="81" t="str">
        <x:f>IF(D20="","",ROUND(COUNTIF(G20:P20,"&lt;&gt;")/10*100,0))</x:f>
      </x:c>
      <x:c r="V20" s="29" t="str">
        <x:f>IF(D20="","",IF(AND(B20="已核验",G20&lt;&gt;"",H20&lt;&gt;"",K20&lt;&gt;"",O20&lt;&gt;""),"可进入草稿","补证据/角度"))</x:f>
      </x:c>
    </x:row>
    <x:row r="21" ht="40" customHeight="1">
      <x:c r="A21" s="78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78"/>
      <x:c r="S21" s="29"/>
      <x:c r="T21" s="29"/>
      <x:c r="U21" s="81" t="str">
        <x:f>IF(D21="","",ROUND(COUNTIF(G21:P21,"&lt;&gt;")/10*100,0))</x:f>
      </x:c>
      <x:c r="V21" s="29" t="str">
        <x:f>IF(D21="","",IF(AND(B21="已核验",G21&lt;&gt;"",H21&lt;&gt;"",K21&lt;&gt;"",O21&lt;&gt;""),"可进入草稿","补证据/角度"))</x:f>
      </x:c>
    </x:row>
    <x:row r="22" ht="40" customHeight="1">
      <x:c r="A22" s="78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78"/>
      <x:c r="S22" s="29"/>
      <x:c r="T22" s="29"/>
      <x:c r="U22" s="81" t="str">
        <x:f>IF(D22="","",ROUND(COUNTIF(G22:P22,"&lt;&gt;")/10*100,0))</x:f>
      </x:c>
      <x:c r="V22" s="29" t="str">
        <x:f>IF(D22="","",IF(AND(B22="已核验",G22&lt;&gt;"",H22&lt;&gt;"",K22&lt;&gt;"",O22&lt;&gt;""),"可进入草稿","补证据/角度"))</x:f>
      </x:c>
    </x:row>
    <x:row r="23" ht="40" customHeight="1">
      <x:c r="A23" s="78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78"/>
      <x:c r="S23" s="29"/>
      <x:c r="T23" s="29"/>
      <x:c r="U23" s="81" t="str">
        <x:f>IF(D23="","",ROUND(COUNTIF(G23:P23,"&lt;&gt;")/10*100,0))</x:f>
      </x:c>
      <x:c r="V23" s="29" t="str">
        <x:f>IF(D23="","",IF(AND(B23="已核验",G23&lt;&gt;"",H23&lt;&gt;"",K23&lt;&gt;"",O23&lt;&gt;""),"可进入草稿","补证据/角度"))</x:f>
      </x:c>
    </x:row>
    <x:row r="24" ht="40" customHeight="1">
      <x:c r="A24" s="78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78"/>
      <x:c r="S24" s="29"/>
      <x:c r="T24" s="29"/>
      <x:c r="U24" s="81" t="str">
        <x:f>IF(D24="","",ROUND(COUNTIF(G24:P24,"&lt;&gt;")/10*100,0))</x:f>
      </x:c>
      <x:c r="V24" s="29" t="str">
        <x:f>IF(D24="","",IF(AND(B24="已核验",G24&lt;&gt;"",H24&lt;&gt;"",K24&lt;&gt;"",O24&lt;&gt;""),"可进入草稿","补证据/角度"))</x:f>
      </x:c>
    </x:row>
    <x:row r="25" ht="40" customHeight="1">
      <x:c r="A25" s="78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78"/>
      <x:c r="S25" s="29"/>
      <x:c r="T25" s="29"/>
      <x:c r="U25" s="81" t="str">
        <x:f>IF(D25="","",ROUND(COUNTIF(G25:P25,"&lt;&gt;")/10*100,0))</x:f>
      </x:c>
      <x:c r="V25" s="29" t="str">
        <x:f>IF(D25="","",IF(AND(B25="已核验",G25&lt;&gt;"",H25&lt;&gt;"",K25&lt;&gt;"",O25&lt;&gt;""),"可进入草稿","补证据/角度"))</x:f>
      </x:c>
    </x:row>
    <x:row r="26" ht="40" customHeight="1">
      <x:c r="A26" s="78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78"/>
      <x:c r="S26" s="29"/>
      <x:c r="T26" s="29"/>
      <x:c r="U26" s="81" t="str">
        <x:f>IF(D26="","",ROUND(COUNTIF(G26:P26,"&lt;&gt;")/10*100,0))</x:f>
      </x:c>
      <x:c r="V26" s="29" t="str">
        <x:f>IF(D26="","",IF(AND(B26="已核验",G26&lt;&gt;"",H26&lt;&gt;"",K26&lt;&gt;"",O26&lt;&gt;""),"可进入草稿","补证据/角度"))</x:f>
      </x:c>
    </x:row>
    <x:row r="27" ht="40" customHeight="1">
      <x:c r="A27" s="78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78"/>
      <x:c r="S27" s="29"/>
      <x:c r="T27" s="29"/>
      <x:c r="U27" s="81" t="str">
        <x:f>IF(D27="","",ROUND(COUNTIF(G27:P27,"&lt;&gt;")/10*100,0))</x:f>
      </x:c>
      <x:c r="V27" s="29" t="str">
        <x:f>IF(D27="","",IF(AND(B27="已核验",G27&lt;&gt;"",H27&lt;&gt;"",K27&lt;&gt;"",O27&lt;&gt;""),"可进入草稿","补证据/角度"))</x:f>
      </x:c>
    </x:row>
    <x:row r="28" ht="40" customHeight="1">
      <x:c r="A28" s="78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78"/>
      <x:c r="S28" s="29"/>
      <x:c r="T28" s="29"/>
      <x:c r="U28" s="81" t="str">
        <x:f>IF(D28="","",ROUND(COUNTIF(G28:P28,"&lt;&gt;")/10*100,0))</x:f>
      </x:c>
      <x:c r="V28" s="29" t="str">
        <x:f>IF(D28="","",IF(AND(B28="已核验",G28&lt;&gt;"",H28&lt;&gt;"",K28&lt;&gt;"",O28&lt;&gt;""),"可进入草稿","补证据/角度"))</x:f>
      </x:c>
    </x:row>
    <x:row r="29" ht="40" customHeight="1">
      <x:c r="A29" s="78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78"/>
      <x:c r="S29" s="29"/>
      <x:c r="T29" s="29"/>
      <x:c r="U29" s="81" t="str">
        <x:f>IF(D29="","",ROUND(COUNTIF(G29:P29,"&lt;&gt;")/10*100,0))</x:f>
      </x:c>
      <x:c r="V29" s="29" t="str">
        <x:f>IF(D29="","",IF(AND(B29="已核验",G29&lt;&gt;"",H29&lt;&gt;"",K29&lt;&gt;"",O29&lt;&gt;""),"可进入草稿","补证据/角度"))</x:f>
      </x:c>
    </x:row>
    <x:row r="30" ht="40" customHeight="1">
      <x:c r="A30" s="78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78"/>
      <x:c r="S30" s="29"/>
      <x:c r="T30" s="29"/>
      <x:c r="U30" s="81" t="str">
        <x:f>IF(D30="","",ROUND(COUNTIF(G30:P30,"&lt;&gt;")/10*100,0))</x:f>
      </x:c>
      <x:c r="V30" s="29" t="str">
        <x:f>IF(D30="","",IF(AND(B30="已核验",G30&lt;&gt;"",H30&lt;&gt;"",K30&lt;&gt;"",O30&lt;&gt;""),"可进入草稿","补证据/角度"))</x:f>
      </x:c>
    </x:row>
    <x:row r="31" ht="40" customHeight="1">
      <x:c r="A31" s="78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78"/>
      <x:c r="S31" s="29"/>
      <x:c r="T31" s="29"/>
      <x:c r="U31" s="81" t="str">
        <x:f>IF(D31="","",ROUND(COUNTIF(G31:P31,"&lt;&gt;")/10*100,0))</x:f>
      </x:c>
      <x:c r="V31" s="29" t="str">
        <x:f>IF(D31="","",IF(AND(B31="已核验",G31&lt;&gt;"",H31&lt;&gt;"",K31&lt;&gt;"",O31&lt;&gt;""),"可进入草稿","补证据/角度"))</x:f>
      </x:c>
    </x:row>
    <x:row r="32" ht="40" customHeight="1">
      <x:c r="A32" s="78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78"/>
      <x:c r="S32" s="29"/>
      <x:c r="T32" s="29"/>
      <x:c r="U32" s="81" t="str">
        <x:f>IF(D32="","",ROUND(COUNTIF(G32:P32,"&lt;&gt;")/10*100,0))</x:f>
      </x:c>
      <x:c r="V32" s="29" t="str">
        <x:f>IF(D32="","",IF(AND(B32="已核验",G32&lt;&gt;"",H32&lt;&gt;"",K32&lt;&gt;"",O32&lt;&gt;""),"可进入草稿","补证据/角度"))</x:f>
      </x:c>
    </x:row>
    <x:row r="33" ht="40" customHeight="1">
      <x:c r="A33" s="78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78"/>
      <x:c r="S33" s="29"/>
      <x:c r="T33" s="29"/>
      <x:c r="U33" s="81" t="str">
        <x:f>IF(D33="","",ROUND(COUNTIF(G33:P33,"&lt;&gt;")/10*100,0))</x:f>
      </x:c>
      <x:c r="V33" s="29" t="str">
        <x:f>IF(D33="","",IF(AND(B33="已核验",G33&lt;&gt;"",H33&lt;&gt;"",K33&lt;&gt;"",O33&lt;&gt;""),"可进入草稿","补证据/角度"))</x:f>
      </x:c>
    </x:row>
    <x:row r="34" ht="40" customHeight="1">
      <x:c r="A34" s="78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78"/>
      <x:c r="S34" s="29"/>
      <x:c r="T34" s="29"/>
      <x:c r="U34" s="81" t="str">
        <x:f>IF(D34="","",ROUND(COUNTIF(G34:P34,"&lt;&gt;")/10*100,0))</x:f>
      </x:c>
      <x:c r="V34" s="29" t="str">
        <x:f>IF(D34="","",IF(AND(B34="已核验",G34&lt;&gt;"",H34&lt;&gt;"",K34&lt;&gt;"",O34&lt;&gt;""),"可进入草稿","补证据/角度"))</x:f>
      </x:c>
    </x:row>
    <x:row r="35" ht="40" customHeight="1">
      <x:c r="A35" s="78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78"/>
      <x:c r="S35" s="29"/>
      <x:c r="T35" s="29"/>
      <x:c r="U35" s="81" t="str">
        <x:f>IF(D35="","",ROUND(COUNTIF(G35:P35,"&lt;&gt;")/10*100,0))</x:f>
      </x:c>
      <x:c r="V35" s="29" t="str">
        <x:f>IF(D35="","",IF(AND(B35="已核验",G35&lt;&gt;"",H35&lt;&gt;"",K35&lt;&gt;"",O35&lt;&gt;""),"可进入草稿","补证据/角度"))</x:f>
      </x:c>
    </x:row>
    <x:row r="36" ht="40" customHeight="1">
      <x:c r="A36" s="78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78"/>
      <x:c r="S36" s="29"/>
      <x:c r="T36" s="29"/>
      <x:c r="U36" s="81" t="str">
        <x:f>IF(D36="","",ROUND(COUNTIF(G36:P36,"&lt;&gt;")/10*100,0))</x:f>
      </x:c>
      <x:c r="V36" s="29" t="str">
        <x:f>IF(D36="","",IF(AND(B36="已核验",G36&lt;&gt;"",H36&lt;&gt;"",K36&lt;&gt;"",O36&lt;&gt;""),"可进入草稿","补证据/角度"))</x:f>
      </x:c>
    </x:row>
    <x:row r="37" ht="40" customHeight="1">
      <x:c r="A37" s="78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78"/>
      <x:c r="S37" s="29"/>
      <x:c r="T37" s="29"/>
      <x:c r="U37" s="81" t="str">
        <x:f>IF(D37="","",ROUND(COUNTIF(G37:P37,"&lt;&gt;")/10*100,0))</x:f>
      </x:c>
      <x:c r="V37" s="29" t="str">
        <x:f>IF(D37="","",IF(AND(B37="已核验",G37&lt;&gt;"",H37&lt;&gt;"",K37&lt;&gt;"",O37&lt;&gt;""),"可进入草稿","补证据/角度"))</x:f>
      </x:c>
    </x:row>
    <x:row r="38" ht="40" customHeight="1">
      <x:c r="A38" s="78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78"/>
      <x:c r="S38" s="29"/>
      <x:c r="T38" s="29"/>
      <x:c r="U38" s="81" t="str">
        <x:f>IF(D38="","",ROUND(COUNTIF(G38:P38,"&lt;&gt;")/10*100,0))</x:f>
      </x:c>
      <x:c r="V38" s="29" t="str">
        <x:f>IF(D38="","",IF(AND(B38="已核验",G38&lt;&gt;"",H38&lt;&gt;"",K38&lt;&gt;"",O38&lt;&gt;""),"可进入草稿","补证据/角度"))</x:f>
      </x:c>
    </x:row>
    <x:row r="39" ht="40" customHeight="1">
      <x:c r="A39" s="78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78"/>
      <x:c r="S39" s="29"/>
      <x:c r="T39" s="29"/>
      <x:c r="U39" s="81" t="str">
        <x:f>IF(D39="","",ROUND(COUNTIF(G39:P39,"&lt;&gt;")/10*100,0))</x:f>
      </x:c>
      <x:c r="V39" s="29" t="str">
        <x:f>IF(D39="","",IF(AND(B39="已核验",G39&lt;&gt;"",H39&lt;&gt;"",K39&lt;&gt;"",O39&lt;&gt;""),"可进入草稿","补证据/角度"))</x:f>
      </x:c>
    </x:row>
    <x:row r="40" ht="40" customHeight="1">
      <x:c r="A40" s="78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78"/>
      <x:c r="S40" s="29"/>
      <x:c r="T40" s="29"/>
      <x:c r="U40" s="81" t="str">
        <x:f>IF(D40="","",ROUND(COUNTIF(G40:P40,"&lt;&gt;")/10*100,0))</x:f>
      </x:c>
      <x:c r="V40" s="29" t="str">
        <x:f>IF(D40="","",IF(AND(B40="已核验",G40&lt;&gt;"",H40&lt;&gt;"",K40&lt;&gt;"",O40&lt;&gt;""),"可进入草稿","补证据/角度"))</x:f>
      </x:c>
    </x:row>
    <x:row r="41" ht="40" customHeight="1">
      <x:c r="A41" s="78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78"/>
      <x:c r="S41" s="29"/>
      <x:c r="T41" s="29"/>
      <x:c r="U41" s="81" t="str">
        <x:f>IF(D41="","",ROUND(COUNTIF(G41:P41,"&lt;&gt;")/10*100,0))</x:f>
      </x:c>
      <x:c r="V41" s="29" t="str">
        <x:f>IF(D41="","",IF(AND(B41="已核验",G41&lt;&gt;"",H41&lt;&gt;"",K41&lt;&gt;"",O41&lt;&gt;""),"可进入草稿","补证据/角度"))</x:f>
      </x:c>
    </x:row>
    <x:row r="42" ht="40" customHeight="1">
      <x:c r="A42" s="78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78"/>
      <x:c r="S42" s="29"/>
      <x:c r="T42" s="29"/>
      <x:c r="U42" s="81" t="str">
        <x:f>IF(D42="","",ROUND(COUNTIF(G42:P42,"&lt;&gt;")/10*100,0))</x:f>
      </x:c>
      <x:c r="V42" s="29" t="str">
        <x:f>IF(D42="","",IF(AND(B42="已核验",G42&lt;&gt;"",H42&lt;&gt;"",K42&lt;&gt;"",O42&lt;&gt;""),"可进入草稿","补证据/角度"))</x:f>
      </x:c>
    </x:row>
    <x:row r="43" ht="40" customHeight="1">
      <x:c r="A43" s="78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78"/>
      <x:c r="S43" s="29"/>
      <x:c r="T43" s="29"/>
      <x:c r="U43" s="81" t="str">
        <x:f>IF(D43="","",ROUND(COUNTIF(G43:P43,"&lt;&gt;")/10*100,0))</x:f>
      </x:c>
      <x:c r="V43" s="29" t="str">
        <x:f>IF(D43="","",IF(AND(B43="已核验",G43&lt;&gt;"",H43&lt;&gt;"",K43&lt;&gt;"",O43&lt;&gt;""),"可进入草稿","补证据/角度"))</x:f>
      </x:c>
    </x:row>
    <x:row r="44" ht="40" customHeight="1">
      <x:c r="A44" s="78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78"/>
      <x:c r="S44" s="29"/>
      <x:c r="T44" s="29"/>
      <x:c r="U44" s="81" t="str">
        <x:f>IF(D44="","",ROUND(COUNTIF(G44:P44,"&lt;&gt;")/10*100,0))</x:f>
      </x:c>
      <x:c r="V44" s="29" t="str">
        <x:f>IF(D44="","",IF(AND(B44="已核验",G44&lt;&gt;"",H44&lt;&gt;"",K44&lt;&gt;"",O44&lt;&gt;""),"可进入草稿","补证据/角度"))</x:f>
      </x:c>
    </x:row>
    <x:row r="45" ht="40" customHeight="1">
      <x:c r="A45" s="78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78"/>
      <x:c r="S45" s="29"/>
      <x:c r="T45" s="29"/>
      <x:c r="U45" s="81" t="str">
        <x:f>IF(D45="","",ROUND(COUNTIF(G45:P45,"&lt;&gt;")/10*100,0))</x:f>
      </x:c>
      <x:c r="V45" s="29" t="str">
        <x:f>IF(D45="","",IF(AND(B45="已核验",G45&lt;&gt;"",H45&lt;&gt;"",K45&lt;&gt;"",O45&lt;&gt;""),"可进入草稿","补证据/角度"))</x:f>
      </x:c>
    </x:row>
    <x:row r="46" ht="40" customHeight="1">
      <x:c r="A46" s="78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78"/>
      <x:c r="S46" s="29"/>
      <x:c r="T46" s="29"/>
      <x:c r="U46" s="81" t="str">
        <x:f>IF(D46="","",ROUND(COUNTIF(G46:P46,"&lt;&gt;")/10*100,0))</x:f>
      </x:c>
      <x:c r="V46" s="29" t="str">
        <x:f>IF(D46="","",IF(AND(B46="已核验",G46&lt;&gt;"",H46&lt;&gt;"",K46&lt;&gt;"",O46&lt;&gt;""),"可进入草稿","补证据/角度"))</x:f>
      </x:c>
    </x:row>
    <x:row r="47" ht="40" customHeight="1">
      <x:c r="A47" s="78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78"/>
      <x:c r="S47" s="29"/>
      <x:c r="T47" s="29"/>
      <x:c r="U47" s="81" t="str">
        <x:f>IF(D47="","",ROUND(COUNTIF(G47:P47,"&lt;&gt;")/10*100,0))</x:f>
      </x:c>
      <x:c r="V47" s="29" t="str">
        <x:f>IF(D47="","",IF(AND(B47="已核验",G47&lt;&gt;"",H47&lt;&gt;"",K47&lt;&gt;"",O47&lt;&gt;""),"可进入草稿","补证据/角度"))</x:f>
      </x:c>
    </x:row>
    <x:row r="48" ht="40" customHeight="1">
      <x:c r="A48" s="78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78"/>
      <x:c r="S48" s="29"/>
      <x:c r="T48" s="29"/>
      <x:c r="U48" s="81" t="str">
        <x:f>IF(D48="","",ROUND(COUNTIF(G48:P48,"&lt;&gt;")/10*100,0))</x:f>
      </x:c>
      <x:c r="V48" s="29" t="str">
        <x:f>IF(D48="","",IF(AND(B48="已核验",G48&lt;&gt;"",H48&lt;&gt;"",K48&lt;&gt;"",O48&lt;&gt;""),"可进入草稿","补证据/角度"))</x:f>
      </x:c>
    </x:row>
    <x:row r="49" ht="40" customHeight="1">
      <x:c r="A49" s="78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78"/>
      <x:c r="S49" s="29"/>
      <x:c r="T49" s="29"/>
      <x:c r="U49" s="81" t="str">
        <x:f>IF(D49="","",ROUND(COUNTIF(G49:P49,"&lt;&gt;")/10*100,0))</x:f>
      </x:c>
      <x:c r="V49" s="29" t="str">
        <x:f>IF(D49="","",IF(AND(B49="已核验",G49&lt;&gt;"",H49&lt;&gt;"",K49&lt;&gt;"",O49&lt;&gt;""),"可进入草稿","补证据/角度"))</x:f>
      </x:c>
    </x:row>
    <x:row r="50" ht="40" customHeight="1">
      <x:c r="A50" s="78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78"/>
      <x:c r="S50" s="29"/>
      <x:c r="T50" s="29"/>
      <x:c r="U50" s="81" t="str">
        <x:f>IF(D50="","",ROUND(COUNTIF(G50:P50,"&lt;&gt;")/10*100,0))</x:f>
      </x:c>
      <x:c r="V50" s="29" t="str">
        <x:f>IF(D50="","",IF(AND(B50="已核验",G50&lt;&gt;"",H50&lt;&gt;"",K50&lt;&gt;"",O50&lt;&gt;""),"可进入草稿","补证据/角度"))</x:f>
      </x:c>
    </x:row>
    <x:row r="51" ht="40" customHeight="1">
      <x:c r="A51" s="78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78"/>
      <x:c r="S51" s="29"/>
      <x:c r="T51" s="29"/>
      <x:c r="U51" s="81" t="str">
        <x:f>IF(D51="","",ROUND(COUNTIF(G51:P51,"&lt;&gt;")/10*100,0))</x:f>
      </x:c>
      <x:c r="V51" s="29" t="str">
        <x:f>IF(D51="","",IF(AND(B51="已核验",G51&lt;&gt;"",H51&lt;&gt;"",K51&lt;&gt;"",O51&lt;&gt;""),"可进入草稿","补证据/角度"))</x:f>
      </x:c>
    </x:row>
    <x:row r="52" ht="40" customHeight="1">
      <x:c r="A52" s="78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78"/>
      <x:c r="S52" s="29"/>
      <x:c r="T52" s="29"/>
      <x:c r="U52" s="81" t="str">
        <x:f>IF(D52="","",ROUND(COUNTIF(G52:P52,"&lt;&gt;")/10*100,0))</x:f>
      </x:c>
      <x:c r="V52" s="29" t="str">
        <x:f>IF(D52="","",IF(AND(B52="已核验",G52&lt;&gt;"",H52&lt;&gt;"",K52&lt;&gt;"",O52&lt;&gt;""),"可进入草稿","补证据/角度"))</x:f>
      </x:c>
    </x:row>
    <x:row r="53" ht="40" customHeight="1">
      <x:c r="A53" s="78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78"/>
      <x:c r="S53" s="29"/>
      <x:c r="T53" s="29"/>
      <x:c r="U53" s="81" t="str">
        <x:f>IF(D53="","",ROUND(COUNTIF(G53:P53,"&lt;&gt;")/10*100,0))</x:f>
      </x:c>
      <x:c r="V53" s="29" t="str">
        <x:f>IF(D53="","",IF(AND(B53="已核验",G53&lt;&gt;"",H53&lt;&gt;"",K53&lt;&gt;"",O53&lt;&gt;""),"可进入草稿","补证据/角度"))</x:f>
      </x:c>
    </x:row>
    <x:row r="54" ht="40" customHeight="1">
      <x:c r="A54" s="78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78"/>
      <x:c r="S54" s="29"/>
      <x:c r="T54" s="29"/>
      <x:c r="U54" s="81" t="str">
        <x:f>IF(D54="","",ROUND(COUNTIF(G54:P54,"&lt;&gt;")/10*100,0))</x:f>
      </x:c>
      <x:c r="V54" s="29" t="str">
        <x:f>IF(D54="","",IF(AND(B54="已核验",G54&lt;&gt;"",H54&lt;&gt;"",K54&lt;&gt;"",O54&lt;&gt;""),"可进入草稿","补证据/角度"))</x:f>
      </x:c>
    </x:row>
    <x:row r="55" ht="40" customHeight="1">
      <x:c r="A55" s="78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78"/>
      <x:c r="S55" s="29"/>
      <x:c r="T55" s="29"/>
      <x:c r="U55" s="81" t="str">
        <x:f>IF(D55="","",ROUND(COUNTIF(G55:P55,"&lt;&gt;")/10*100,0))</x:f>
      </x:c>
      <x:c r="V55" s="29" t="str">
        <x:f>IF(D55="","",IF(AND(B55="已核验",G55&lt;&gt;"",H55&lt;&gt;"",K55&lt;&gt;"",O55&lt;&gt;""),"可进入草稿","补证据/角度"))</x:f>
      </x:c>
    </x:row>
    <x:row r="56" ht="40" customHeight="1">
      <x:c r="A56" s="78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78"/>
      <x:c r="S56" s="29"/>
      <x:c r="T56" s="29"/>
      <x:c r="U56" s="81" t="str">
        <x:f>IF(D56="","",ROUND(COUNTIF(G56:P56,"&lt;&gt;")/10*100,0))</x:f>
      </x:c>
      <x:c r="V56" s="29" t="str">
        <x:f>IF(D56="","",IF(AND(B56="已核验",G56&lt;&gt;"",H56&lt;&gt;"",K56&lt;&gt;"",O56&lt;&gt;""),"可进入草稿","补证据/角度"))</x:f>
      </x:c>
    </x:row>
    <x:row r="57" ht="40" customHeight="1">
      <x:c r="A57" s="78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78"/>
      <x:c r="S57" s="29"/>
      <x:c r="T57" s="29"/>
      <x:c r="U57" s="81" t="str">
        <x:f>IF(D57="","",ROUND(COUNTIF(G57:P57,"&lt;&gt;")/10*100,0))</x:f>
      </x:c>
      <x:c r="V57" s="29" t="str">
        <x:f>IF(D57="","",IF(AND(B57="已核验",G57&lt;&gt;"",H57&lt;&gt;"",K57&lt;&gt;"",O57&lt;&gt;""),"可进入草稿","补证据/角度"))</x:f>
      </x:c>
    </x:row>
    <x:row r="58" ht="40" customHeight="1">
      <x:c r="A58" s="78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78"/>
      <x:c r="S58" s="29"/>
      <x:c r="T58" s="29"/>
      <x:c r="U58" s="81" t="str">
        <x:f>IF(D58="","",ROUND(COUNTIF(G58:P58,"&lt;&gt;")/10*100,0))</x:f>
      </x:c>
      <x:c r="V58" s="29" t="str">
        <x:f>IF(D58="","",IF(AND(B58="已核验",G58&lt;&gt;"",H58&lt;&gt;"",K58&lt;&gt;"",O58&lt;&gt;""),"可进入草稿","补证据/角度"))</x:f>
      </x:c>
    </x:row>
    <x:row r="59" ht="40" customHeight="1">
      <x:c r="A59" s="78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78"/>
      <x:c r="S59" s="29"/>
      <x:c r="T59" s="29"/>
      <x:c r="U59" s="81" t="str">
        <x:f>IF(D59="","",ROUND(COUNTIF(G59:P59,"&lt;&gt;")/10*100,0))</x:f>
      </x:c>
      <x:c r="V59" s="29" t="str">
        <x:f>IF(D59="","",IF(AND(B59="已核验",G59&lt;&gt;"",H59&lt;&gt;"",K59&lt;&gt;"",O59&lt;&gt;""),"可进入草稿","补证据/角度"))</x:f>
      </x:c>
    </x:row>
    <x:row r="60" ht="40" customHeight="1">
      <x:c r="A60" s="78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78"/>
      <x:c r="S60" s="29"/>
      <x:c r="T60" s="29"/>
      <x:c r="U60" s="81" t="str">
        <x:f>IF(D60="","",ROUND(COUNTIF(G60:P60,"&lt;&gt;")/10*100,0))</x:f>
      </x:c>
      <x:c r="V60" s="29" t="str">
        <x:f>IF(D60="","",IF(AND(B60="已核验",G60&lt;&gt;"",H60&lt;&gt;"",K60&lt;&gt;"",O60&lt;&gt;""),"可进入草稿","补证据/角度"))</x:f>
      </x:c>
    </x:row>
    <x:row r="61" ht="40" customHeight="1">
      <x:c r="A61" s="78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78"/>
      <x:c r="S61" s="29"/>
      <x:c r="T61" s="29"/>
      <x:c r="U61" s="81" t="str">
        <x:f>IF(D61="","",ROUND(COUNTIF(G61:P61,"&lt;&gt;")/10*100,0))</x:f>
      </x:c>
      <x:c r="V61" s="29" t="str">
        <x:f>IF(D61="","",IF(AND(B61="已核验",G61&lt;&gt;"",H61&lt;&gt;"",K61&lt;&gt;"",O61&lt;&gt;""),"可进入草稿","补证据/角度"))</x:f>
      </x:c>
    </x:row>
    <x:row r="62" ht="40" customHeight="1">
      <x:c r="A62" s="78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78"/>
      <x:c r="S62" s="29"/>
      <x:c r="T62" s="29"/>
      <x:c r="U62" s="81" t="str">
        <x:f>IF(D62="","",ROUND(COUNTIF(G62:P62,"&lt;&gt;")/10*100,0))</x:f>
      </x:c>
      <x:c r="V62" s="29" t="str">
        <x:f>IF(D62="","",IF(AND(B62="已核验",G62&lt;&gt;"",H62&lt;&gt;"",K62&lt;&gt;"",O62&lt;&gt;""),"可进入草稿","补证据/角度"))</x:f>
      </x:c>
    </x:row>
    <x:row r="63" ht="40" customHeight="1">
      <x:c r="A63" s="78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78"/>
      <x:c r="S63" s="29"/>
      <x:c r="T63" s="29"/>
      <x:c r="U63" s="81" t="str">
        <x:f>IF(D63="","",ROUND(COUNTIF(G63:P63,"&lt;&gt;")/10*100,0))</x:f>
      </x:c>
      <x:c r="V63" s="29" t="str">
        <x:f>IF(D63="","",IF(AND(B63="已核验",G63&lt;&gt;"",H63&lt;&gt;"",K63&lt;&gt;"",O63&lt;&gt;""),"可进入草稿","补证据/角度"))</x:f>
      </x:c>
    </x:row>
    <x:row r="64" ht="40" customHeight="1">
      <x:c r="A64" s="78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78"/>
      <x:c r="S64" s="29"/>
      <x:c r="T64" s="29"/>
      <x:c r="U64" s="81" t="str">
        <x:f>IF(D64="","",ROUND(COUNTIF(G64:P64,"&lt;&gt;")/10*100,0))</x:f>
      </x:c>
      <x:c r="V64" s="29" t="str">
        <x:f>IF(D64="","",IF(AND(B64="已核验",G64&lt;&gt;"",H64&lt;&gt;"",K64&lt;&gt;"",O64&lt;&gt;""),"可进入草稿","补证据/角度"))</x:f>
      </x:c>
    </x:row>
    <x:row r="65" ht="40" customHeight="1">
      <x:c r="A65" s="78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78"/>
      <x:c r="S65" s="29"/>
      <x:c r="T65" s="29"/>
      <x:c r="U65" s="81" t="str">
        <x:f>IF(D65="","",ROUND(COUNTIF(G65:P65,"&lt;&gt;")/10*100,0))</x:f>
      </x:c>
      <x:c r="V65" s="29" t="str">
        <x:f>IF(D65="","",IF(AND(B65="已核验",G65&lt;&gt;"",H65&lt;&gt;"",K65&lt;&gt;"",O65&lt;&gt;""),"可进入草稿","补证据/角度"))</x:f>
      </x:c>
    </x:row>
    <x:row r="66" ht="40" customHeight="1">
      <x:c r="A66" s="78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78"/>
      <x:c r="S66" s="29"/>
      <x:c r="T66" s="29"/>
      <x:c r="U66" s="81" t="str">
        <x:f>IF(D66="","",ROUND(COUNTIF(G66:P66,"&lt;&gt;")/10*100,0))</x:f>
      </x:c>
      <x:c r="V66" s="29" t="str">
        <x:f>IF(D66="","",IF(AND(B66="已核验",G66&lt;&gt;"",H66&lt;&gt;"",K66&lt;&gt;"",O66&lt;&gt;""),"可进入草稿","补证据/角度"))</x:f>
      </x:c>
    </x:row>
    <x:row r="67" ht="40" customHeight="1">
      <x:c r="A67" s="78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78"/>
      <x:c r="S67" s="29"/>
      <x:c r="T67" s="29"/>
      <x:c r="U67" s="81" t="str">
        <x:f>IF(D67="","",ROUND(COUNTIF(G67:P67,"&lt;&gt;")/10*100,0))</x:f>
      </x:c>
      <x:c r="V67" s="29" t="str">
        <x:f>IF(D67="","",IF(AND(B67="已核验",G67&lt;&gt;"",H67&lt;&gt;"",K67&lt;&gt;"",O67&lt;&gt;""),"可进入草稿","补证据/角度"))</x:f>
      </x:c>
    </x:row>
    <x:row r="68" ht="40" customHeight="1">
      <x:c r="A68" s="78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78"/>
      <x:c r="S68" s="29"/>
      <x:c r="T68" s="29"/>
      <x:c r="U68" s="81" t="str">
        <x:f>IF(D68="","",ROUND(COUNTIF(G68:P68,"&lt;&gt;")/10*100,0))</x:f>
      </x:c>
      <x:c r="V68" s="29" t="str">
        <x:f>IF(D68="","",IF(AND(B68="已核验",G68&lt;&gt;"",H68&lt;&gt;"",K68&lt;&gt;"",O68&lt;&gt;""),"可进入草稿","补证据/角度"))</x:f>
      </x:c>
    </x:row>
    <x:row r="69" ht="40" customHeight="1">
      <x:c r="A69" s="78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78"/>
      <x:c r="S69" s="29"/>
      <x:c r="T69" s="29"/>
      <x:c r="U69" s="81" t="str">
        <x:f>IF(D69="","",ROUND(COUNTIF(G69:P69,"&lt;&gt;")/10*100,0))</x:f>
      </x:c>
      <x:c r="V69" s="29" t="str">
        <x:f>IF(D69="","",IF(AND(B69="已核验",G69&lt;&gt;"",H69&lt;&gt;"",K69&lt;&gt;"",O69&lt;&gt;""),"可进入草稿","补证据/角度"))</x:f>
      </x:c>
    </x:row>
    <x:row r="70" ht="40" customHeight="1">
      <x:c r="A70" s="78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78"/>
      <x:c r="S70" s="29"/>
      <x:c r="T70" s="29"/>
      <x:c r="U70" s="81" t="str">
        <x:f>IF(D70="","",ROUND(COUNTIF(G70:P70,"&lt;&gt;")/10*100,0))</x:f>
      </x:c>
      <x:c r="V70" s="29" t="str">
        <x:f>IF(D70="","",IF(AND(B70="已核验",G70&lt;&gt;"",H70&lt;&gt;"",K70&lt;&gt;"",O70&lt;&gt;""),"可进入草稿","补证据/角度"))</x:f>
      </x:c>
    </x:row>
    <x:row r="71" ht="40" customHeight="1">
      <x:c r="A71" s="78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78"/>
      <x:c r="S71" s="29"/>
      <x:c r="T71" s="29"/>
      <x:c r="U71" s="81" t="str">
        <x:f>IF(D71="","",ROUND(COUNTIF(G71:P71,"&lt;&gt;")/10*100,0))</x:f>
      </x:c>
      <x:c r="V71" s="29" t="str">
        <x:f>IF(D71="","",IF(AND(B71="已核验",G71&lt;&gt;"",H71&lt;&gt;"",K71&lt;&gt;"",O71&lt;&gt;""),"可进入草稿","补证据/角度"))</x:f>
      </x:c>
    </x:row>
    <x:row r="72" ht="40" customHeight="1">
      <x:c r="A72" s="78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78"/>
      <x:c r="S72" s="29"/>
      <x:c r="T72" s="29"/>
      <x:c r="U72" s="81" t="str">
        <x:f>IF(D72="","",ROUND(COUNTIF(G72:P72,"&lt;&gt;")/10*100,0))</x:f>
      </x:c>
      <x:c r="V72" s="29" t="str">
        <x:f>IF(D72="","",IF(AND(B72="已核验",G72&lt;&gt;"",H72&lt;&gt;"",K72&lt;&gt;"",O72&lt;&gt;""),"可进入草稿","补证据/角度"))</x:f>
      </x:c>
    </x:row>
    <x:row r="73" ht="40" customHeight="1">
      <x:c r="A73" s="78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78"/>
      <x:c r="S73" s="29"/>
      <x:c r="T73" s="29"/>
      <x:c r="U73" s="81" t="str">
        <x:f>IF(D73="","",ROUND(COUNTIF(G73:P73,"&lt;&gt;")/10*100,0))</x:f>
      </x:c>
      <x:c r="V73" s="29" t="str">
        <x:f>IF(D73="","",IF(AND(B73="已核验",G73&lt;&gt;"",H73&lt;&gt;"",K73&lt;&gt;"",O73&lt;&gt;""),"可进入草稿","补证据/角度"))</x:f>
      </x:c>
    </x:row>
    <x:row r="74" ht="40" customHeight="1">
      <x:c r="A74" s="78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78"/>
      <x:c r="S74" s="29"/>
      <x:c r="T74" s="29"/>
      <x:c r="U74" s="81" t="str">
        <x:f>IF(D74="","",ROUND(COUNTIF(G74:P74,"&lt;&gt;")/10*100,0))</x:f>
      </x:c>
      <x:c r="V74" s="29" t="str">
        <x:f>IF(D74="","",IF(AND(B74="已核验",G74&lt;&gt;"",H74&lt;&gt;"",K74&lt;&gt;"",O74&lt;&gt;""),"可进入草稿","补证据/角度"))</x:f>
      </x:c>
    </x:row>
    <x:row r="75" ht="40" customHeight="1">
      <x:c r="A75" s="78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78"/>
      <x:c r="S75" s="29"/>
      <x:c r="T75" s="29"/>
      <x:c r="U75" s="81" t="str">
        <x:f>IF(D75="","",ROUND(COUNTIF(G75:P75,"&lt;&gt;")/10*100,0))</x:f>
      </x:c>
      <x:c r="V75" s="29" t="str">
        <x:f>IF(D75="","",IF(AND(B75="已核验",G75&lt;&gt;"",H75&lt;&gt;"",K75&lt;&gt;"",O75&lt;&gt;""),"可进入草稿","补证据/角度"))</x:f>
      </x:c>
    </x:row>
    <x:row r="76" ht="40" customHeight="1">
      <x:c r="A76" s="78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78"/>
      <x:c r="S76" s="29"/>
      <x:c r="T76" s="29"/>
      <x:c r="U76" s="81" t="str">
        <x:f>IF(D76="","",ROUND(COUNTIF(G76:P76,"&lt;&gt;")/10*100,0))</x:f>
      </x:c>
      <x:c r="V76" s="29" t="str">
        <x:f>IF(D76="","",IF(AND(B76="已核验",G76&lt;&gt;"",H76&lt;&gt;"",K76&lt;&gt;"",O76&lt;&gt;""),"可进入草稿","补证据/角度"))</x:f>
      </x:c>
    </x:row>
    <x:row r="77" ht="40" customHeight="1">
      <x:c r="A77" s="78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78"/>
      <x:c r="S77" s="29"/>
      <x:c r="T77" s="29"/>
      <x:c r="U77" s="81" t="str">
        <x:f>IF(D77="","",ROUND(COUNTIF(G77:P77,"&lt;&gt;")/10*100,0))</x:f>
      </x:c>
      <x:c r="V77" s="29" t="str">
        <x:f>IF(D77="","",IF(AND(B77="已核验",G77&lt;&gt;"",H77&lt;&gt;"",K77&lt;&gt;"",O77&lt;&gt;""),"可进入草稿","补证据/角度"))</x:f>
      </x:c>
    </x:row>
    <x:row r="78" ht="40" customHeight="1">
      <x:c r="A78" s="78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78"/>
      <x:c r="S78" s="29"/>
      <x:c r="T78" s="29"/>
      <x:c r="U78" s="81" t="str">
        <x:f>IF(D78="","",ROUND(COUNTIF(G78:P78,"&lt;&gt;")/10*100,0))</x:f>
      </x:c>
      <x:c r="V78" s="29" t="str">
        <x:f>IF(D78="","",IF(AND(B78="已核验",G78&lt;&gt;"",H78&lt;&gt;"",K78&lt;&gt;"",O78&lt;&gt;""),"可进入草稿","补证据/角度"))</x:f>
      </x:c>
    </x:row>
    <x:row r="79" ht="40" customHeight="1">
      <x:c r="A79" s="78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78"/>
      <x:c r="S79" s="29"/>
      <x:c r="T79" s="29"/>
      <x:c r="U79" s="81" t="str">
        <x:f>IF(D79="","",ROUND(COUNTIF(G79:P79,"&lt;&gt;")/10*100,0))</x:f>
      </x:c>
      <x:c r="V79" s="29" t="str">
        <x:f>IF(D79="","",IF(AND(B79="已核验",G79&lt;&gt;"",H79&lt;&gt;"",K79&lt;&gt;"",O79&lt;&gt;""),"可进入草稿","补证据/角度"))</x:f>
      </x:c>
    </x:row>
    <x:row r="80" ht="40" customHeight="1">
      <x:c r="A80" s="78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78"/>
      <x:c r="S80" s="29"/>
      <x:c r="T80" s="29"/>
      <x:c r="U80" s="81" t="str">
        <x:f>IF(D80="","",ROUND(COUNTIF(G80:P80,"&lt;&gt;")/10*100,0))</x:f>
      </x:c>
      <x:c r="V80" s="29" t="str">
        <x:f>IF(D80="","",IF(AND(B80="已核验",G80&lt;&gt;"",H80&lt;&gt;"",K80&lt;&gt;"",O80&lt;&gt;""),"可进入草稿","补证据/角度"))</x:f>
      </x:c>
    </x:row>
    <x:row r="81" ht="40" customHeight="1">
      <x:c r="A81" s="78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78"/>
      <x:c r="S81" s="29"/>
      <x:c r="T81" s="29"/>
      <x:c r="U81" s="81" t="str">
        <x:f>IF(D81="","",ROUND(COUNTIF(G81:P81,"&lt;&gt;")/10*100,0))</x:f>
      </x:c>
      <x:c r="V81" s="29" t="str">
        <x:f>IF(D81="","",IF(AND(B81="已核验",G81&lt;&gt;"",H81&lt;&gt;"",K81&lt;&gt;"",O81&lt;&gt;""),"可进入草稿","补证据/角度"))</x:f>
      </x:c>
    </x:row>
    <x:row r="82" ht="40" customHeight="1">
      <x:c r="A82" s="78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78"/>
      <x:c r="S82" s="29"/>
      <x:c r="T82" s="29"/>
      <x:c r="U82" s="81" t="str">
        <x:f>IF(D82="","",ROUND(COUNTIF(G82:P82,"&lt;&gt;")/10*100,0))</x:f>
      </x:c>
      <x:c r="V82" s="29" t="str">
        <x:f>IF(D82="","",IF(AND(B82="已核验",G82&lt;&gt;"",H82&lt;&gt;"",K82&lt;&gt;"",O82&lt;&gt;""),"可进入草稿","补证据/角度"))</x:f>
      </x:c>
    </x:row>
    <x:row r="83" ht="40" customHeight="1">
      <x:c r="A83" s="78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78"/>
      <x:c r="S83" s="29"/>
      <x:c r="T83" s="29"/>
      <x:c r="U83" s="81" t="str">
        <x:f>IF(D83="","",ROUND(COUNTIF(G83:P83,"&lt;&gt;")/10*100,0))</x:f>
      </x:c>
      <x:c r="V83" s="29" t="str">
        <x:f>IF(D83="","",IF(AND(B83="已核验",G83&lt;&gt;"",H83&lt;&gt;"",K83&lt;&gt;"",O83&lt;&gt;""),"可进入草稿","补证据/角度"))</x:f>
      </x:c>
    </x:row>
    <x:row r="84" ht="40" customHeight="1">
      <x:c r="A84" s="78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78"/>
      <x:c r="S84" s="29"/>
      <x:c r="T84" s="29"/>
      <x:c r="U84" s="81" t="str">
        <x:f>IF(D84="","",ROUND(COUNTIF(G84:P84,"&lt;&gt;")/10*100,0))</x:f>
      </x:c>
      <x:c r="V84" s="29" t="str">
        <x:f>IF(D84="","",IF(AND(B84="已核验",G84&lt;&gt;"",H84&lt;&gt;"",K84&lt;&gt;"",O84&lt;&gt;""),"可进入草稿","补证据/角度"))</x:f>
      </x:c>
    </x:row>
    <x:row r="85" ht="40" customHeight="1">
      <x:c r="A85" s="78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78"/>
      <x:c r="S85" s="29"/>
      <x:c r="T85" s="29"/>
      <x:c r="U85" s="81" t="str">
        <x:f>IF(D85="","",ROUND(COUNTIF(G85:P85,"&lt;&gt;")/10*100,0))</x:f>
      </x:c>
      <x:c r="V85" s="29" t="str">
        <x:f>IF(D85="","",IF(AND(B85="已核验",G85&lt;&gt;"",H85&lt;&gt;"",K85&lt;&gt;"",O85&lt;&gt;""),"可进入草稿","补证据/角度"))</x:f>
      </x:c>
    </x:row>
    <x:row r="86" ht="40" customHeight="1">
      <x:c r="A86" s="78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78"/>
      <x:c r="S86" s="29"/>
      <x:c r="T86" s="29"/>
      <x:c r="U86" s="81" t="str">
        <x:f>IF(D86="","",ROUND(COUNTIF(G86:P86,"&lt;&gt;")/10*100,0))</x:f>
      </x:c>
      <x:c r="V86" s="29" t="str">
        <x:f>IF(D86="","",IF(AND(B86="已核验",G86&lt;&gt;"",H86&lt;&gt;"",K86&lt;&gt;"",O86&lt;&gt;""),"可进入草稿","补证据/角度"))</x:f>
      </x:c>
    </x:row>
    <x:row r="87" ht="40" customHeight="1">
      <x:c r="A87" s="78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78"/>
      <x:c r="S87" s="29"/>
      <x:c r="T87" s="29"/>
      <x:c r="U87" s="81" t="str">
        <x:f>IF(D87="","",ROUND(COUNTIF(G87:P87,"&lt;&gt;")/10*100,0))</x:f>
      </x:c>
      <x:c r="V87" s="29" t="str">
        <x:f>IF(D87="","",IF(AND(B87="已核验",G87&lt;&gt;"",H87&lt;&gt;"",K87&lt;&gt;"",O87&lt;&gt;""),"可进入草稿","补证据/角度"))</x:f>
      </x:c>
    </x:row>
    <x:row r="88" ht="40" customHeight="1">
      <x:c r="A88" s="78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78"/>
      <x:c r="S88" s="29"/>
      <x:c r="T88" s="29"/>
      <x:c r="U88" s="81" t="str">
        <x:f>IF(D88="","",ROUND(COUNTIF(G88:P88,"&lt;&gt;")/10*100,0))</x:f>
      </x:c>
      <x:c r="V88" s="29" t="str">
        <x:f>IF(D88="","",IF(AND(B88="已核验",G88&lt;&gt;"",H88&lt;&gt;"",K88&lt;&gt;"",O88&lt;&gt;""),"可进入草稿","补证据/角度"))</x:f>
      </x:c>
    </x:row>
    <x:row r="89" ht="40" customHeight="1">
      <x:c r="A89" s="78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78"/>
      <x:c r="S89" s="29"/>
      <x:c r="T89" s="29"/>
      <x:c r="U89" s="81" t="str">
        <x:f>IF(D89="","",ROUND(COUNTIF(G89:P89,"&lt;&gt;")/10*100,0))</x:f>
      </x:c>
      <x:c r="V89" s="29" t="str">
        <x:f>IF(D89="","",IF(AND(B89="已核验",G89&lt;&gt;"",H89&lt;&gt;"",K89&lt;&gt;"",O89&lt;&gt;""),"可进入草稿","补证据/角度"))</x:f>
      </x:c>
    </x:row>
    <x:row r="90" ht="40" customHeight="1">
      <x:c r="A90" s="78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78"/>
      <x:c r="S90" s="29"/>
      <x:c r="T90" s="29"/>
      <x:c r="U90" s="81" t="str">
        <x:f>IF(D90="","",ROUND(COUNTIF(G90:P90,"&lt;&gt;")/10*100,0))</x:f>
      </x:c>
      <x:c r="V90" s="29" t="str">
        <x:f>IF(D90="","",IF(AND(B90="已核验",G90&lt;&gt;"",H90&lt;&gt;"",K90&lt;&gt;"",O90&lt;&gt;""),"可进入草稿","补证据/角度"))</x:f>
      </x:c>
    </x:row>
    <x:row r="91" ht="40" customHeight="1">
      <x:c r="A91" s="78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78"/>
      <x:c r="S91" s="29"/>
      <x:c r="T91" s="29"/>
      <x:c r="U91" s="81" t="str">
        <x:f>IF(D91="","",ROUND(COUNTIF(G91:P91,"&lt;&gt;")/10*100,0))</x:f>
      </x:c>
      <x:c r="V91" s="29" t="str">
        <x:f>IF(D91="","",IF(AND(B91="已核验",G91&lt;&gt;"",H91&lt;&gt;"",K91&lt;&gt;"",O91&lt;&gt;""),"可进入草稿","补证据/角度"))</x:f>
      </x:c>
    </x:row>
    <x:row r="92" ht="40" customHeight="1">
      <x:c r="A92" s="78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78"/>
      <x:c r="S92" s="29"/>
      <x:c r="T92" s="29"/>
      <x:c r="U92" s="81" t="str">
        <x:f>IF(D92="","",ROUND(COUNTIF(G92:P92,"&lt;&gt;")/10*100,0))</x:f>
      </x:c>
      <x:c r="V92" s="29" t="str">
        <x:f>IF(D92="","",IF(AND(B92="已核验",G92&lt;&gt;"",H92&lt;&gt;"",K92&lt;&gt;"",O92&lt;&gt;""),"可进入草稿","补证据/角度"))</x:f>
      </x:c>
    </x:row>
    <x:row r="93" ht="40" customHeight="1">
      <x:c r="A93" s="78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78"/>
      <x:c r="S93" s="29"/>
      <x:c r="T93" s="29"/>
      <x:c r="U93" s="81" t="str">
        <x:f>IF(D93="","",ROUND(COUNTIF(G93:P93,"&lt;&gt;")/10*100,0))</x:f>
      </x:c>
      <x:c r="V93" s="29" t="str">
        <x:f>IF(D93="","",IF(AND(B93="已核验",G93&lt;&gt;"",H93&lt;&gt;"",K93&lt;&gt;"",O93&lt;&gt;""),"可进入草稿","补证据/角度"))</x:f>
      </x:c>
    </x:row>
    <x:row r="94" ht="40" customHeight="1">
      <x:c r="A94" s="78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78"/>
      <x:c r="S94" s="29"/>
      <x:c r="T94" s="29"/>
      <x:c r="U94" s="81" t="str">
        <x:f>IF(D94="","",ROUND(COUNTIF(G94:P94,"&lt;&gt;")/10*100,0))</x:f>
      </x:c>
      <x:c r="V94" s="29" t="str">
        <x:f>IF(D94="","",IF(AND(B94="已核验",G94&lt;&gt;"",H94&lt;&gt;"",K94&lt;&gt;"",O94&lt;&gt;""),"可进入草稿","补证据/角度"))</x:f>
      </x:c>
    </x:row>
    <x:row r="95" ht="40" customHeight="1">
      <x:c r="A95" s="78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78"/>
      <x:c r="S95" s="29"/>
      <x:c r="T95" s="29"/>
      <x:c r="U95" s="81" t="str">
        <x:f>IF(D95="","",ROUND(COUNTIF(G95:P95,"&lt;&gt;")/10*100,0))</x:f>
      </x:c>
      <x:c r="V95" s="29" t="str">
        <x:f>IF(D95="","",IF(AND(B95="已核验",G95&lt;&gt;"",H95&lt;&gt;"",K95&lt;&gt;"",O95&lt;&gt;""),"可进入草稿","补证据/角度"))</x:f>
      </x:c>
    </x:row>
    <x:row r="96" ht="40" customHeight="1">
      <x:c r="A96" s="78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78"/>
      <x:c r="S96" s="29"/>
      <x:c r="T96" s="29"/>
      <x:c r="U96" s="81" t="str">
        <x:f>IF(D96="","",ROUND(COUNTIF(G96:P96,"&lt;&gt;")/10*100,0))</x:f>
      </x:c>
      <x:c r="V96" s="29" t="str">
        <x:f>IF(D96="","",IF(AND(B96="已核验",G96&lt;&gt;"",H96&lt;&gt;"",K96&lt;&gt;"",O96&lt;&gt;""),"可进入草稿","补证据/角度"))</x:f>
      </x:c>
    </x:row>
    <x:row r="97" ht="40" customHeight="1">
      <x:c r="A97" s="78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78"/>
      <x:c r="S97" s="29"/>
      <x:c r="T97" s="29"/>
      <x:c r="U97" s="81" t="str">
        <x:f>IF(D97="","",ROUND(COUNTIF(G97:P97,"&lt;&gt;")/10*100,0))</x:f>
      </x:c>
      <x:c r="V97" s="29" t="str">
        <x:f>IF(D97="","",IF(AND(B97="已核验",G97&lt;&gt;"",H97&lt;&gt;"",K97&lt;&gt;"",O97&lt;&gt;""),"可进入草稿","补证据/角度"))</x:f>
      </x:c>
    </x:row>
    <x:row r="98" ht="40" customHeight="1">
      <x:c r="A98" s="78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78"/>
      <x:c r="S98" s="29"/>
      <x:c r="T98" s="29"/>
      <x:c r="U98" s="81" t="str">
        <x:f>IF(D98="","",ROUND(COUNTIF(G98:P98,"&lt;&gt;")/10*100,0))</x:f>
      </x:c>
      <x:c r="V98" s="29" t="str">
        <x:f>IF(D98="","",IF(AND(B98="已核验",G98&lt;&gt;"",H98&lt;&gt;"",K98&lt;&gt;"",O98&lt;&gt;""),"可进入草稿","补证据/角度"))</x:f>
      </x:c>
    </x:row>
    <x:row r="99" ht="40" customHeight="1">
      <x:c r="A99" s="78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78"/>
      <x:c r="S99" s="29"/>
      <x:c r="T99" s="29"/>
      <x:c r="U99" s="81" t="str">
        <x:f>IF(D99="","",ROUND(COUNTIF(G99:P99,"&lt;&gt;")/10*100,0))</x:f>
      </x:c>
      <x:c r="V99" s="29" t="str">
        <x:f>IF(D99="","",IF(AND(B99="已核验",G99&lt;&gt;"",H99&lt;&gt;"",K99&lt;&gt;"",O99&lt;&gt;""),"可进入草稿","补证据/角度"))</x:f>
      </x:c>
    </x:row>
    <x:row r="100" ht="40" customHeight="1">
      <x:c r="A100" s="78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78"/>
      <x:c r="S100" s="29"/>
      <x:c r="T100" s="29"/>
      <x:c r="U100" s="81" t="str">
        <x:f>IF(D100="","",ROUND(COUNTIF(G100:P100,"&lt;&gt;")/10*100,0))</x:f>
      </x:c>
      <x:c r="V100" s="29" t="str">
        <x:f>IF(D100="","",IF(AND(B100="已核验",G100&lt;&gt;"",H100&lt;&gt;"",K100&lt;&gt;"",O100&lt;&gt;""),"可进入草稿","补证据/角度"))</x:f>
      </x:c>
    </x:row>
    <x:row r="101" ht="40" customHeight="1">
      <x:c r="A101" s="78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78"/>
      <x:c r="S101" s="29"/>
      <x:c r="T101" s="29"/>
      <x:c r="U101" s="81" t="str">
        <x:f>IF(D101="","",ROUND(COUNTIF(G101:P101,"&lt;&gt;")/10*100,0))</x:f>
      </x:c>
      <x:c r="V101" s="29" t="str">
        <x:f>IF(D101="","",IF(AND(B101="已核验",G101&lt;&gt;"",H101&lt;&gt;"",K101&lt;&gt;"",O101&lt;&gt;""),"可进入草稿","补证据/角度"))</x:f>
      </x:c>
    </x:row>
    <x:row r="102" ht="40" customHeight="1">
      <x:c r="A102" s="78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78"/>
      <x:c r="S102" s="29"/>
      <x:c r="T102" s="29"/>
      <x:c r="U102" s="81" t="str">
        <x:f>IF(D102="","",ROUND(COUNTIF(G102:P102,"&lt;&gt;")/10*100,0))</x:f>
      </x:c>
      <x:c r="V102" s="29" t="str">
        <x:f>IF(D102="","",IF(AND(B102="已核验",G102&lt;&gt;"",H102&lt;&gt;"",K102&lt;&gt;"",O102&lt;&gt;""),"可进入草稿","补证据/角度"))</x:f>
      </x:c>
    </x:row>
    <x:row r="103" ht="40" customHeight="1">
      <x:c r="A103" s="78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78"/>
      <x:c r="S103" s="29"/>
      <x:c r="T103" s="29"/>
      <x:c r="U103" s="81" t="str">
        <x:f>IF(D103="","",ROUND(COUNTIF(G103:P103,"&lt;&gt;")/10*100,0))</x:f>
      </x:c>
      <x:c r="V103" s="29" t="str">
        <x:f>IF(D103="","",IF(AND(B103="已核验",G103&lt;&gt;"",H103&lt;&gt;"",K103&lt;&gt;"",O103&lt;&gt;""),"可进入草稿","补证据/角度"))</x:f>
      </x:c>
    </x:row>
    <x:row r="104" ht="40" customHeight="1">
      <x:c r="A104" s="78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78"/>
      <x:c r="S104" s="29"/>
      <x:c r="T104" s="29"/>
      <x:c r="U104" s="81" t="str">
        <x:f>IF(D104="","",ROUND(COUNTIF(G104:P104,"&lt;&gt;")/10*100,0))</x:f>
      </x:c>
      <x:c r="V104" s="29" t="str">
        <x:f>IF(D104="","",IF(AND(B104="已核验",G104&lt;&gt;"",H104&lt;&gt;"",K104&lt;&gt;"",O104&lt;&gt;""),"可进入草稿","补证据/角度"))</x:f>
      </x:c>
    </x:row>
    <x:row r="105" ht="40" customHeight="1">
      <x:c r="A105" s="78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78"/>
      <x:c r="S105" s="29"/>
      <x:c r="T105" s="29"/>
      <x:c r="U105" s="81" t="str">
        <x:f>IF(D105="","",ROUND(COUNTIF(G105:P105,"&lt;&gt;")/10*100,0))</x:f>
      </x:c>
      <x:c r="V105" s="29" t="str">
        <x:f>IF(D105="","",IF(AND(B105="已核验",G105&lt;&gt;"",H105&lt;&gt;"",K105&lt;&gt;"",O105&lt;&gt;""),"可进入草稿","补证据/角度"))</x:f>
      </x:c>
    </x:row>
    <x:row r="106" ht="40" customHeight="1">
      <x:c r="A106" s="78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78"/>
      <x:c r="S106" s="29"/>
      <x:c r="T106" s="29"/>
      <x:c r="U106" s="81" t="str">
        <x:f>IF(D106="","",ROUND(COUNTIF(G106:P106,"&lt;&gt;")/10*100,0))</x:f>
      </x:c>
      <x:c r="V106" s="29" t="str">
        <x:f>IF(D106="","",IF(AND(B106="已核验",G106&lt;&gt;"",H106&lt;&gt;"",K106&lt;&gt;"",O106&lt;&gt;""),"可进入草稿","补证据/角度"))</x:f>
      </x:c>
    </x:row>
    <x:row r="107" ht="40" customHeight="1">
      <x:c r="A107" s="78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78"/>
      <x:c r="S107" s="29"/>
      <x:c r="T107" s="29"/>
      <x:c r="U107" s="81" t="str">
        <x:f>IF(D107="","",ROUND(COUNTIF(G107:P107,"&lt;&gt;")/10*100,0))</x:f>
      </x:c>
      <x:c r="V107" s="29" t="str">
        <x:f>IF(D107="","",IF(AND(B107="已核验",G107&lt;&gt;"",H107&lt;&gt;"",K107&lt;&gt;"",O107&lt;&gt;""),"可进入草稿","补证据/角度"))</x:f>
      </x:c>
    </x:row>
    <x:row r="108" ht="40" customHeight="1">
      <x:c r="A108" s="78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78"/>
      <x:c r="S108" s="29"/>
      <x:c r="T108" s="29"/>
      <x:c r="U108" s="81" t="str">
        <x:f>IF(D108="","",ROUND(COUNTIF(G108:P108,"&lt;&gt;")/10*100,0))</x:f>
      </x:c>
      <x:c r="V108" s="29" t="str">
        <x:f>IF(D108="","",IF(AND(B108="已核验",G108&lt;&gt;"",H108&lt;&gt;"",K108&lt;&gt;"",O108&lt;&gt;""),"可进入草稿","补证据/角度"))</x:f>
      </x:c>
    </x:row>
    <x:row r="109" ht="40" customHeight="1">
      <x:c r="A109" s="78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78"/>
      <x:c r="S109" s="29"/>
      <x:c r="T109" s="29"/>
      <x:c r="U109" s="81" t="str">
        <x:f>IF(D109="","",ROUND(COUNTIF(G109:P109,"&lt;&gt;")/10*100,0))</x:f>
      </x:c>
      <x:c r="V109" s="29" t="str">
        <x:f>IF(D109="","",IF(AND(B109="已核验",G109&lt;&gt;"",H109&lt;&gt;"",K109&lt;&gt;"",O109&lt;&gt;""),"可进入草稿","补证据/角度"))</x:f>
      </x:c>
    </x:row>
    <x:row r="110" ht="40" customHeight="1">
      <x:c r="A110" s="78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78"/>
      <x:c r="S110" s="29"/>
      <x:c r="T110" s="29"/>
      <x:c r="U110" s="81" t="str">
        <x:f>IF(D110="","",ROUND(COUNTIF(G110:P110,"&lt;&gt;")/10*100,0))</x:f>
      </x:c>
      <x:c r="V110" s="29" t="str">
        <x:f>IF(D110="","",IF(AND(B110="已核验",G110&lt;&gt;"",H110&lt;&gt;"",K110&lt;&gt;"",O110&lt;&gt;""),"可进入草稿","补证据/角度"))</x:f>
      </x:c>
    </x:row>
    <x:row r="111" ht="40" customHeight="1">
      <x:c r="A111" s="78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78"/>
      <x:c r="S111" s="29"/>
      <x:c r="T111" s="29"/>
      <x:c r="U111" s="81" t="str">
        <x:f>IF(D111="","",ROUND(COUNTIF(G111:P111,"&lt;&gt;")/10*100,0))</x:f>
      </x:c>
      <x:c r="V111" s="29" t="str">
        <x:f>IF(D111="","",IF(AND(B111="已核验",G111&lt;&gt;"",H111&lt;&gt;"",K111&lt;&gt;"",O111&lt;&gt;""),"可进入草稿","补证据/角度"))</x:f>
      </x:c>
    </x:row>
    <x:row r="112" ht="40" customHeight="1">
      <x:c r="A112" s="78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78"/>
      <x:c r="S112" s="29"/>
      <x:c r="T112" s="29"/>
      <x:c r="U112" s="81" t="str">
        <x:f>IF(D112="","",ROUND(COUNTIF(G112:P112,"&lt;&gt;")/10*100,0))</x:f>
      </x:c>
      <x:c r="V112" s="29" t="str">
        <x:f>IF(D112="","",IF(AND(B112="已核验",G112&lt;&gt;"",H112&lt;&gt;"",K112&lt;&gt;"",O112&lt;&gt;""),"可进入草稿","补证据/角度"))</x:f>
      </x:c>
    </x:row>
    <x:row r="113" ht="40" customHeight="1">
      <x:c r="A113" s="78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78"/>
      <x:c r="S113" s="29"/>
      <x:c r="T113" s="29"/>
      <x:c r="U113" s="81" t="str">
        <x:f>IF(D113="","",ROUND(COUNTIF(G113:P113,"&lt;&gt;")/10*100,0))</x:f>
      </x:c>
      <x:c r="V113" s="29" t="str">
        <x:f>IF(D113="","",IF(AND(B113="已核验",G113&lt;&gt;"",H113&lt;&gt;"",K113&lt;&gt;"",O113&lt;&gt;""),"可进入草稿","补证据/角度"))</x:f>
      </x:c>
    </x:row>
    <x:row r="114" ht="40" customHeight="1">
      <x:c r="A114" s="78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78"/>
      <x:c r="S114" s="29"/>
      <x:c r="T114" s="29"/>
      <x:c r="U114" s="81" t="str">
        <x:f>IF(D114="","",ROUND(COUNTIF(G114:P114,"&lt;&gt;")/10*100,0))</x:f>
      </x:c>
      <x:c r="V114" s="29" t="str">
        <x:f>IF(D114="","",IF(AND(B114="已核验",G114&lt;&gt;"",H114&lt;&gt;"",K114&lt;&gt;"",O114&lt;&gt;""),"可进入草稿","补证据/角度"))</x:f>
      </x:c>
    </x:row>
    <x:row r="115" ht="40" customHeight="1">
      <x:c r="A115" s="78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78"/>
      <x:c r="S115" s="29"/>
      <x:c r="T115" s="29"/>
      <x:c r="U115" s="81" t="str">
        <x:f>IF(D115="","",ROUND(COUNTIF(G115:P115,"&lt;&gt;")/10*100,0))</x:f>
      </x:c>
      <x:c r="V115" s="29" t="str">
        <x:f>IF(D115="","",IF(AND(B115="已核验",G115&lt;&gt;"",H115&lt;&gt;"",K115&lt;&gt;"",O115&lt;&gt;""),"可进入草稿","补证据/角度"))</x:f>
      </x:c>
    </x:row>
    <x:row r="116" ht="40" customHeight="1">
      <x:c r="A116" s="78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78"/>
      <x:c r="S116" s="29"/>
      <x:c r="T116" s="29"/>
      <x:c r="U116" s="81" t="str">
        <x:f>IF(D116="","",ROUND(COUNTIF(G116:P116,"&lt;&gt;")/10*100,0))</x:f>
      </x:c>
      <x:c r="V116" s="29" t="str">
        <x:f>IF(D116="","",IF(AND(B116="已核验",G116&lt;&gt;"",H116&lt;&gt;"",K116&lt;&gt;"",O116&lt;&gt;""),"可进入草稿","补证据/角度"))</x:f>
      </x:c>
    </x:row>
    <x:row r="117" ht="40" customHeight="1">
      <x:c r="A117" s="78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78"/>
      <x:c r="S117" s="29"/>
      <x:c r="T117" s="29"/>
      <x:c r="U117" s="81" t="str">
        <x:f>IF(D117="","",ROUND(COUNTIF(G117:P117,"&lt;&gt;")/10*100,0))</x:f>
      </x:c>
      <x:c r="V117" s="29" t="str">
        <x:f>IF(D117="","",IF(AND(B117="已核验",G117&lt;&gt;"",H117&lt;&gt;"",K117&lt;&gt;"",O117&lt;&gt;""),"可进入草稿","补证据/角度"))</x:f>
      </x:c>
    </x:row>
    <x:row r="118" ht="40" customHeight="1">
      <x:c r="A118" s="78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78"/>
      <x:c r="S118" s="29"/>
      <x:c r="T118" s="29"/>
      <x:c r="U118" s="81" t="str">
        <x:f>IF(D118="","",ROUND(COUNTIF(G118:P118,"&lt;&gt;")/10*100,0))</x:f>
      </x:c>
      <x:c r="V118" s="29" t="str">
        <x:f>IF(D118="","",IF(AND(B118="已核验",G118&lt;&gt;"",H118&lt;&gt;"",K118&lt;&gt;"",O118&lt;&gt;""),"可进入草稿","补证据/角度"))</x:f>
      </x:c>
    </x:row>
    <x:row r="119" ht="40" customHeight="1">
      <x:c r="A119" s="78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78"/>
      <x:c r="S119" s="29"/>
      <x:c r="T119" s="29"/>
      <x:c r="U119" s="81" t="str">
        <x:f>IF(D119="","",ROUND(COUNTIF(G119:P119,"&lt;&gt;")/10*100,0))</x:f>
      </x:c>
      <x:c r="V119" s="29" t="str">
        <x:f>IF(D119="","",IF(AND(B119="已核验",G119&lt;&gt;"",H119&lt;&gt;"",K119&lt;&gt;"",O119&lt;&gt;""),"可进入草稿","补证据/角度"))</x:f>
      </x:c>
    </x:row>
    <x:row r="120" ht="40" customHeight="1">
      <x:c r="A120" s="78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78"/>
      <x:c r="S120" s="29"/>
      <x:c r="T120" s="29"/>
      <x:c r="U120" s="81" t="str">
        <x:f>IF(D120="","",ROUND(COUNTIF(G120:P120,"&lt;&gt;")/10*100,0))</x:f>
      </x:c>
      <x:c r="V120" s="29" t="str">
        <x:f>IF(D120="","",IF(AND(B120="已核验",G120&lt;&gt;"",H120&lt;&gt;"",K120&lt;&gt;"",O120&lt;&gt;""),"可进入草稿","补证据/角度"))</x:f>
      </x:c>
    </x:row>
    <x:row r="121" ht="40" customHeight="1">
      <x:c r="A121" s="78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78"/>
      <x:c r="S121" s="29"/>
      <x:c r="T121" s="29"/>
      <x:c r="U121" s="81" t="str">
        <x:f>IF(D121="","",ROUND(COUNTIF(G121:P121,"&lt;&gt;")/10*100,0))</x:f>
      </x:c>
      <x:c r="V121" s="29" t="str">
        <x:f>IF(D121="","",IF(AND(B121="已核验",G121&lt;&gt;"",H121&lt;&gt;"",K121&lt;&gt;"",O121&lt;&gt;""),"可进入草稿","补证据/角度"))</x:f>
      </x:c>
    </x:row>
    <x:row r="122" ht="40" customHeight="1">
      <x:c r="A122" s="78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78"/>
      <x:c r="S122" s="29"/>
      <x:c r="T122" s="29"/>
      <x:c r="U122" s="81" t="str">
        <x:f>IF(D122="","",ROUND(COUNTIF(G122:P122,"&lt;&gt;")/10*100,0))</x:f>
      </x:c>
      <x:c r="V122" s="29" t="str">
        <x:f>IF(D122="","",IF(AND(B122="已核验",G122&lt;&gt;"",H122&lt;&gt;"",K122&lt;&gt;"",O122&lt;&gt;""),"可进入草稿","补证据/角度"))</x:f>
      </x:c>
    </x:row>
    <x:row r="123" ht="40" customHeight="1">
      <x:c r="A123" s="78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78"/>
      <x:c r="S123" s="29"/>
      <x:c r="T123" s="29"/>
      <x:c r="U123" s="81" t="str">
        <x:f>IF(D123="","",ROUND(COUNTIF(G123:P123,"&lt;&gt;")/10*100,0))</x:f>
      </x:c>
      <x:c r="V123" s="29" t="str">
        <x:f>IF(D123="","",IF(AND(B123="已核验",G123&lt;&gt;"",H123&lt;&gt;"",K123&lt;&gt;"",O123&lt;&gt;""),"可进入草稿","补证据/角度"))</x:f>
      </x:c>
    </x:row>
    <x:row r="124" ht="40" customHeight="1">
      <x:c r="A124" s="78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78"/>
      <x:c r="S124" s="29"/>
      <x:c r="T124" s="29"/>
      <x:c r="U124" s="81" t="str">
        <x:f>IF(D124="","",ROUND(COUNTIF(G124:P124,"&lt;&gt;")/10*100,0))</x:f>
      </x:c>
      <x:c r="V124" s="29" t="str">
        <x:f>IF(D124="","",IF(AND(B124="已核验",G124&lt;&gt;"",H124&lt;&gt;"",K124&lt;&gt;"",O124&lt;&gt;""),"可进入草稿","补证据/角度"))</x:f>
      </x:c>
    </x:row>
    <x:row r="125" ht="40" customHeight="1">
      <x:c r="A125" s="78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78"/>
      <x:c r="S125" s="29"/>
      <x:c r="T125" s="29"/>
      <x:c r="U125" s="81" t="str">
        <x:f>IF(D125="","",ROUND(COUNTIF(G125:P125,"&lt;&gt;")/10*100,0))</x:f>
      </x:c>
      <x:c r="V125" s="29" t="str">
        <x:f>IF(D125="","",IF(AND(B125="已核验",G125&lt;&gt;"",H125&lt;&gt;"",K125&lt;&gt;"",O125&lt;&gt;""),"可进入草稿","补证据/角度"))</x:f>
      </x:c>
    </x:row>
    <x:row r="126" ht="40" customHeight="1">
      <x:c r="A126" s="78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78"/>
      <x:c r="S126" s="29"/>
      <x:c r="T126" s="29"/>
      <x:c r="U126" s="81" t="str">
        <x:f>IF(D126="","",ROUND(COUNTIF(G126:P126,"&lt;&gt;")/10*100,0))</x:f>
      </x:c>
      <x:c r="V126" s="29" t="str">
        <x:f>IF(D126="","",IF(AND(B126="已核验",G126&lt;&gt;"",H126&lt;&gt;"",K126&lt;&gt;"",O126&lt;&gt;""),"可进入草稿","补证据/角度"))</x:f>
      </x:c>
    </x:row>
    <x:row r="127" ht="40" customHeight="1">
      <x:c r="A127" s="78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78"/>
      <x:c r="S127" s="29"/>
      <x:c r="T127" s="29"/>
      <x:c r="U127" s="81" t="str">
        <x:f>IF(D127="","",ROUND(COUNTIF(G127:P127,"&lt;&gt;")/10*100,0))</x:f>
      </x:c>
      <x:c r="V127" s="29" t="str">
        <x:f>IF(D127="","",IF(AND(B127="已核验",G127&lt;&gt;"",H127&lt;&gt;"",K127&lt;&gt;"",O127&lt;&gt;""),"可进入草稿","补证据/角度"))</x:f>
      </x:c>
    </x:row>
    <x:row r="128" ht="40" customHeight="1">
      <x:c r="A128" s="78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78"/>
      <x:c r="S128" s="29"/>
      <x:c r="T128" s="29"/>
      <x:c r="U128" s="81" t="str">
        <x:f>IF(D128="","",ROUND(COUNTIF(G128:P128,"&lt;&gt;")/10*100,0))</x:f>
      </x:c>
      <x:c r="V128" s="29" t="str">
        <x:f>IF(D128="","",IF(AND(B128="已核验",G128&lt;&gt;"",H128&lt;&gt;"",K128&lt;&gt;"",O128&lt;&gt;""),"可进入草稿","补证据/角度"))</x:f>
      </x:c>
    </x:row>
    <x:row r="129" ht="40" customHeight="1">
      <x:c r="A129" s="78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78"/>
      <x:c r="S129" s="29"/>
      <x:c r="T129" s="29"/>
      <x:c r="U129" s="81" t="str">
        <x:f>IF(D129="","",ROUND(COUNTIF(G129:P129,"&lt;&gt;")/10*100,0))</x:f>
      </x:c>
      <x:c r="V129" s="29" t="str">
        <x:f>IF(D129="","",IF(AND(B129="已核验",G129&lt;&gt;"",H129&lt;&gt;"",K129&lt;&gt;"",O129&lt;&gt;""),"可进入草稿","补证据/角度"))</x:f>
      </x:c>
    </x:row>
    <x:row r="130" ht="40" customHeight="1">
      <x:c r="A130" s="78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78"/>
      <x:c r="S130" s="29"/>
      <x:c r="T130" s="29"/>
      <x:c r="U130" s="81" t="str">
        <x:f>IF(D130="","",ROUND(COUNTIF(G130:P130,"&lt;&gt;")/10*100,0))</x:f>
      </x:c>
      <x:c r="V130" s="29" t="str">
        <x:f>IF(D130="","",IF(AND(B130="已核验",G130&lt;&gt;"",H130&lt;&gt;"",K130&lt;&gt;"",O130&lt;&gt;""),"可进入草稿","补证据/角度"))</x:f>
      </x:c>
    </x:row>
    <x:row r="131" ht="40" customHeight="1">
      <x:c r="A131" s="78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78"/>
      <x:c r="S131" s="29"/>
      <x:c r="T131" s="29"/>
      <x:c r="U131" s="81" t="str">
        <x:f>IF(D131="","",ROUND(COUNTIF(G131:P131,"&lt;&gt;")/10*100,0))</x:f>
      </x:c>
      <x:c r="V131" s="29" t="str">
        <x:f>IF(D131="","",IF(AND(B131="已核验",G131&lt;&gt;"",H131&lt;&gt;"",K131&lt;&gt;"",O131&lt;&gt;""),"可进入草稿","补证据/角度"))</x:f>
      </x:c>
    </x:row>
    <x:row r="132" ht="40" customHeight="1">
      <x:c r="A132" s="78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78"/>
      <x:c r="S132" s="29"/>
      <x:c r="T132" s="29"/>
      <x:c r="U132" s="81" t="str">
        <x:f>IF(D132="","",ROUND(COUNTIF(G132:P132,"&lt;&gt;")/10*100,0))</x:f>
      </x:c>
      <x:c r="V132" s="29" t="str">
        <x:f>IF(D132="","",IF(AND(B132="已核验",G132&lt;&gt;"",H132&lt;&gt;"",K132&lt;&gt;"",O132&lt;&gt;""),"可进入草稿","补证据/角度"))</x:f>
      </x:c>
    </x:row>
    <x:row r="133" ht="40" customHeight="1">
      <x:c r="A133" s="78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78"/>
      <x:c r="S133" s="29"/>
      <x:c r="T133" s="29"/>
      <x:c r="U133" s="81" t="str">
        <x:f>IF(D133="","",ROUND(COUNTIF(G133:P133,"&lt;&gt;")/10*100,0))</x:f>
      </x:c>
      <x:c r="V133" s="29" t="str">
        <x:f>IF(D133="","",IF(AND(B133="已核验",G133&lt;&gt;"",H133&lt;&gt;"",K133&lt;&gt;"",O133&lt;&gt;""),"可进入草稿","补证据/角度"))</x:f>
      </x:c>
    </x:row>
    <x:row r="134" ht="40" customHeight="1">
      <x:c r="A134" s="78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78"/>
      <x:c r="S134" s="29"/>
      <x:c r="T134" s="29"/>
      <x:c r="U134" s="81" t="str">
        <x:f>IF(D134="","",ROUND(COUNTIF(G134:P134,"&lt;&gt;")/10*100,0))</x:f>
      </x:c>
      <x:c r="V134" s="29" t="str">
        <x:f>IF(D134="","",IF(AND(B134="已核验",G134&lt;&gt;"",H134&lt;&gt;"",K134&lt;&gt;"",O134&lt;&gt;""),"可进入草稿","补证据/角度"))</x:f>
      </x:c>
    </x:row>
    <x:row r="135" ht="40" customHeight="1">
      <x:c r="A135" s="78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78"/>
      <x:c r="S135" s="29"/>
      <x:c r="T135" s="29"/>
      <x:c r="U135" s="81" t="str">
        <x:f>IF(D135="","",ROUND(COUNTIF(G135:P135,"&lt;&gt;")/10*100,0))</x:f>
      </x:c>
      <x:c r="V135" s="29" t="str">
        <x:f>IF(D135="","",IF(AND(B135="已核验",G135&lt;&gt;"",H135&lt;&gt;"",K135&lt;&gt;"",O135&lt;&gt;""),"可进入草稿","补证据/角度"))</x:f>
      </x:c>
    </x:row>
    <x:row r="136" ht="40" customHeight="1">
      <x:c r="A136" s="78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78"/>
      <x:c r="S136" s="29"/>
      <x:c r="T136" s="29"/>
      <x:c r="U136" s="81" t="str">
        <x:f>IF(D136="","",ROUND(COUNTIF(G136:P136,"&lt;&gt;")/10*100,0))</x:f>
      </x:c>
      <x:c r="V136" s="29" t="str">
        <x:f>IF(D136="","",IF(AND(B136="已核验",G136&lt;&gt;"",H136&lt;&gt;"",K136&lt;&gt;"",O136&lt;&gt;""),"可进入草稿","补证据/角度"))</x:f>
      </x:c>
    </x:row>
    <x:row r="137" ht="40" customHeight="1">
      <x:c r="A137" s="78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78"/>
      <x:c r="S137" s="29"/>
      <x:c r="T137" s="29"/>
      <x:c r="U137" s="81" t="str">
        <x:f>IF(D137="","",ROUND(COUNTIF(G137:P137,"&lt;&gt;")/10*100,0))</x:f>
      </x:c>
      <x:c r="V137" s="29" t="str">
        <x:f>IF(D137="","",IF(AND(B137="已核验",G137&lt;&gt;"",H137&lt;&gt;"",K137&lt;&gt;"",O137&lt;&gt;""),"可进入草稿","补证据/角度"))</x:f>
      </x:c>
    </x:row>
    <x:row r="138" ht="40" customHeight="1">
      <x:c r="A138" s="78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78"/>
      <x:c r="S138" s="29"/>
      <x:c r="T138" s="29"/>
      <x:c r="U138" s="81" t="str">
        <x:f>IF(D138="","",ROUND(COUNTIF(G138:P138,"&lt;&gt;")/10*100,0))</x:f>
      </x:c>
      <x:c r="V138" s="29" t="str">
        <x:f>IF(D138="","",IF(AND(B138="已核验",G138&lt;&gt;"",H138&lt;&gt;"",K138&lt;&gt;"",O138&lt;&gt;""),"可进入草稿","补证据/角度"))</x:f>
      </x:c>
    </x:row>
    <x:row r="139" ht="40" customHeight="1">
      <x:c r="A139" s="78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78"/>
      <x:c r="S139" s="29"/>
      <x:c r="T139" s="29"/>
      <x:c r="U139" s="81" t="str">
        <x:f>IF(D139="","",ROUND(COUNTIF(G139:P139,"&lt;&gt;")/10*100,0))</x:f>
      </x:c>
      <x:c r="V139" s="29" t="str">
        <x:f>IF(D139="","",IF(AND(B139="已核验",G139&lt;&gt;"",H139&lt;&gt;"",K139&lt;&gt;"",O139&lt;&gt;""),"可进入草稿","补证据/角度"))</x:f>
      </x:c>
    </x:row>
    <x:row r="140" ht="40" customHeight="1">
      <x:c r="A140" s="78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78"/>
      <x:c r="S140" s="29"/>
      <x:c r="T140" s="29"/>
      <x:c r="U140" s="81" t="str">
        <x:f>IF(D140="","",ROUND(COUNTIF(G140:P140,"&lt;&gt;")/10*100,0))</x:f>
      </x:c>
      <x:c r="V140" s="29" t="str">
        <x:f>IF(D140="","",IF(AND(B140="已核验",G140&lt;&gt;"",H140&lt;&gt;"",K140&lt;&gt;"",O140&lt;&gt;""),"可进入草稿","补证据/角度"))</x:f>
      </x:c>
    </x:row>
    <x:row r="141" ht="40" customHeight="1">
      <x:c r="A141" s="78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78"/>
      <x:c r="S141" s="29"/>
      <x:c r="T141" s="29"/>
      <x:c r="U141" s="81" t="str">
        <x:f>IF(D141="","",ROUND(COUNTIF(G141:P141,"&lt;&gt;")/10*100,0))</x:f>
      </x:c>
      <x:c r="V141" s="29" t="str">
        <x:f>IF(D141="","",IF(AND(B141="已核验",G141&lt;&gt;"",H141&lt;&gt;"",K141&lt;&gt;"",O141&lt;&gt;""),"可进入草稿","补证据/角度"))</x:f>
      </x:c>
    </x:row>
    <x:row r="142" ht="40" customHeight="1">
      <x:c r="A142" s="78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78"/>
      <x:c r="S142" s="29"/>
      <x:c r="T142" s="29"/>
      <x:c r="U142" s="81" t="str">
        <x:f>IF(D142="","",ROUND(COUNTIF(G142:P142,"&lt;&gt;")/10*100,0))</x:f>
      </x:c>
      <x:c r="V142" s="29" t="str">
        <x:f>IF(D142="","",IF(AND(B142="已核验",G142&lt;&gt;"",H142&lt;&gt;"",K142&lt;&gt;"",O142&lt;&gt;""),"可进入草稿","补证据/角度"))</x:f>
      </x:c>
    </x:row>
    <x:row r="143" ht="40" customHeight="1">
      <x:c r="A143" s="78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78"/>
      <x:c r="S143" s="29"/>
      <x:c r="T143" s="29"/>
      <x:c r="U143" s="81" t="str">
        <x:f>IF(D143="","",ROUND(COUNTIF(G143:P143,"&lt;&gt;")/10*100,0))</x:f>
      </x:c>
      <x:c r="V143" s="29" t="str">
        <x:f>IF(D143="","",IF(AND(B143="已核验",G143&lt;&gt;"",H143&lt;&gt;"",K143&lt;&gt;"",O143&lt;&gt;""),"可进入草稿","补证据/角度"))</x:f>
      </x:c>
    </x:row>
    <x:row r="144" ht="40" customHeight="1">
      <x:c r="A144" s="78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78"/>
      <x:c r="S144" s="29"/>
      <x:c r="T144" s="29"/>
      <x:c r="U144" s="81" t="str">
        <x:f>IF(D144="","",ROUND(COUNTIF(G144:P144,"&lt;&gt;")/10*100,0))</x:f>
      </x:c>
      <x:c r="V144" s="29" t="str">
        <x:f>IF(D144="","",IF(AND(B144="已核验",G144&lt;&gt;"",H144&lt;&gt;"",K144&lt;&gt;"",O144&lt;&gt;""),"可进入草稿","补证据/角度"))</x:f>
      </x:c>
    </x:row>
    <x:row r="145" ht="40" customHeight="1">
      <x:c r="A145" s="78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78"/>
      <x:c r="S145" s="29"/>
      <x:c r="T145" s="29"/>
      <x:c r="U145" s="81" t="str">
        <x:f>IF(D145="","",ROUND(COUNTIF(G145:P145,"&lt;&gt;")/10*100,0))</x:f>
      </x:c>
      <x:c r="V145" s="29" t="str">
        <x:f>IF(D145="","",IF(AND(B145="已核验",G145&lt;&gt;"",H145&lt;&gt;"",K145&lt;&gt;"",O145&lt;&gt;""),"可进入草稿","补证据/角度"))</x:f>
      </x:c>
    </x:row>
    <x:row r="146" ht="40" customHeight="1">
      <x:c r="A146" s="78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78"/>
      <x:c r="S146" s="29"/>
      <x:c r="T146" s="29"/>
      <x:c r="U146" s="81" t="str">
        <x:f>IF(D146="","",ROUND(COUNTIF(G146:P146,"&lt;&gt;")/10*100,0))</x:f>
      </x:c>
      <x:c r="V146" s="29" t="str">
        <x:f>IF(D146="","",IF(AND(B146="已核验",G146&lt;&gt;"",H146&lt;&gt;"",K146&lt;&gt;"",O146&lt;&gt;""),"可进入草稿","补证据/角度"))</x:f>
      </x:c>
    </x:row>
    <x:row r="147" ht="40" customHeight="1">
      <x:c r="A147" s="78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78"/>
      <x:c r="S147" s="29"/>
      <x:c r="T147" s="29"/>
      <x:c r="U147" s="81" t="str">
        <x:f>IF(D147="","",ROUND(COUNTIF(G147:P147,"&lt;&gt;")/10*100,0))</x:f>
      </x:c>
      <x:c r="V147" s="29" t="str">
        <x:f>IF(D147="","",IF(AND(B147="已核验",G147&lt;&gt;"",H147&lt;&gt;"",K147&lt;&gt;"",O147&lt;&gt;""),"可进入草稿","补证据/角度"))</x:f>
      </x:c>
    </x:row>
    <x:row r="148" ht="40" customHeight="1">
      <x:c r="A148" s="78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78"/>
      <x:c r="S148" s="29"/>
      <x:c r="T148" s="29"/>
      <x:c r="U148" s="81" t="str">
        <x:f>IF(D148="","",ROUND(COUNTIF(G148:P148,"&lt;&gt;")/10*100,0))</x:f>
      </x:c>
      <x:c r="V148" s="29" t="str">
        <x:f>IF(D148="","",IF(AND(B148="已核验",G148&lt;&gt;"",H148&lt;&gt;"",K148&lt;&gt;"",O148&lt;&gt;""),"可进入草稿","补证据/角度"))</x:f>
      </x:c>
    </x:row>
    <x:row r="149" ht="40" customHeight="1">
      <x:c r="A149" s="78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78"/>
      <x:c r="S149" s="29"/>
      <x:c r="T149" s="29"/>
      <x:c r="U149" s="81" t="str">
        <x:f>IF(D149="","",ROUND(COUNTIF(G149:P149,"&lt;&gt;")/10*100,0))</x:f>
      </x:c>
      <x:c r="V149" s="29" t="str">
        <x:f>IF(D149="","",IF(AND(B149="已核验",G149&lt;&gt;"",H149&lt;&gt;"",K149&lt;&gt;"",O149&lt;&gt;""),"可进入草稿","补证据/角度"))</x:f>
      </x:c>
    </x:row>
    <x:row r="150" ht="40" customHeight="1">
      <x:c r="A150" s="78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78"/>
      <x:c r="S150" s="29"/>
      <x:c r="T150" s="29"/>
      <x:c r="U150" s="81" t="str">
        <x:f>IF(D150="","",ROUND(COUNTIF(G150:P150,"&lt;&gt;")/10*100,0))</x:f>
      </x:c>
      <x:c r="V150" s="29" t="str">
        <x:f>IF(D150="","",IF(AND(B150="已核验",G150&lt;&gt;"",H150&lt;&gt;"",K150&lt;&gt;"",O150&lt;&gt;""),"可进入草稿","补证据/角度"))</x:f>
      </x:c>
    </x:row>
    <x:row r="151" ht="40" customHeight="1">
      <x:c r="A151" s="78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78"/>
      <x:c r="S151" s="29"/>
      <x:c r="T151" s="29"/>
      <x:c r="U151" s="81" t="str">
        <x:f>IF(D151="","",ROUND(COUNTIF(G151:P151,"&lt;&gt;")/10*100,0))</x:f>
      </x:c>
      <x:c r="V151" s="29" t="str">
        <x:f>IF(D151="","",IF(AND(B151="已核验",G151&lt;&gt;"",H151&lt;&gt;"",K151&lt;&gt;"",O151&lt;&gt;""),"可进入草稿","补证据/角度"))</x:f>
      </x:c>
    </x:row>
    <x:row r="152" ht="40" customHeight="1">
      <x:c r="A152" s="78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78"/>
      <x:c r="S152" s="29"/>
      <x:c r="T152" s="29"/>
      <x:c r="U152" s="81" t="str">
        <x:f>IF(D152="","",ROUND(COUNTIF(G152:P152,"&lt;&gt;")/10*100,0))</x:f>
      </x:c>
      <x:c r="V152" s="29" t="str">
        <x:f>IF(D152="","",IF(AND(B152="已核验",G152&lt;&gt;"",H152&lt;&gt;"",K152&lt;&gt;"",O152&lt;&gt;""),"可进入草稿","补证据/角度"))</x:f>
      </x:c>
    </x:row>
    <x:row r="153" ht="40" customHeight="1">
      <x:c r="A153" s="78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78"/>
      <x:c r="S153" s="29"/>
      <x:c r="T153" s="29"/>
      <x:c r="U153" s="81" t="str">
        <x:f>IF(D153="","",ROUND(COUNTIF(G153:P153,"&lt;&gt;")/10*100,0))</x:f>
      </x:c>
      <x:c r="V153" s="29" t="str">
        <x:f>IF(D153="","",IF(AND(B153="已核验",G153&lt;&gt;"",H153&lt;&gt;"",K153&lt;&gt;"",O153&lt;&gt;""),"可进入草稿","补证据/角度"))</x:f>
      </x:c>
    </x:row>
    <x:row r="154" ht="40" customHeight="1">
      <x:c r="A154" s="78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78"/>
      <x:c r="S154" s="29"/>
      <x:c r="T154" s="29"/>
      <x:c r="U154" s="81" t="str">
        <x:f>IF(D154="","",ROUND(COUNTIF(G154:P154,"&lt;&gt;")/10*100,0))</x:f>
      </x:c>
      <x:c r="V154" s="29" t="str">
        <x:f>IF(D154="","",IF(AND(B154="已核验",G154&lt;&gt;"",H154&lt;&gt;"",K154&lt;&gt;"",O154&lt;&gt;""),"可进入草稿","补证据/角度"))</x:f>
      </x:c>
    </x:row>
    <x:row r="155" ht="40" customHeight="1">
      <x:c r="A155" s="78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78"/>
      <x:c r="S155" s="29"/>
      <x:c r="T155" s="29"/>
      <x:c r="U155" s="81" t="str">
        <x:f>IF(D155="","",ROUND(COUNTIF(G155:P155,"&lt;&gt;")/10*100,0))</x:f>
      </x:c>
      <x:c r="V155" s="29" t="str">
        <x:f>IF(D155="","",IF(AND(B155="已核验",G155&lt;&gt;"",H155&lt;&gt;"",K155&lt;&gt;"",O155&lt;&gt;""),"可进入草稿","补证据/角度"))</x:f>
      </x:c>
    </x:row>
    <x:row r="156" ht="40" customHeight="1">
      <x:c r="A156" s="78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78"/>
      <x:c r="S156" s="29"/>
      <x:c r="T156" s="29"/>
      <x:c r="U156" s="81" t="str">
        <x:f>IF(D156="","",ROUND(COUNTIF(G156:P156,"&lt;&gt;")/10*100,0))</x:f>
      </x:c>
      <x:c r="V156" s="29" t="str">
        <x:f>IF(D156="","",IF(AND(B156="已核验",G156&lt;&gt;"",H156&lt;&gt;"",K156&lt;&gt;"",O156&lt;&gt;""),"可进入草稿","补证据/角度"))</x:f>
      </x:c>
    </x:row>
    <x:row r="157" ht="40" customHeight="1">
      <x:c r="A157" s="78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78"/>
      <x:c r="S157" s="29"/>
      <x:c r="T157" s="29"/>
      <x:c r="U157" s="81" t="str">
        <x:f>IF(D157="","",ROUND(COUNTIF(G157:P157,"&lt;&gt;")/10*100,0))</x:f>
      </x:c>
      <x:c r="V157" s="29" t="str">
        <x:f>IF(D157="","",IF(AND(B157="已核验",G157&lt;&gt;"",H157&lt;&gt;"",K157&lt;&gt;"",O157&lt;&gt;""),"可进入草稿","补证据/角度"))</x:f>
      </x:c>
    </x:row>
    <x:row r="158" ht="40" customHeight="1">
      <x:c r="A158" s="78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78"/>
      <x:c r="S158" s="29"/>
      <x:c r="T158" s="29"/>
      <x:c r="U158" s="81" t="str">
        <x:f>IF(D158="","",ROUND(COUNTIF(G158:P158,"&lt;&gt;")/10*100,0))</x:f>
      </x:c>
      <x:c r="V158" s="29" t="str">
        <x:f>IF(D158="","",IF(AND(B158="已核验",G158&lt;&gt;"",H158&lt;&gt;"",K158&lt;&gt;"",O158&lt;&gt;""),"可进入草稿","补证据/角度"))</x:f>
      </x:c>
    </x:row>
    <x:row r="159" ht="40" customHeight="1">
      <x:c r="A159" s="78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78"/>
      <x:c r="S159" s="29"/>
      <x:c r="T159" s="29"/>
      <x:c r="U159" s="81" t="str">
        <x:f>IF(D159="","",ROUND(COUNTIF(G159:P159,"&lt;&gt;")/10*100,0))</x:f>
      </x:c>
      <x:c r="V159" s="29" t="str">
        <x:f>IF(D159="","",IF(AND(B159="已核验",G159&lt;&gt;"",H159&lt;&gt;"",K159&lt;&gt;"",O159&lt;&gt;""),"可进入草稿","补证据/角度"))</x:f>
      </x:c>
    </x:row>
    <x:row r="160" ht="40" customHeight="1">
      <x:c r="A160" s="78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78"/>
      <x:c r="S160" s="29"/>
      <x:c r="T160" s="29"/>
      <x:c r="U160" s="81" t="str">
        <x:f>IF(D160="","",ROUND(COUNTIF(G160:P160,"&lt;&gt;")/10*100,0))</x:f>
      </x:c>
      <x:c r="V160" s="29" t="str">
        <x:f>IF(D160="","",IF(AND(B160="已核验",G160&lt;&gt;"",H160&lt;&gt;"",K160&lt;&gt;"",O160&lt;&gt;""),"可进入草稿","补证据/角度"))</x:f>
      </x:c>
    </x:row>
    <x:row r="161" ht="40" customHeight="1">
      <x:c r="A161" s="78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78"/>
      <x:c r="S161" s="29"/>
      <x:c r="T161" s="29"/>
      <x:c r="U161" s="81" t="str">
        <x:f>IF(D161="","",ROUND(COUNTIF(G161:P161,"&lt;&gt;")/10*100,0))</x:f>
      </x:c>
      <x:c r="V161" s="29" t="str">
        <x:f>IF(D161="","",IF(AND(B161="已核验",G161&lt;&gt;"",H161&lt;&gt;"",K161&lt;&gt;"",O161&lt;&gt;""),"可进入草稿","补证据/角度"))</x:f>
      </x:c>
    </x:row>
    <x:row r="162" ht="40" customHeight="1">
      <x:c r="A162" s="78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78"/>
      <x:c r="S162" s="29"/>
      <x:c r="T162" s="29"/>
      <x:c r="U162" s="81" t="str">
        <x:f>IF(D162="","",ROUND(COUNTIF(G162:P162,"&lt;&gt;")/10*100,0))</x:f>
      </x:c>
      <x:c r="V162" s="29" t="str">
        <x:f>IF(D162="","",IF(AND(B162="已核验",G162&lt;&gt;"",H162&lt;&gt;"",K162&lt;&gt;"",O162&lt;&gt;""),"可进入草稿","补证据/角度"))</x:f>
      </x:c>
    </x:row>
    <x:row r="163" ht="40" customHeight="1">
      <x:c r="A163" s="78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78"/>
      <x:c r="S163" s="29"/>
      <x:c r="T163" s="29"/>
      <x:c r="U163" s="81" t="str">
        <x:f>IF(D163="","",ROUND(COUNTIF(G163:P163,"&lt;&gt;")/10*100,0))</x:f>
      </x:c>
      <x:c r="V163" s="29" t="str">
        <x:f>IF(D163="","",IF(AND(B163="已核验",G163&lt;&gt;"",H163&lt;&gt;"",K163&lt;&gt;"",O163&lt;&gt;""),"可进入草稿","补证据/角度"))</x:f>
      </x:c>
    </x:row>
    <x:row r="164" ht="40" customHeight="1">
      <x:c r="A164" s="78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78"/>
      <x:c r="S164" s="29"/>
      <x:c r="T164" s="29"/>
      <x:c r="U164" s="81" t="str">
        <x:f>IF(D164="","",ROUND(COUNTIF(G164:P164,"&lt;&gt;")/10*100,0))</x:f>
      </x:c>
      <x:c r="V164" s="29" t="str">
        <x:f>IF(D164="","",IF(AND(B164="已核验",G164&lt;&gt;"",H164&lt;&gt;"",K164&lt;&gt;"",O164&lt;&gt;""),"可进入草稿","补证据/角度"))</x:f>
      </x:c>
    </x:row>
    <x:row r="165" ht="40" customHeight="1">
      <x:c r="A165" s="78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78"/>
      <x:c r="S165" s="29"/>
      <x:c r="T165" s="29"/>
      <x:c r="U165" s="81" t="str">
        <x:f>IF(D165="","",ROUND(COUNTIF(G165:P165,"&lt;&gt;")/10*100,0))</x:f>
      </x:c>
      <x:c r="V165" s="29" t="str">
        <x:f>IF(D165="","",IF(AND(B165="已核验",G165&lt;&gt;"",H165&lt;&gt;"",K165&lt;&gt;"",O165&lt;&gt;""),"可进入草稿","补证据/角度"))</x:f>
      </x:c>
    </x:row>
    <x:row r="166" ht="40" customHeight="1">
      <x:c r="A166" s="78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78"/>
      <x:c r="S166" s="29"/>
      <x:c r="T166" s="29"/>
      <x:c r="U166" s="81" t="str">
        <x:f>IF(D166="","",ROUND(COUNTIF(G166:P166,"&lt;&gt;")/10*100,0))</x:f>
      </x:c>
      <x:c r="V166" s="29" t="str">
        <x:f>IF(D166="","",IF(AND(B166="已核验",G166&lt;&gt;"",H166&lt;&gt;"",K166&lt;&gt;"",O166&lt;&gt;""),"可进入草稿","补证据/角度"))</x:f>
      </x:c>
    </x:row>
    <x:row r="167" ht="40" customHeight="1">
      <x:c r="A167" s="78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78"/>
      <x:c r="S167" s="29"/>
      <x:c r="T167" s="29"/>
      <x:c r="U167" s="81" t="str">
        <x:f>IF(D167="","",ROUND(COUNTIF(G167:P167,"&lt;&gt;")/10*100,0))</x:f>
      </x:c>
      <x:c r="V167" s="29" t="str">
        <x:f>IF(D167="","",IF(AND(B167="已核验",G167&lt;&gt;"",H167&lt;&gt;"",K167&lt;&gt;"",O167&lt;&gt;""),"可进入草稿","补证据/角度"))</x:f>
      </x:c>
    </x:row>
    <x:row r="168" ht="40" customHeight="1">
      <x:c r="A168" s="78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78"/>
      <x:c r="S168" s="29"/>
      <x:c r="T168" s="29"/>
      <x:c r="U168" s="81" t="str">
        <x:f>IF(D168="","",ROUND(COUNTIF(G168:P168,"&lt;&gt;")/10*100,0))</x:f>
      </x:c>
      <x:c r="V168" s="29" t="str">
        <x:f>IF(D168="","",IF(AND(B168="已核验",G168&lt;&gt;"",H168&lt;&gt;"",K168&lt;&gt;"",O168&lt;&gt;""),"可进入草稿","补证据/角度"))</x:f>
      </x:c>
    </x:row>
    <x:row r="169" ht="40" customHeight="1">
      <x:c r="A169" s="78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78"/>
      <x:c r="S169" s="29"/>
      <x:c r="T169" s="29"/>
      <x:c r="U169" s="81" t="str">
        <x:f>IF(D169="","",ROUND(COUNTIF(G169:P169,"&lt;&gt;")/10*100,0))</x:f>
      </x:c>
      <x:c r="V169" s="29" t="str">
        <x:f>IF(D169="","",IF(AND(B169="已核验",G169&lt;&gt;"",H169&lt;&gt;"",K169&lt;&gt;"",O169&lt;&gt;""),"可进入草稿","补证据/角度"))</x:f>
      </x:c>
    </x:row>
    <x:row r="170" ht="40" customHeight="1">
      <x:c r="A170" s="78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78"/>
      <x:c r="S170" s="29"/>
      <x:c r="T170" s="29"/>
      <x:c r="U170" s="81" t="str">
        <x:f>IF(D170="","",ROUND(COUNTIF(G170:P170,"&lt;&gt;")/10*100,0))</x:f>
      </x:c>
      <x:c r="V170" s="29" t="str">
        <x:f>IF(D170="","",IF(AND(B170="已核验",G170&lt;&gt;"",H170&lt;&gt;"",K170&lt;&gt;"",O170&lt;&gt;""),"可进入草稿","补证据/角度"))</x:f>
      </x:c>
    </x:row>
    <x:row r="171" ht="40" customHeight="1">
      <x:c r="A171" s="78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78"/>
      <x:c r="S171" s="29"/>
      <x:c r="T171" s="29"/>
      <x:c r="U171" s="81" t="str">
        <x:f>IF(D171="","",ROUND(COUNTIF(G171:P171,"&lt;&gt;")/10*100,0))</x:f>
      </x:c>
      <x:c r="V171" s="29" t="str">
        <x:f>IF(D171="","",IF(AND(B171="已核验",G171&lt;&gt;"",H171&lt;&gt;"",K171&lt;&gt;"",O171&lt;&gt;""),"可进入草稿","补证据/角度"))</x:f>
      </x:c>
    </x:row>
    <x:row r="172" ht="40" customHeight="1">
      <x:c r="A172" s="78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78"/>
      <x:c r="S172" s="29"/>
      <x:c r="T172" s="29"/>
      <x:c r="U172" s="81" t="str">
        <x:f>IF(D172="","",ROUND(COUNTIF(G172:P172,"&lt;&gt;")/10*100,0))</x:f>
      </x:c>
      <x:c r="V172" s="29" t="str">
        <x:f>IF(D172="","",IF(AND(B172="已核验",G172&lt;&gt;"",H172&lt;&gt;"",K172&lt;&gt;"",O172&lt;&gt;""),"可进入草稿","补证据/角度"))</x:f>
      </x:c>
    </x:row>
    <x:row r="173" ht="40" customHeight="1">
      <x:c r="A173" s="78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78"/>
      <x:c r="S173" s="29"/>
      <x:c r="T173" s="29"/>
      <x:c r="U173" s="81" t="str">
        <x:f>IF(D173="","",ROUND(COUNTIF(G173:P173,"&lt;&gt;")/10*100,0))</x:f>
      </x:c>
      <x:c r="V173" s="29" t="str">
        <x:f>IF(D173="","",IF(AND(B173="已核验",G173&lt;&gt;"",H173&lt;&gt;"",K173&lt;&gt;"",O173&lt;&gt;""),"可进入草稿","补证据/角度"))</x:f>
      </x:c>
    </x:row>
    <x:row r="174" ht="40" customHeight="1">
      <x:c r="A174" s="78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78"/>
      <x:c r="S174" s="29"/>
      <x:c r="T174" s="29"/>
      <x:c r="U174" s="81" t="str">
        <x:f>IF(D174="","",ROUND(COUNTIF(G174:P174,"&lt;&gt;")/10*100,0))</x:f>
      </x:c>
      <x:c r="V174" s="29" t="str">
        <x:f>IF(D174="","",IF(AND(B174="已核验",G174&lt;&gt;"",H174&lt;&gt;"",K174&lt;&gt;"",O174&lt;&gt;""),"可进入草稿","补证据/角度"))</x:f>
      </x:c>
    </x:row>
    <x:row r="175" ht="40" customHeight="1">
      <x:c r="A175" s="78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78"/>
      <x:c r="S175" s="29"/>
      <x:c r="T175" s="29"/>
      <x:c r="U175" s="81" t="str">
        <x:f>IF(D175="","",ROUND(COUNTIF(G175:P175,"&lt;&gt;")/10*100,0))</x:f>
      </x:c>
      <x:c r="V175" s="29" t="str">
        <x:f>IF(D175="","",IF(AND(B175="已核验",G175&lt;&gt;"",H175&lt;&gt;"",K175&lt;&gt;"",O175&lt;&gt;""),"可进入草稿","补证据/角度"))</x:f>
      </x:c>
    </x:row>
    <x:row r="176" ht="40" customHeight="1">
      <x:c r="A176" s="78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78"/>
      <x:c r="S176" s="29"/>
      <x:c r="T176" s="29"/>
      <x:c r="U176" s="81" t="str">
        <x:f>IF(D176="","",ROUND(COUNTIF(G176:P176,"&lt;&gt;")/10*100,0))</x:f>
      </x:c>
      <x:c r="V176" s="29" t="str">
        <x:f>IF(D176="","",IF(AND(B176="已核验",G176&lt;&gt;"",H176&lt;&gt;"",K176&lt;&gt;"",O176&lt;&gt;""),"可进入草稿","补证据/角度"))</x:f>
      </x:c>
    </x:row>
    <x:row r="177" ht="40" customHeight="1">
      <x:c r="A177" s="78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78"/>
      <x:c r="S177" s="29"/>
      <x:c r="T177" s="29"/>
      <x:c r="U177" s="81" t="str">
        <x:f>IF(D177="","",ROUND(COUNTIF(G177:P177,"&lt;&gt;")/10*100,0))</x:f>
      </x:c>
      <x:c r="V177" s="29" t="str">
        <x:f>IF(D177="","",IF(AND(B177="已核验",G177&lt;&gt;"",H177&lt;&gt;"",K177&lt;&gt;"",O177&lt;&gt;""),"可进入草稿","补证据/角度"))</x:f>
      </x:c>
    </x:row>
    <x:row r="178" ht="40" customHeight="1">
      <x:c r="A178" s="78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78"/>
      <x:c r="S178" s="29"/>
      <x:c r="T178" s="29"/>
      <x:c r="U178" s="81" t="str">
        <x:f>IF(D178="","",ROUND(COUNTIF(G178:P178,"&lt;&gt;")/10*100,0))</x:f>
      </x:c>
      <x:c r="V178" s="29" t="str">
        <x:f>IF(D178="","",IF(AND(B178="已核验",G178&lt;&gt;"",H178&lt;&gt;"",K178&lt;&gt;"",O178&lt;&gt;""),"可进入草稿","补证据/角度"))</x:f>
      </x:c>
    </x:row>
    <x:row r="179" ht="40" customHeight="1">
      <x:c r="A179" s="78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78"/>
      <x:c r="S179" s="29"/>
      <x:c r="T179" s="29"/>
      <x:c r="U179" s="81" t="str">
        <x:f>IF(D179="","",ROUND(COUNTIF(G179:P179,"&lt;&gt;")/10*100,0))</x:f>
      </x:c>
      <x:c r="V179" s="29" t="str">
        <x:f>IF(D179="","",IF(AND(B179="已核验",G179&lt;&gt;"",H179&lt;&gt;"",K179&lt;&gt;"",O179&lt;&gt;""),"可进入草稿","补证据/角度"))</x:f>
      </x:c>
    </x:row>
    <x:row r="180" ht="40" customHeight="1">
      <x:c r="A180" s="78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78"/>
      <x:c r="S180" s="29"/>
      <x:c r="T180" s="29"/>
      <x:c r="U180" s="81" t="str">
        <x:f>IF(D180="","",ROUND(COUNTIF(G180:P180,"&lt;&gt;")/10*100,0))</x:f>
      </x:c>
      <x:c r="V180" s="29" t="str">
        <x:f>IF(D180="","",IF(AND(B180="已核验",G180&lt;&gt;"",H180&lt;&gt;"",K180&lt;&gt;"",O180&lt;&gt;""),"可进入草稿","补证据/角度"))</x:f>
      </x:c>
    </x:row>
    <x:row r="181" ht="40" customHeight="1">
      <x:c r="A181" s="78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78"/>
      <x:c r="S181" s="29"/>
      <x:c r="T181" s="29"/>
      <x:c r="U181" s="81" t="str">
        <x:f>IF(D181="","",ROUND(COUNTIF(G181:P181,"&lt;&gt;")/10*100,0))</x:f>
      </x:c>
      <x:c r="V181" s="29" t="str">
        <x:f>IF(D181="","",IF(AND(B181="已核验",G181&lt;&gt;"",H181&lt;&gt;"",K181&lt;&gt;"",O181&lt;&gt;""),"可进入草稿","补证据/角度"))</x:f>
      </x:c>
    </x:row>
    <x:row r="182" ht="40" customHeight="1">
      <x:c r="A182" s="78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78"/>
      <x:c r="S182" s="29"/>
      <x:c r="T182" s="29"/>
      <x:c r="U182" s="81" t="str">
        <x:f>IF(D182="","",ROUND(COUNTIF(G182:P182,"&lt;&gt;")/10*100,0))</x:f>
      </x:c>
      <x:c r="V182" s="29" t="str">
        <x:f>IF(D182="","",IF(AND(B182="已核验",G182&lt;&gt;"",H182&lt;&gt;"",K182&lt;&gt;"",O182&lt;&gt;""),"可进入草稿","补证据/角度"))</x:f>
      </x:c>
    </x:row>
    <x:row r="183" ht="40" customHeight="1">
      <x:c r="A183" s="78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78"/>
      <x:c r="S183" s="29"/>
      <x:c r="T183" s="29"/>
      <x:c r="U183" s="81" t="str">
        <x:f>IF(D183="","",ROUND(COUNTIF(G183:P183,"&lt;&gt;")/10*100,0))</x:f>
      </x:c>
      <x:c r="V183" s="29" t="str">
        <x:f>IF(D183="","",IF(AND(B183="已核验",G183&lt;&gt;"",H183&lt;&gt;"",K183&lt;&gt;"",O183&lt;&gt;""),"可进入草稿","补证据/角度"))</x:f>
      </x:c>
    </x:row>
    <x:row r="184" ht="40" customHeight="1">
      <x:c r="A184" s="78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78"/>
      <x:c r="S184" s="29"/>
      <x:c r="T184" s="29"/>
      <x:c r="U184" s="81" t="str">
        <x:f>IF(D184="","",ROUND(COUNTIF(G184:P184,"&lt;&gt;")/10*100,0))</x:f>
      </x:c>
      <x:c r="V184" s="29" t="str">
        <x:f>IF(D184="","",IF(AND(B184="已核验",G184&lt;&gt;"",H184&lt;&gt;"",K184&lt;&gt;"",O184&lt;&gt;""),"可进入草稿","补证据/角度"))</x:f>
      </x:c>
    </x:row>
    <x:row r="185" ht="40" customHeight="1">
      <x:c r="A185" s="78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78"/>
      <x:c r="S185" s="29"/>
      <x:c r="T185" s="29"/>
      <x:c r="U185" s="81" t="str">
        <x:f>IF(D185="","",ROUND(COUNTIF(G185:P185,"&lt;&gt;")/10*100,0))</x:f>
      </x:c>
      <x:c r="V185" s="29" t="str">
        <x:f>IF(D185="","",IF(AND(B185="已核验",G185&lt;&gt;"",H185&lt;&gt;"",K185&lt;&gt;"",O185&lt;&gt;""),"可进入草稿","补证据/角度"))</x:f>
      </x:c>
    </x:row>
    <x:row r="186" ht="40" customHeight="1">
      <x:c r="A186" s="78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78"/>
      <x:c r="S186" s="29"/>
      <x:c r="T186" s="29"/>
      <x:c r="U186" s="81" t="str">
        <x:f>IF(D186="","",ROUND(COUNTIF(G186:P186,"&lt;&gt;")/10*100,0))</x:f>
      </x:c>
      <x:c r="V186" s="29" t="str">
        <x:f>IF(D186="","",IF(AND(B186="已核验",G186&lt;&gt;"",H186&lt;&gt;"",K186&lt;&gt;"",O186&lt;&gt;""),"可进入草稿","补证据/角度"))</x:f>
      </x:c>
    </x:row>
    <x:row r="187" ht="40" customHeight="1">
      <x:c r="A187" s="78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78"/>
      <x:c r="S187" s="29"/>
      <x:c r="T187" s="29"/>
      <x:c r="U187" s="81" t="str">
        <x:f>IF(D187="","",ROUND(COUNTIF(G187:P187,"&lt;&gt;")/10*100,0))</x:f>
      </x:c>
      <x:c r="V187" s="29" t="str">
        <x:f>IF(D187="","",IF(AND(B187="已核验",G187&lt;&gt;"",H187&lt;&gt;"",K187&lt;&gt;"",O187&lt;&gt;""),"可进入草稿","补证据/角度"))</x:f>
      </x:c>
    </x:row>
    <x:row r="188" ht="40" customHeight="1">
      <x:c r="A188" s="78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78"/>
      <x:c r="S188" s="29"/>
      <x:c r="T188" s="29"/>
      <x:c r="U188" s="81" t="str">
        <x:f>IF(D188="","",ROUND(COUNTIF(G188:P188,"&lt;&gt;")/10*100,0))</x:f>
      </x:c>
      <x:c r="V188" s="29" t="str">
        <x:f>IF(D188="","",IF(AND(B188="已核验",G188&lt;&gt;"",H188&lt;&gt;"",K188&lt;&gt;"",O188&lt;&gt;""),"可进入草稿","补证据/角度"))</x:f>
      </x:c>
    </x:row>
    <x:row r="189" ht="40" customHeight="1">
      <x:c r="A189" s="78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78"/>
      <x:c r="S189" s="29"/>
      <x:c r="T189" s="29"/>
      <x:c r="U189" s="81" t="str">
        <x:f>IF(D189="","",ROUND(COUNTIF(G189:P189,"&lt;&gt;")/10*100,0))</x:f>
      </x:c>
      <x:c r="V189" s="29" t="str">
        <x:f>IF(D189="","",IF(AND(B189="已核验",G189&lt;&gt;"",H189&lt;&gt;"",K189&lt;&gt;"",O189&lt;&gt;""),"可进入草稿","补证据/角度"))</x:f>
      </x:c>
    </x:row>
    <x:row r="190" ht="40" customHeight="1">
      <x:c r="A190" s="78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78"/>
      <x:c r="S190" s="29"/>
      <x:c r="T190" s="29"/>
      <x:c r="U190" s="81" t="str">
        <x:f>IF(D190="","",ROUND(COUNTIF(G190:P190,"&lt;&gt;")/10*100,0))</x:f>
      </x:c>
      <x:c r="V190" s="29" t="str">
        <x:f>IF(D190="","",IF(AND(B190="已核验",G190&lt;&gt;"",H190&lt;&gt;"",K190&lt;&gt;"",O190&lt;&gt;""),"可进入草稿","补证据/角度"))</x:f>
      </x:c>
    </x:row>
    <x:row r="191" ht="40" customHeight="1">
      <x:c r="A191" s="78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78"/>
      <x:c r="S191" s="29"/>
      <x:c r="T191" s="29"/>
      <x:c r="U191" s="81" t="str">
        <x:f>IF(D191="","",ROUND(COUNTIF(G191:P191,"&lt;&gt;")/10*100,0))</x:f>
      </x:c>
      <x:c r="V191" s="29" t="str">
        <x:f>IF(D191="","",IF(AND(B191="已核验",G191&lt;&gt;"",H191&lt;&gt;"",K191&lt;&gt;"",O191&lt;&gt;""),"可进入草稿","补证据/角度"))</x:f>
      </x:c>
    </x:row>
    <x:row r="192" ht="40" customHeight="1">
      <x:c r="A192" s="78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78"/>
      <x:c r="S192" s="29"/>
      <x:c r="T192" s="29"/>
      <x:c r="U192" s="81" t="str">
        <x:f>IF(D192="","",ROUND(COUNTIF(G192:P192,"&lt;&gt;")/10*100,0))</x:f>
      </x:c>
      <x:c r="V192" s="29" t="str">
        <x:f>IF(D192="","",IF(AND(B192="已核验",G192&lt;&gt;"",H192&lt;&gt;"",K192&lt;&gt;"",O192&lt;&gt;""),"可进入草稿","补证据/角度"))</x:f>
      </x:c>
    </x:row>
    <x:row r="193" ht="40" customHeight="1">
      <x:c r="A193" s="78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78"/>
      <x:c r="S193" s="29"/>
      <x:c r="T193" s="29"/>
      <x:c r="U193" s="81" t="str">
        <x:f>IF(D193="","",ROUND(COUNTIF(G193:P193,"&lt;&gt;")/10*100,0))</x:f>
      </x:c>
      <x:c r="V193" s="29" t="str">
        <x:f>IF(D193="","",IF(AND(B193="已核验",G193&lt;&gt;"",H193&lt;&gt;"",K193&lt;&gt;"",O193&lt;&gt;""),"可进入草稿","补证据/角度"))</x:f>
      </x:c>
    </x:row>
    <x:row r="194" ht="40" customHeight="1">
      <x:c r="A194" s="78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78"/>
      <x:c r="S194" s="29"/>
      <x:c r="T194" s="29"/>
      <x:c r="U194" s="81" t="str">
        <x:f>IF(D194="","",ROUND(COUNTIF(G194:P194,"&lt;&gt;")/10*100,0))</x:f>
      </x:c>
      <x:c r="V194" s="29" t="str">
        <x:f>IF(D194="","",IF(AND(B194="已核验",G194&lt;&gt;"",H194&lt;&gt;"",K194&lt;&gt;"",O194&lt;&gt;""),"可进入草稿","补证据/角度"))</x:f>
      </x:c>
    </x:row>
    <x:row r="195" ht="40" customHeight="1">
      <x:c r="A195" s="78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78"/>
      <x:c r="S195" s="29"/>
      <x:c r="T195" s="29"/>
      <x:c r="U195" s="81" t="str">
        <x:f>IF(D195="","",ROUND(COUNTIF(G195:P195,"&lt;&gt;")/10*100,0))</x:f>
      </x:c>
      <x:c r="V195" s="29" t="str">
        <x:f>IF(D195="","",IF(AND(B195="已核验",G195&lt;&gt;"",H195&lt;&gt;"",K195&lt;&gt;"",O195&lt;&gt;""),"可进入草稿","补证据/角度"))</x:f>
      </x:c>
    </x:row>
    <x:row r="196" ht="40" customHeight="1">
      <x:c r="A196" s="78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78"/>
      <x:c r="S196" s="29"/>
      <x:c r="T196" s="29"/>
      <x:c r="U196" s="81" t="str">
        <x:f>IF(D196="","",ROUND(COUNTIF(G196:P196,"&lt;&gt;")/10*100,0))</x:f>
      </x:c>
      <x:c r="V196" s="29" t="str">
        <x:f>IF(D196="","",IF(AND(B196="已核验",G196&lt;&gt;"",H196&lt;&gt;"",K196&lt;&gt;"",O196&lt;&gt;""),"可进入草稿","补证据/角度"))</x:f>
      </x:c>
    </x:row>
    <x:row r="197" ht="40" customHeight="1">
      <x:c r="A197" s="78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78"/>
      <x:c r="S197" s="29"/>
      <x:c r="T197" s="29"/>
      <x:c r="U197" s="81" t="str">
        <x:f>IF(D197="","",ROUND(COUNTIF(G197:P197,"&lt;&gt;")/10*100,0))</x:f>
      </x:c>
      <x:c r="V197" s="29" t="str">
        <x:f>IF(D197="","",IF(AND(B197="已核验",G197&lt;&gt;"",H197&lt;&gt;"",K197&lt;&gt;"",O197&lt;&gt;""),"可进入草稿","补证据/角度"))</x:f>
      </x:c>
    </x:row>
    <x:row r="198" ht="40" customHeight="1">
      <x:c r="A198" s="78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78"/>
      <x:c r="S198" s="29"/>
      <x:c r="T198" s="29"/>
      <x:c r="U198" s="81" t="str">
        <x:f>IF(D198="","",ROUND(COUNTIF(G198:P198,"&lt;&gt;")/10*100,0))</x:f>
      </x:c>
      <x:c r="V198" s="29" t="str">
        <x:f>IF(D198="","",IF(AND(B198="已核验",G198&lt;&gt;"",H198&lt;&gt;"",K198&lt;&gt;"",O198&lt;&gt;""),"可进入草稿","补证据/角度"))</x:f>
      </x:c>
    </x:row>
    <x:row r="199" ht="40" customHeight="1">
      <x:c r="A199" s="78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78"/>
      <x:c r="S199" s="29"/>
      <x:c r="T199" s="29"/>
      <x:c r="U199" s="81" t="str">
        <x:f>IF(D199="","",ROUND(COUNTIF(G199:P199,"&lt;&gt;")/10*100,0))</x:f>
      </x:c>
      <x:c r="V199" s="29" t="str">
        <x:f>IF(D199="","",IF(AND(B199="已核验",G199&lt;&gt;"",H199&lt;&gt;"",K199&lt;&gt;"",O199&lt;&gt;""),"可进入草稿","补证据/角度"))</x:f>
      </x:c>
    </x:row>
    <x:row r="200" ht="40" customHeight="1">
      <x:c r="A200" s="78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78"/>
      <x:c r="S200" s="29"/>
      <x:c r="T200" s="29"/>
      <x:c r="U200" s="81" t="str">
        <x:f>IF(D200="","",ROUND(COUNTIF(G200:P200,"&lt;&gt;")/10*100,0))</x:f>
      </x:c>
      <x:c r="V200" s="29" t="str">
        <x:f>IF(D200="","",IF(AND(B200="已核验",G200&lt;&gt;"",H200&lt;&gt;"",K200&lt;&gt;"",O200&lt;&gt;""),"可进入草稿","补证据/角度"))</x:f>
      </x:c>
    </x:row>
    <x:row r="201" ht="40" customHeight="1">
      <x:c r="A201" s="78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  <x:c r="R201" s="78"/>
      <x:c r="S201" s="29"/>
      <x:c r="T201" s="29"/>
      <x:c r="U201" s="81" t="str">
        <x:f>IF(D201="","",ROUND(COUNTIF(G201:P201,"&lt;&gt;")/10*100,0))</x:f>
      </x:c>
      <x:c r="V201" s="29" t="str">
        <x:f>IF(D201="","",IF(AND(B201="已核验",G201&lt;&gt;"",H201&lt;&gt;"",K201&lt;&gt;"",O201&lt;&gt;""),"可进入草稿","补证据/角度"))</x:f>
      </x:c>
    </x:row>
    <x:row r="202" ht="40" customHeight="1">
      <x:c r="A202" s="78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  <x:c r="R202" s="78"/>
      <x:c r="S202" s="29"/>
      <x:c r="T202" s="29"/>
      <x:c r="U202" s="81" t="str">
        <x:f>IF(D202="","",ROUND(COUNTIF(G202:P202,"&lt;&gt;")/10*100,0))</x:f>
      </x:c>
      <x:c r="V202" s="29" t="str">
        <x:f>IF(D202="","",IF(AND(B202="已核验",G202&lt;&gt;"",H202&lt;&gt;"",K202&lt;&gt;"",O202&lt;&gt;""),"可进入草稿","补证据/角度"))</x:f>
      </x:c>
    </x:row>
    <x:row r="203" ht="40" customHeight="1">
      <x:c r="A203" s="78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  <x:c r="R203" s="78"/>
      <x:c r="S203" s="29"/>
      <x:c r="T203" s="29"/>
      <x:c r="U203" s="81" t="str">
        <x:f>IF(D203="","",ROUND(COUNTIF(G203:P203,"&lt;&gt;")/10*100,0))</x:f>
      </x:c>
      <x:c r="V203" s="29" t="str">
        <x:f>IF(D203="","",IF(AND(B203="已核验",G203&lt;&gt;"",H203&lt;&gt;"",K203&lt;&gt;"",O203&lt;&gt;""),"可进入草稿","补证据/角度"))</x:f>
      </x:c>
    </x:row>
    <x:row r="204" ht="40" customHeight="1">
      <x:c r="A204" s="79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79"/>
      <x:c r="S204" s="31"/>
      <x:c r="T204" s="31"/>
      <x:c r="U204" s="82" t="str">
        <x:f>IF(D204="","",ROUND(COUNTIF(G204:P204,"&lt;&gt;")/10*100,0))</x:f>
      </x:c>
      <x:c r="V204" s="31" t="str">
        <x:f>IF(D204="","",IF(AND(B204="已核验",G204&lt;&gt;"",H204&lt;&gt;"",K204&lt;&gt;"",O204&lt;&gt;""),"可进入草稿","补证据/角度"))</x:f>
      </x:c>
    </x:row>
  </x:sheetData>
  <x:mergeCells>
    <x:mergeCell ref="A1:H1"/>
    <x:mergeCell ref="A2:L2"/>
  </x:mergeCells>
  <x:conditionalFormatting sqref="B5:B204">
    <x:cfRule type="containsText" dxfId="40" priority="1" operator="containsText" text="已核验"/>
    <x:cfRule type="containsText" dxfId="41" priority="2" operator="containsText" text="草稿中"/>
    <x:cfRule type="containsText" dxfId="42" priority="3" operator="containsText" text="已发布"/>
  </x:conditionalFormatting>
  <x:conditionalFormatting sqref="U5:U204">
    <x:cfRule type="dataBar" priority="4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{80FE7978-D75D-6C1A-A13C-BFBBC20ED5E9}</x14:id>
        </x:ext>
      </x:extLst>
    </x:cfRule>
  </x:conditionalFormatting>
  <x:conditionalFormatting sqref="V5:V204">
    <x:cfRule type="containsText" dxfId="43" priority="5" operator="containsText" text="可进入草稿"/>
  </x:conditionalFormatting>
  <x:dataValidations count="3">
    <x:dataValidation type="list" sqref="B5:B204">
      <x:formula1>"待读,已读,已核验,草稿中,已发布,搁置"</x:formula1>
    </x:dataValidation>
    <x:dataValidation type="list" sqref="C5:C204">
      <x:formula1>"成长与学习,地球、地理与城市,健康与福祉,科学与数学,历史与考古,人文与跨学科,商业、管理与创新,社群与发现,数据与可视化,天文与太空,心理、认知与情商,新闻与调查,艺术、设计与建筑,哲学与思想,AI、科技与工程"</x:formula1>
    </x:dataValidation>
    <x:dataValidation type="list" sqref="N5:N204">
      <x:formula1>"快讯解释,数据图卡,反直觉线程,历史类比,概念科普,资源清单,案例拆解,视觉灵感,观点对照,创作者/作品介绍,研究解读,认知偏差拆解,方法工具箱,商业案例复盘,健康误区查证"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0a608907e543e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0FE7978-D75D-6C1A-A13C-BFBBC20ED5E9}">
            <x14:dataBar gradient="1">
              <x14:cfvo type="min"/>
              <x14:cfvo type="max"/>
              <x14:fillColor rgb="FF14B8A6"/>
            </x14:dataBar>
          </x14:cfRule>
          <xm:sqref>U5:U204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6" hidden="0" customWidth="1"/>
    <x:col min="4" max="4" width="20" hidden="0" customWidth="1"/>
    <x:col min="5" max="5" width="38" hidden="0" customWidth="1"/>
    <x:col min="6" max="6" width="3" hidden="0" customWidth="1"/>
    <x:col min="7" max="7" width="22" hidden="0" customWidth="1"/>
    <x:col min="8" max="8" width="44" hidden="0" customWidth="1"/>
  </x:cols>
  <x:sheetData>
    <x:row r="1" ht="34" customHeight="1">
      <x:c r="A1" s="3" t="str">
        <x:v>评分、标签与引用纪律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综合分用于排阅读优先级，不等同于事实真伪。任何具体主张仍需打开原文，检查日期、上下文、方法与授权。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3" t="str">
        <x:v>评分维度</x:v>
      </x:c>
      <x:c r="B4" s="13" t="str">
        <x:v>权重</x:v>
      </x:c>
      <x:c r="C4" s="13" t="str">
        <x:v>5分标准</x:v>
      </x:c>
    </x:row>
    <x:row r="5" ht="34" customHeight="1">
      <x:c r="A5" s="27" t="str">
        <x:v>权威性</x:v>
      </x:c>
      <x:c r="B5" s="28" t="n">
        <x:v>0.2</x:v>
      </x:c>
      <x:c r="C5" s="27" t="str">
        <x:v>机构/作者在该议题有直接专业能力</x:v>
      </x:c>
    </x:row>
    <x:row r="6" ht="34" customHeight="1">
      <x:c r="A6" s="29" t="str">
        <x:v>原创性</x:v>
      </x:c>
      <x:c r="B6" s="30" t="n">
        <x:v>0.18</x:v>
      </x:c>
      <x:c r="C6" s="29" t="str">
        <x:v>提供一手研究、独家数据、原创方法或新框架</x:v>
      </x:c>
    </x:row>
    <x:row r="7" ht="34" customHeight="1">
      <x:c r="A7" s="29" t="str">
        <x:v>证据密度</x:v>
      </x:c>
      <x:c r="B7" s="30" t="n">
        <x:v>0.2</x:v>
      </x:c>
      <x:c r="C7" s="29" t="str">
        <x:v>论据、数据、引用链和方法透明</x:v>
      </x:c>
    </x:row>
    <x:row r="8" ht="34" customHeight="1">
      <x:c r="A8" s="29" t="str">
        <x:v>解释力</x:v>
      </x:c>
      <x:c r="B8" s="30" t="n">
        <x:v>0.15</x:v>
      </x:c>
      <x:c r="C8" s="29" t="str">
        <x:v>能把复杂问题讲清楚且保留边界条件</x:v>
      </x:c>
    </x:row>
    <x:row r="9" ht="34" customHeight="1">
      <x:c r="A9" s="29" t="str">
        <x:v>视觉/数据潜力</x:v>
      </x:c>
      <x:c r="B9" s="30" t="n">
        <x:v>0.12</x:v>
      </x:c>
      <x:c r="C9" s="29" t="str">
        <x:v>含可复用图表、图像、地图或可视化线索</x:v>
      </x:c>
    </x:row>
    <x:row r="10" ht="34" customHeight="1">
      <x:c r="A10" s="29" t="str">
        <x:v>稳定性</x:v>
      </x:c>
      <x:c r="B10" s="30" t="n">
        <x:v>0.1</x:v>
      </x:c>
      <x:c r="C10" s="29" t="str">
        <x:v>长期维护、更新可预期、链接不易失效</x:v>
      </x:c>
    </x:row>
    <x:row r="11" ht="34" customHeight="1">
      <x:c r="A11" s="31" t="str">
        <x:v>开放性</x:v>
      </x:c>
      <x:c r="B11" s="32" t="n">
        <x:v>0.05</x:v>
      </x:c>
      <x:c r="C11" s="31" t="str">
        <x:v>免费、可访问、可下载或有清晰 API/许可</x:v>
      </x:c>
    </x:row>
    <x:row r="12" ht="34" customHeight="1"/>
    <x:row r="13" ht="34" customHeight="1">
      <x:c r="A13" s="13" t="str">
        <x:v>引用角色</x:v>
      </x:c>
      <x:c r="B13" s="13" t="str">
        <x:v>能否直接作为证据</x:v>
      </x:c>
      <x:c r="C13" s="13" t="str">
        <x:v>正确用法</x:v>
      </x:c>
      <x:c r="D13" s="13" t="str">
        <x:v>常见误用</x:v>
      </x:c>
    </x:row>
    <x:row r="14" ht="34" customHeight="1">
      <x:c r="A14" s="27" t="str">
        <x:v>证据源</x:v>
      </x:c>
      <x:c r="B14" s="27" t="str">
        <x:v>通常可以；仍需核对具体页面</x:v>
      </x:c>
      <x:c r="C14" s="27" t="str">
        <x:v>引用原始数据、论文、官方文件、馆藏记录</x:v>
      </x:c>
      <x:c r="D14" s="27" t="str">
        <x:v>把机构新闻稿当完整研究结论</x:v>
      </x:c>
    </x:row>
    <x:row r="15" ht="34" customHeight="1">
      <x:c r="A15" s="29" t="str">
        <x:v>解释源</x:v>
      </x:c>
      <x:c r="B15" s="29" t="str">
        <x:v>可引用解释；事实回查一手</x:v>
      </x:c>
      <x:c r="C15" s="29" t="str">
        <x:v>用于框架、背景、概念翻译与专家判断</x:v>
      </x:c>
      <x:c r="D15" s="29" t="str">
        <x:v>只看摘要/视频就转述数字</x:v>
      </x:c>
    </x:row>
    <x:row r="16" ht="34" customHeight="1">
      <x:c r="A16" s="29" t="str">
        <x:v>观点源</x:v>
      </x:c>
      <x:c r="B16" s="29" t="str">
        <x:v>可以，但必须明确归因</x:v>
      </x:c>
      <x:c r="C16" s="29" t="str">
        <x:v>写成“某作者认为”，并呈现反方或限制</x:v>
      </x:c>
      <x:c r="D16" s="29" t="str">
        <x:v>把个人判断写成客观事实</x:v>
      </x:c>
    </x:row>
    <x:row r="17" ht="34" customHeight="1">
      <x:c r="A17" s="29" t="str">
        <x:v>线索源</x:v>
      </x:c>
      <x:c r="B17" s="29" t="str">
        <x:v>不建议</x:v>
      </x:c>
      <x:c r="C17" s="29" t="str">
        <x:v>沿链接追到原论文、项目、公告、数据</x:v>
      </x:c>
      <x:c r="D17" s="29" t="str">
        <x:v>直接引用聚合页或社区标题</x:v>
      </x:c>
    </x:row>
    <x:row r="18" ht="34" customHeight="1">
      <x:c r="A18" s="31" t="str">
        <x:v>灵感源</x:v>
      </x:c>
      <x:c r="B18" s="31" t="str">
        <x:v>不建议</x:v>
      </x:c>
      <x:c r="C18" s="31" t="str">
        <x:v>借鉴选题、结构、视觉语言；重新研究事实</x:v>
      </x:c>
      <x:c r="D18" s="31" t="str">
        <x:v>直接搬图、搬文案或忽略版权</x:v>
      </x:c>
    </x:row>
    <x:row r="19" ht="34" customHeight="1"/>
    <x:row r="20" ht="34" customHeight="1">
      <x:c r="A20" s="13" t="str">
        <x:v>主分类</x:v>
      </x:c>
      <x:c r="B20" s="13" t="str">
        <x:v>使用提示</x:v>
      </x:c>
      <x:c r="D20" s="13" t="str">
        <x:v>X 帖型</x:v>
      </x:c>
      <x:c r="E20" s="13" t="str">
        <x:v>结构提示</x:v>
      </x:c>
      <x:c r="G20" s="13" t="str">
        <x:v>Feed 状态</x:v>
      </x:c>
      <x:c r="H20" s="13" t="str">
        <x:v>解释</x:v>
      </x:c>
    </x:row>
    <x:row r="21" ht="34" customHeight="1">
      <x:c r="A21" s="21" t="str">
        <x:v>成长与学习</x:v>
      </x:c>
      <x:c r="B21" s="21" t="str">
        <x:v>可在全部信源/核心信源中筛选</x:v>
      </x:c>
      <x:c r="D21" s="21" t="str">
        <x:v>快讯解释</x:v>
      </x:c>
      <x:c r="E21" s="21" t="str">
        <x:v>事实→意义→下一步</x:v>
      </x:c>
      <x:c r="G21" s="21" t="str">
        <x:v>有效</x:v>
      </x:c>
      <x:c r="H21" s="21" t="str">
        <x:v>本次检查返回可识别 RSS/Atom XML</x:v>
      </x:c>
    </x:row>
    <x:row r="22" ht="34" customHeight="1">
      <x:c r="A22" s="23" t="str">
        <x:v>地球、地理与城市</x:v>
      </x:c>
      <x:c r="B22" s="23" t="str">
        <x:v>可在全部信源/核心信源中筛选</x:v>
      </x:c>
      <x:c r="D22" s="23" t="str">
        <x:v>数据图卡</x:v>
      </x:c>
      <x:c r="E22" s="23" t="str">
        <x:v>图表→反直觉→方法</x:v>
      </x:c>
      <x:c r="G22" s="23" t="str">
        <x:v>重定向后有效</x:v>
      </x:c>
      <x:c r="H22" s="23" t="str">
        <x:v>旧地址已跳转到可识别 Feed；优先使用最终地址</x:v>
      </x:c>
    </x:row>
    <x:row r="23" ht="34" customHeight="1">
      <x:c r="A23" s="23" t="str">
        <x:v>健康与福祉</x:v>
      </x:c>
      <x:c r="B23" s="23" t="str">
        <x:v>可在全部信源/核心信源中筛选</x:v>
      </x:c>
      <x:c r="D23" s="23" t="str">
        <x:v>反直觉线程</x:v>
      </x:c>
      <x:c r="E23" s="23" t="str">
        <x:v>误解→证据→修正</x:v>
      </x:c>
      <x:c r="G23" s="23" t="str">
        <x:v>受限/反爬</x:v>
      </x:c>
      <x:c r="H23" s="23" t="str">
        <x:v>可能对抓取器限制；在实际阅读器内重试</x:v>
      </x:c>
    </x:row>
    <x:row r="24" ht="34" customHeight="1">
      <x:c r="A24" s="23" t="str">
        <x:v>科学与数学</x:v>
      </x:c>
      <x:c r="B24" s="23" t="str">
        <x:v>可在全部信源/核心信源中筛选</x:v>
      </x:c>
      <x:c r="D24" s="23" t="str">
        <x:v>历史类比</x:v>
      </x:c>
      <x:c r="E24" s="23" t="str">
        <x:v>过去→现在→差异</x:v>
      </x:c>
      <x:c r="G24" s="23" t="str">
        <x:v>超时/网络错误</x:v>
      </x:c>
      <x:c r="H24" s="23" t="str">
        <x:v>一次网络检查失败，不等同于源永久失效</x:v>
      </x:c>
    </x:row>
    <x:row r="25" ht="34" customHeight="1">
      <x:c r="A25" s="23" t="str">
        <x:v>历史与考古</x:v>
      </x:c>
      <x:c r="B25" s="23" t="str">
        <x:v>可在全部信源/核心信源中筛选</x:v>
      </x:c>
      <x:c r="D25" s="23" t="str">
        <x:v>概念科普</x:v>
      </x:c>
      <x:c r="E25" s="23" t="str">
        <x:v>问题→模型→例子</x:v>
      </x:c>
      <x:c r="G25" s="23" t="str">
        <x:v>服务异常/5xx</x:v>
      </x:c>
      <x:c r="H25" s="23" t="str">
        <x:v>站点临时异常；稍后重试</x:v>
      </x:c>
    </x:row>
    <x:row r="26" ht="34" customHeight="1">
      <x:c r="A26" s="23" t="str">
        <x:v>人文与跨学科</x:v>
      </x:c>
      <x:c r="B26" s="23" t="str">
        <x:v>可在全部信源/核心信源中筛选</x:v>
      </x:c>
      <x:c r="D26" s="23" t="str">
        <x:v>资源清单</x:v>
      </x:c>
      <x:c r="E26" s="23" t="str">
        <x:v>场景→分组→链接</x:v>
      </x:c>
      <x:c r="G26" s="23" t="str">
        <x:v>失效/4xx</x:v>
      </x:c>
      <x:c r="H26" s="23" t="str">
        <x:v>地址大概率失效，需寻找新端点</x:v>
      </x:c>
    </x:row>
    <x:row r="27" ht="34" customHeight="1">
      <x:c r="A27" s="23" t="str">
        <x:v>商业、管理与创新</x:v>
      </x:c>
      <x:c r="B27" s="23" t="str">
        <x:v>可在全部信源/核心信源中筛选</x:v>
      </x:c>
      <x:c r="D27" s="23" t="str">
        <x:v>案例拆解</x:v>
      </x:c>
      <x:c r="E27" s="23" t="str">
        <x:v>背景→机制→教训</x:v>
      </x:c>
      <x:c r="G27" s="23" t="str">
        <x:v>可访问但非Feed</x:v>
      </x:c>
      <x:c r="H27" s="23" t="str">
        <x:v>返回网页/登录页，不应作为 OPML 源</x:v>
      </x:c>
    </x:row>
    <x:row r="28" ht="34" customHeight="1">
      <x:c r="A28" s="23" t="str">
        <x:v>社群与发现</x:v>
      </x:c>
      <x:c r="B28" s="23" t="str">
        <x:v>可在全部信源/核心信源中筛选</x:v>
      </x:c>
      <x:c r="D28" s="23" t="str">
        <x:v>视觉灵感</x:v>
      </x:c>
      <x:c r="E28" s="23" t="str">
        <x:v>作品→方法→可借鉴点</x:v>
      </x:c>
      <x:c r="G28" s="25" t="str">
        <x:v>API入口/平台入口</x:v>
      </x:c>
      <x:c r="H28" s="25" t="str">
        <x:v>不是 RSS，但可作为数据库或固定巡检入口</x:v>
      </x:c>
    </x:row>
    <x:row r="29" ht="34" customHeight="1">
      <x:c r="A29" s="23" t="str">
        <x:v>数据与可视化</x:v>
      </x:c>
      <x:c r="B29" s="23" t="str">
        <x:v>可在全部信源/核心信源中筛选</x:v>
      </x:c>
      <x:c r="D29" s="23" t="str">
        <x:v>观点对照</x:v>
      </x:c>
      <x:c r="E29" s="23" t="str">
        <x:v>A观点→B观点→你的判断</x:v>
      </x:c>
    </x:row>
    <x:row r="30" ht="34" customHeight="1">
      <x:c r="A30" s="23" t="str">
        <x:v>天文与太空</x:v>
      </x:c>
      <x:c r="B30" s="23" t="str">
        <x:v>可在全部信源/核心信源中筛选</x:v>
      </x:c>
      <x:c r="D30" s="23" t="str">
        <x:v>创作者/作品介绍</x:v>
      </x:c>
      <x:c r="E30" s="23" t="str">
        <x:v>代表作→方法→影响</x:v>
      </x:c>
    </x:row>
    <x:row r="31" ht="34" customHeight="1">
      <x:c r="A31" s="23" t="str">
        <x:v>心理、认知与情商</x:v>
      </x:c>
      <x:c r="B31" s="23" t="str">
        <x:v>可在全部信源/核心信源中筛选</x:v>
      </x:c>
      <x:c r="D31" s="23" t="str">
        <x:v>研究解读</x:v>
      </x:c>
      <x:c r="E31" s="23" t="str">
        <x:v>研究问题→方法→结果→限制</x:v>
      </x:c>
    </x:row>
    <x:row r="32" ht="34" customHeight="1">
      <x:c r="A32" s="23" t="str">
        <x:v>新闻与调查</x:v>
      </x:c>
      <x:c r="B32" s="23" t="str">
        <x:v>可在全部信源/核心信源中筛选</x:v>
      </x:c>
      <x:c r="D32" s="23" t="str">
        <x:v>认知偏差拆解</x:v>
      </x:c>
      <x:c r="E32" s="23" t="str">
        <x:v>常见判断→偏差机制→校正动作</x:v>
      </x:c>
    </x:row>
    <x:row r="33" ht="34" customHeight="1">
      <x:c r="A33" s="23" t="str">
        <x:v>艺术、设计与建筑</x:v>
      </x:c>
      <x:c r="B33" s="23" t="str">
        <x:v>可在全部信源/核心信源中筛选</x:v>
      </x:c>
      <x:c r="D33" s="23" t="str">
        <x:v>方法工具箱</x:v>
      </x:c>
      <x:c r="E33" s="23" t="str">
        <x:v>适用场景→步骤→边界</x:v>
      </x:c>
    </x:row>
    <x:row r="34" ht="34" customHeight="1">
      <x:c r="A34" s="23" t="str">
        <x:v>哲学与思想</x:v>
      </x:c>
      <x:c r="B34" s="23" t="str">
        <x:v>可在全部信源/核心信源中筛选</x:v>
      </x:c>
      <x:c r="D34" s="23" t="str">
        <x:v>商业案例复盘</x:v>
      </x:c>
      <x:c r="E34" s="23" t="str">
        <x:v>背景→决策→结果→反事实</x:v>
      </x:c>
    </x:row>
    <x:row r="35" ht="34" customHeight="1">
      <x:c r="A35" s="25" t="str">
        <x:v>AI、科技与工程</x:v>
      </x:c>
      <x:c r="B35" s="25" t="str">
        <x:v>可在全部信源/核心信源中筛选</x:v>
      </x:c>
      <x:c r="D35" s="25" t="str">
        <x:v>健康误区查证</x:v>
      </x:c>
      <x:c r="E35" s="25" t="str">
        <x:v>流行说法→证据等级→安全结论</x:v>
      </x:c>
    </x:row>
    <x:row r="36" ht="34" customHeight="1"/>
    <x:row r="37" ht="34" customHeight="1">
      <x:c r="A37" s="52" t="str">
        <x:v>健康与心理内容特别纪律：来源可访问不等于结论适用于个人；优先系统综述、指南和官方数据，明确样本、效应量与不确定性。不得用帖子替代诊断、治疗或紧急求助；涉及危机时应指向当地专业服务。商业与成长案例则要区分相关性、幸存者偏差与可复制条件。</x:v>
      </x:c>
      <x:c r="B37" s="53"/>
      <x:c r="C37" s="53"/>
      <x:c r="D37" s="53"/>
      <x:c r="E37" s="53"/>
      <x:c r="F37" s="53"/>
      <x:c r="G37" s="53"/>
      <x:c r="H37" s="54"/>
    </x:row>
    <x:row r="38" ht="34" customHeight="1">
      <x:c r="A38" s="55"/>
      <x:c r="B38" s="56"/>
      <x:c r="C38" s="56"/>
      <x:c r="D38" s="56"/>
      <x:c r="E38" s="56"/>
      <x:c r="F38" s="56"/>
      <x:c r="G38" s="56"/>
      <x:c r="H38" s="57"/>
    </x:row>
    <x:row r="39" ht="34" customHeight="1">
      <x:c r="A39" s="58"/>
      <x:c r="B39" s="59"/>
      <x:c r="C39" s="59"/>
      <x:c r="D39" s="59"/>
      <x:c r="E39" s="59"/>
      <x:c r="F39" s="59"/>
      <x:c r="G39" s="59"/>
      <x:c r="H39" s="60"/>
    </x:row>
    <x:row r="40" ht="34" customHeight="1"/>
  </x:sheetData>
  <x:mergeCells>
    <x:mergeCell ref="A1:H1"/>
    <x:mergeCell ref="A2:H2"/>
    <x:mergeCell ref="A37:H39"/>
  </x:mergeCells>
  <x:pageMargins left="0.7" right="0.7" top="0.75" bottom="0.75" header="0.3" footer="0.3"/>
</x:worksheet>
</file>